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jvirtue\Downloads\"/>
    </mc:Choice>
  </mc:AlternateContent>
  <xr:revisionPtr revIDLastSave="0" documentId="13_ncr:1_{8690D786-C5F3-4CAF-A724-AB45393431F0}" xr6:coauthVersionLast="47" xr6:coauthVersionMax="47" xr10:uidLastSave="{00000000-0000-0000-0000-000000000000}"/>
  <bookViews>
    <workbookView xWindow="24850" yWindow="-110" windowWidth="38620" windowHeight="21100" tabRatio="312" activeTab="1" xr2:uid="{7C48A3BA-F709-465A-898F-4602D688CCF0}"/>
  </bookViews>
  <sheets>
    <sheet name="Checklist" sheetId="5" r:id="rId1"/>
    <sheet name="Dashboard" sheetId="7" r:id="rId2"/>
    <sheet name="Values" sheetId="6" state="hidden" r:id="rId3"/>
    <sheet name="ChecklistIndex" sheetId="9" state="hidden" r:id="rId4"/>
    <sheet name="ARG" sheetId="8" r:id="rId5"/>
  </sheets>
  <definedNames>
    <definedName name="_xlnm._FilterDatabase" localSheetId="4" hidden="1">ARG!$A$7:$I$1235</definedName>
    <definedName name="_xlnm._FilterDatabase" localSheetId="0" hidden="1">Checklist!$A$9:$U$186</definedName>
    <definedName name="ChartWAFCost">OFFSET(INDEX(Dashboard!$H$51:$M$122,1,1),0, 3, COUNTA(Dashboard!$H$51:$H$122),1)</definedName>
    <definedName name="ChartWAFLabels">OFFSET(INDEX(Dashboard!$H$51:$M$122,1,1),0, 0, COUNTA(Dashboard!$H$51:$H$122),1)</definedName>
    <definedName name="ChartWAFOps">OFFSET(INDEX(Dashboard!$H$51:$M$122,1,1),0, 4, COUNTA(Dashboard!$H$51:$H$122),1)</definedName>
    <definedName name="ChartWAFPerf">OFFSET(INDEX(Dashboard!$H$51:$M$122,1,1),0, 5, COUNTA(Dashboard!$H$51:$H$122),1)</definedName>
    <definedName name="ChartWAFRel">OFFSET(INDEX(Dashboard!$H$51:$M$122,1,1),0, 1, COUNTA(Dashboard!$H$51:$H$122),1)</definedName>
    <definedName name="ChartWAFSec">OFFSET(INDEX(Dashboard!$H$51:$M$122,1,1),0, 2, COUNTA(Dashboard!$H$51:$H$122),1)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6" l="1" a="1"/>
  <c r="P26" i="7"/>
  <c r="P27" i="7"/>
  <c r="P28" i="7"/>
  <c r="I11" i="7"/>
  <c r="I12" i="7"/>
  <c r="I13" i="7"/>
  <c r="M122" i="7" a="1"/>
  <c r="M122" i="7" s="1"/>
  <c r="L122" i="7" a="1"/>
  <c r="L122" i="7" s="1"/>
  <c r="K122" i="7" a="1"/>
  <c r="K122" i="7" s="1"/>
  <c r="J122" i="7" a="1"/>
  <c r="J122" i="7" s="1"/>
  <c r="I122" i="7" a="1"/>
  <c r="I122" i="7" s="1"/>
  <c r="M121" i="7" a="1"/>
  <c r="M121" i="7" s="1"/>
  <c r="L121" i="7" a="1"/>
  <c r="L121" i="7" s="1"/>
  <c r="K121" i="7" a="1"/>
  <c r="K121" i="7" s="1"/>
  <c r="J121" i="7" a="1"/>
  <c r="J121" i="7" s="1"/>
  <c r="I121" i="7" a="1"/>
  <c r="I121" i="7" s="1"/>
  <c r="M120" i="7" a="1"/>
  <c r="M120" i="7" s="1"/>
  <c r="L120" i="7" a="1"/>
  <c r="L120" i="7" s="1"/>
  <c r="K120" i="7" a="1"/>
  <c r="K120" i="7" s="1"/>
  <c r="J120" i="7" a="1"/>
  <c r="J120" i="7" s="1"/>
  <c r="I120" i="7" a="1"/>
  <c r="I120" i="7" s="1"/>
  <c r="M119" i="7" a="1"/>
  <c r="M119" i="7" s="1"/>
  <c r="L119" i="7" a="1"/>
  <c r="L119" i="7" s="1"/>
  <c r="K119" i="7" a="1"/>
  <c r="K119" i="7" s="1"/>
  <c r="J119" i="7" a="1"/>
  <c r="J119" i="7" s="1"/>
  <c r="I119" i="7" a="1"/>
  <c r="I119" i="7" s="1"/>
  <c r="M118" i="7" a="1"/>
  <c r="M118" i="7" s="1"/>
  <c r="L118" i="7" a="1"/>
  <c r="L118" i="7" s="1"/>
  <c r="K118" i="7" a="1"/>
  <c r="K118" i="7" s="1"/>
  <c r="J118" i="7" a="1"/>
  <c r="J118" i="7" s="1"/>
  <c r="I118" i="7" a="1"/>
  <c r="I118" i="7" s="1"/>
  <c r="M117" i="7" a="1"/>
  <c r="M117" i="7" s="1"/>
  <c r="L117" i="7" a="1"/>
  <c r="L117" i="7" s="1"/>
  <c r="K117" i="7" a="1"/>
  <c r="K117" i="7" s="1"/>
  <c r="J117" i="7" a="1"/>
  <c r="J117" i="7" s="1"/>
  <c r="I117" i="7" a="1"/>
  <c r="I117" i="7" s="1"/>
  <c r="M116" i="7" a="1"/>
  <c r="M116" i="7" s="1"/>
  <c r="L116" i="7" a="1"/>
  <c r="L116" i="7" s="1"/>
  <c r="K116" i="7" a="1"/>
  <c r="K116" i="7" s="1"/>
  <c r="J116" i="7" a="1"/>
  <c r="J116" i="7" s="1"/>
  <c r="I116" i="7" a="1"/>
  <c r="I116" i="7" s="1"/>
  <c r="M115" i="7" a="1"/>
  <c r="M115" i="7" s="1"/>
  <c r="L115" i="7" a="1"/>
  <c r="L115" i="7" s="1"/>
  <c r="K115" i="7" a="1"/>
  <c r="K115" i="7" s="1"/>
  <c r="J115" i="7" a="1"/>
  <c r="J115" i="7" s="1"/>
  <c r="I115" i="7" a="1"/>
  <c r="I115" i="7" s="1"/>
  <c r="M114" i="7" a="1"/>
  <c r="M114" i="7" s="1"/>
  <c r="L114" i="7" a="1"/>
  <c r="L114" i="7" s="1"/>
  <c r="K114" i="7" a="1"/>
  <c r="K114" i="7" s="1"/>
  <c r="J114" i="7" a="1"/>
  <c r="J114" i="7" s="1"/>
  <c r="I114" i="7" a="1"/>
  <c r="I114" i="7" s="1"/>
  <c r="M113" i="7" a="1"/>
  <c r="M113" i="7" s="1"/>
  <c r="L113" i="7" a="1"/>
  <c r="L113" i="7" s="1"/>
  <c r="K113" i="7" a="1"/>
  <c r="K113" i="7" s="1"/>
  <c r="J113" i="7" a="1"/>
  <c r="J113" i="7" s="1"/>
  <c r="I113" i="7" a="1"/>
  <c r="I113" i="7" s="1"/>
  <c r="M112" i="7" a="1"/>
  <c r="M112" i="7" s="1"/>
  <c r="L112" i="7" a="1"/>
  <c r="L112" i="7" s="1"/>
  <c r="K112" i="7" a="1"/>
  <c r="K112" i="7" s="1"/>
  <c r="J112" i="7" a="1"/>
  <c r="J112" i="7" s="1"/>
  <c r="I112" i="7" a="1"/>
  <c r="I112" i="7" s="1"/>
  <c r="M111" i="7" a="1"/>
  <c r="M111" i="7" s="1"/>
  <c r="L111" i="7" a="1"/>
  <c r="L111" i="7" s="1"/>
  <c r="K111" i="7" a="1"/>
  <c r="K111" i="7" s="1"/>
  <c r="J111" i="7" a="1"/>
  <c r="J111" i="7" s="1"/>
  <c r="I111" i="7" a="1"/>
  <c r="I111" i="7" s="1"/>
  <c r="M110" i="7" a="1"/>
  <c r="M110" i="7" s="1"/>
  <c r="L110" i="7" a="1"/>
  <c r="L110" i="7" s="1"/>
  <c r="K110" i="7" a="1"/>
  <c r="K110" i="7" s="1"/>
  <c r="J110" i="7" a="1"/>
  <c r="J110" i="7" s="1"/>
  <c r="I110" i="7" a="1"/>
  <c r="I110" i="7" s="1"/>
  <c r="M109" i="7" a="1"/>
  <c r="M109" i="7" s="1"/>
  <c r="L109" i="7" a="1"/>
  <c r="L109" i="7" s="1"/>
  <c r="K109" i="7" a="1"/>
  <c r="K109" i="7" s="1"/>
  <c r="J109" i="7" a="1"/>
  <c r="J109" i="7" s="1"/>
  <c r="I109" i="7" a="1"/>
  <c r="I109" i="7" s="1"/>
  <c r="M108" i="7" a="1"/>
  <c r="M108" i="7" s="1"/>
  <c r="L108" i="7" a="1"/>
  <c r="L108" i="7" s="1"/>
  <c r="K108" i="7" a="1"/>
  <c r="K108" i="7" s="1"/>
  <c r="J108" i="7" a="1"/>
  <c r="J108" i="7" s="1"/>
  <c r="I108" i="7" a="1"/>
  <c r="I108" i="7" s="1"/>
  <c r="M107" i="7" a="1"/>
  <c r="M107" i="7" s="1"/>
  <c r="L107" i="7" a="1"/>
  <c r="L107" i="7" s="1"/>
  <c r="K107" i="7" a="1"/>
  <c r="K107" i="7" s="1"/>
  <c r="J107" i="7" a="1"/>
  <c r="J107" i="7" s="1"/>
  <c r="I107" i="7" a="1"/>
  <c r="I107" i="7" s="1"/>
  <c r="M106" i="7" a="1"/>
  <c r="M106" i="7" s="1"/>
  <c r="L106" i="7" a="1"/>
  <c r="L106" i="7" s="1"/>
  <c r="K106" i="7" a="1"/>
  <c r="K106" i="7" s="1"/>
  <c r="J106" i="7" a="1"/>
  <c r="J106" i="7" s="1"/>
  <c r="I106" i="7" a="1"/>
  <c r="I106" i="7" s="1"/>
  <c r="M105" i="7" a="1"/>
  <c r="M105" i="7" s="1"/>
  <c r="L105" i="7" a="1"/>
  <c r="L105" i="7" s="1"/>
  <c r="K105" i="7" a="1"/>
  <c r="K105" i="7" s="1"/>
  <c r="J105" i="7" a="1"/>
  <c r="J105" i="7" s="1"/>
  <c r="I105" i="7" a="1"/>
  <c r="I105" i="7" s="1"/>
  <c r="M104" i="7" a="1"/>
  <c r="M104" i="7" s="1"/>
  <c r="L104" i="7" a="1"/>
  <c r="L104" i="7" s="1"/>
  <c r="K104" i="7" a="1"/>
  <c r="K104" i="7" s="1"/>
  <c r="J104" i="7" a="1"/>
  <c r="J104" i="7" s="1"/>
  <c r="I104" i="7" a="1"/>
  <c r="I104" i="7" s="1"/>
  <c r="M103" i="7" a="1"/>
  <c r="M103" i="7" s="1"/>
  <c r="L103" i="7" a="1"/>
  <c r="L103" i="7" s="1"/>
  <c r="K103" i="7" a="1"/>
  <c r="K103" i="7" s="1"/>
  <c r="J103" i="7" a="1"/>
  <c r="J103" i="7" s="1"/>
  <c r="I103" i="7" a="1"/>
  <c r="I103" i="7" s="1"/>
  <c r="M102" i="7" a="1"/>
  <c r="M102" i="7" s="1"/>
  <c r="L102" i="7" a="1"/>
  <c r="L102" i="7" s="1"/>
  <c r="K102" i="7" a="1"/>
  <c r="K102" i="7" s="1"/>
  <c r="J102" i="7" a="1"/>
  <c r="J102" i="7" s="1"/>
  <c r="I102" i="7" a="1"/>
  <c r="I102" i="7" s="1"/>
  <c r="M101" i="7" a="1"/>
  <c r="M101" i="7" s="1"/>
  <c r="L101" i="7" a="1"/>
  <c r="L101" i="7" s="1"/>
  <c r="K101" i="7" a="1"/>
  <c r="K101" i="7" s="1"/>
  <c r="J101" i="7" a="1"/>
  <c r="J101" i="7" s="1"/>
  <c r="I101" i="7" a="1"/>
  <c r="I101" i="7" s="1"/>
  <c r="M100" i="7" a="1"/>
  <c r="M100" i="7" s="1"/>
  <c r="L100" i="7" a="1"/>
  <c r="L100" i="7" s="1"/>
  <c r="K100" i="7" a="1"/>
  <c r="K100" i="7" s="1"/>
  <c r="J100" i="7" a="1"/>
  <c r="J100" i="7" s="1"/>
  <c r="I100" i="7" a="1"/>
  <c r="I100" i="7" s="1"/>
  <c r="M99" i="7" a="1"/>
  <c r="M99" i="7" s="1"/>
  <c r="L99" i="7" a="1"/>
  <c r="L99" i="7" s="1"/>
  <c r="K99" i="7" a="1"/>
  <c r="K99" i="7" s="1"/>
  <c r="J99" i="7" a="1"/>
  <c r="J99" i="7" s="1"/>
  <c r="I99" i="7" a="1"/>
  <c r="I99" i="7" s="1"/>
  <c r="M98" i="7" a="1"/>
  <c r="M98" i="7" s="1"/>
  <c r="L98" i="7" a="1"/>
  <c r="L98" i="7" s="1"/>
  <c r="K98" i="7" a="1"/>
  <c r="K98" i="7" s="1"/>
  <c r="J98" i="7" a="1"/>
  <c r="J98" i="7" s="1"/>
  <c r="I98" i="7" a="1"/>
  <c r="I98" i="7" s="1"/>
  <c r="M97" i="7" a="1"/>
  <c r="M97" i="7" s="1"/>
  <c r="L97" i="7" a="1"/>
  <c r="L97" i="7" s="1"/>
  <c r="K97" i="7" a="1"/>
  <c r="K97" i="7" s="1"/>
  <c r="J97" i="7" a="1"/>
  <c r="J97" i="7" s="1"/>
  <c r="I97" i="7" a="1"/>
  <c r="I97" i="7" s="1"/>
  <c r="M96" i="7" a="1"/>
  <c r="M96" i="7" s="1"/>
  <c r="L96" i="7" a="1"/>
  <c r="L96" i="7" s="1"/>
  <c r="K96" i="7" a="1"/>
  <c r="K96" i="7" s="1"/>
  <c r="J96" i="7" a="1"/>
  <c r="J96" i="7" s="1"/>
  <c r="I96" i="7" a="1"/>
  <c r="I96" i="7" s="1"/>
  <c r="M95" i="7" a="1"/>
  <c r="M95" i="7" s="1"/>
  <c r="L95" i="7" a="1"/>
  <c r="L95" i="7" s="1"/>
  <c r="K95" i="7" a="1"/>
  <c r="K95" i="7" s="1"/>
  <c r="J95" i="7" a="1"/>
  <c r="J95" i="7" s="1"/>
  <c r="I95" i="7" a="1"/>
  <c r="I95" i="7" s="1"/>
  <c r="M94" i="7" a="1"/>
  <c r="M94" i="7" s="1"/>
  <c r="L94" i="7" a="1"/>
  <c r="L94" i="7" s="1"/>
  <c r="K94" i="7" a="1"/>
  <c r="K94" i="7" s="1"/>
  <c r="J94" i="7" a="1"/>
  <c r="J94" i="7" s="1"/>
  <c r="I94" i="7" a="1"/>
  <c r="I94" i="7" s="1"/>
  <c r="M93" i="7" a="1"/>
  <c r="M93" i="7" s="1"/>
  <c r="L93" i="7" a="1"/>
  <c r="L93" i="7" s="1"/>
  <c r="K93" i="7" a="1"/>
  <c r="K93" i="7" s="1"/>
  <c r="J93" i="7" a="1"/>
  <c r="J93" i="7" s="1"/>
  <c r="I93" i="7" a="1"/>
  <c r="I93" i="7" s="1"/>
  <c r="M92" i="7" a="1"/>
  <c r="M92" i="7" s="1"/>
  <c r="L92" i="7" a="1"/>
  <c r="L92" i="7" s="1"/>
  <c r="K92" i="7" a="1"/>
  <c r="K92" i="7" s="1"/>
  <c r="J92" i="7" a="1"/>
  <c r="J92" i="7" s="1"/>
  <c r="I92" i="7" a="1"/>
  <c r="I92" i="7" s="1"/>
  <c r="M91" i="7" a="1"/>
  <c r="M91" i="7" s="1"/>
  <c r="L91" i="7" a="1"/>
  <c r="L91" i="7" s="1"/>
  <c r="K91" i="7" a="1"/>
  <c r="K91" i="7" s="1"/>
  <c r="J91" i="7" a="1"/>
  <c r="J91" i="7" s="1"/>
  <c r="I91" i="7" a="1"/>
  <c r="I91" i="7" s="1"/>
  <c r="M90" i="7" a="1"/>
  <c r="M90" i="7" s="1"/>
  <c r="L90" i="7" a="1"/>
  <c r="L90" i="7" s="1"/>
  <c r="K90" i="7" a="1"/>
  <c r="K90" i="7" s="1"/>
  <c r="J90" i="7" a="1"/>
  <c r="J90" i="7" s="1"/>
  <c r="I90" i="7" a="1"/>
  <c r="I90" i="7" s="1"/>
  <c r="M89" i="7" a="1"/>
  <c r="M89" i="7" s="1"/>
  <c r="L89" i="7" a="1"/>
  <c r="L89" i="7" s="1"/>
  <c r="K89" i="7" a="1"/>
  <c r="K89" i="7" s="1"/>
  <c r="J89" i="7" a="1"/>
  <c r="J89" i="7" s="1"/>
  <c r="I89" i="7" a="1"/>
  <c r="I89" i="7" s="1"/>
  <c r="M88" i="7" a="1"/>
  <c r="M88" i="7" s="1"/>
  <c r="L88" i="7" a="1"/>
  <c r="L88" i="7" s="1"/>
  <c r="K88" i="7" a="1"/>
  <c r="K88" i="7" s="1"/>
  <c r="J88" i="7" a="1"/>
  <c r="J88" i="7" s="1"/>
  <c r="I88" i="7" a="1"/>
  <c r="I88" i="7" s="1"/>
  <c r="M87" i="7" a="1"/>
  <c r="M87" i="7" s="1"/>
  <c r="L87" i="7" a="1"/>
  <c r="L87" i="7" s="1"/>
  <c r="K87" i="7" a="1"/>
  <c r="K87" i="7" s="1"/>
  <c r="J87" i="7" a="1"/>
  <c r="J87" i="7" s="1"/>
  <c r="I87" i="7" a="1"/>
  <c r="I87" i="7" s="1"/>
  <c r="M86" i="7" a="1"/>
  <c r="M86" i="7" s="1"/>
  <c r="L86" i="7" a="1"/>
  <c r="L86" i="7" s="1"/>
  <c r="K86" i="7" a="1"/>
  <c r="K86" i="7" s="1"/>
  <c r="J86" i="7" a="1"/>
  <c r="J86" i="7" s="1"/>
  <c r="I86" i="7" a="1"/>
  <c r="I86" i="7" s="1"/>
  <c r="M85" i="7" a="1"/>
  <c r="M85" i="7" s="1"/>
  <c r="L85" i="7" a="1"/>
  <c r="L85" i="7" s="1"/>
  <c r="K85" i="7" a="1"/>
  <c r="K85" i="7" s="1"/>
  <c r="J85" i="7" a="1"/>
  <c r="J85" i="7" s="1"/>
  <c r="I85" i="7" a="1"/>
  <c r="I85" i="7" s="1"/>
  <c r="M84" i="7" a="1"/>
  <c r="M84" i="7" s="1"/>
  <c r="L84" i="7" a="1"/>
  <c r="L84" i="7" s="1"/>
  <c r="K84" i="7" a="1"/>
  <c r="K84" i="7" s="1"/>
  <c r="J84" i="7" a="1"/>
  <c r="J84" i="7" s="1"/>
  <c r="I84" i="7" a="1"/>
  <c r="I84" i="7" s="1"/>
  <c r="M83" i="7" a="1"/>
  <c r="M83" i="7" s="1"/>
  <c r="L83" i="7" a="1"/>
  <c r="L83" i="7" s="1"/>
  <c r="K83" i="7" a="1"/>
  <c r="K83" i="7" s="1"/>
  <c r="J83" i="7" a="1"/>
  <c r="J83" i="7" s="1"/>
  <c r="I83" i="7" a="1"/>
  <c r="I83" i="7" s="1"/>
  <c r="M82" i="7" a="1"/>
  <c r="M82" i="7" s="1"/>
  <c r="L82" i="7" a="1"/>
  <c r="L82" i="7" s="1"/>
  <c r="K82" i="7" a="1"/>
  <c r="K82" i="7" s="1"/>
  <c r="J82" i="7" a="1"/>
  <c r="J82" i="7" s="1"/>
  <c r="I82" i="7" a="1"/>
  <c r="I82" i="7" s="1"/>
  <c r="M81" i="7" a="1"/>
  <c r="M81" i="7" s="1"/>
  <c r="L81" i="7" a="1"/>
  <c r="L81" i="7" s="1"/>
  <c r="K81" i="7" a="1"/>
  <c r="K81" i="7" s="1"/>
  <c r="J81" i="7" a="1"/>
  <c r="J81" i="7" s="1"/>
  <c r="I81" i="7" a="1"/>
  <c r="I81" i="7" s="1"/>
  <c r="M80" i="7" a="1"/>
  <c r="M80" i="7" s="1"/>
  <c r="L80" i="7" a="1"/>
  <c r="L80" i="7" s="1"/>
  <c r="K80" i="7" a="1"/>
  <c r="K80" i="7" s="1"/>
  <c r="J80" i="7" a="1"/>
  <c r="J80" i="7" s="1"/>
  <c r="I80" i="7" a="1"/>
  <c r="I80" i="7" s="1"/>
  <c r="M79" i="7" a="1"/>
  <c r="M79" i="7" s="1"/>
  <c r="L79" i="7" a="1"/>
  <c r="L79" i="7" s="1"/>
  <c r="K79" i="7" a="1"/>
  <c r="K79" i="7" s="1"/>
  <c r="J79" i="7" a="1"/>
  <c r="J79" i="7" s="1"/>
  <c r="I79" i="7" a="1"/>
  <c r="I79" i="7" s="1"/>
  <c r="M78" i="7" a="1"/>
  <c r="M78" i="7" s="1"/>
  <c r="L78" i="7" a="1"/>
  <c r="L78" i="7" s="1"/>
  <c r="K78" i="7" a="1"/>
  <c r="K78" i="7" s="1"/>
  <c r="J78" i="7" a="1"/>
  <c r="J78" i="7" s="1"/>
  <c r="I78" i="7" a="1"/>
  <c r="I78" i="7" s="1"/>
  <c r="M77" i="7" a="1"/>
  <c r="M77" i="7" s="1"/>
  <c r="L77" i="7" a="1"/>
  <c r="L77" i="7" s="1"/>
  <c r="K77" i="7" a="1"/>
  <c r="K77" i="7" s="1"/>
  <c r="J77" i="7" a="1"/>
  <c r="J77" i="7" s="1"/>
  <c r="I77" i="7" a="1"/>
  <c r="I77" i="7" s="1"/>
  <c r="M76" i="7" a="1"/>
  <c r="M76" i="7" s="1"/>
  <c r="L76" i="7" a="1"/>
  <c r="L76" i="7" s="1"/>
  <c r="K76" i="7" a="1"/>
  <c r="K76" i="7" s="1"/>
  <c r="J76" i="7" a="1"/>
  <c r="J76" i="7" s="1"/>
  <c r="I76" i="7" a="1"/>
  <c r="I76" i="7" s="1"/>
  <c r="M75" i="7" a="1"/>
  <c r="M75" i="7" s="1"/>
  <c r="L75" i="7" a="1"/>
  <c r="L75" i="7" s="1"/>
  <c r="K75" i="7" a="1"/>
  <c r="K75" i="7" s="1"/>
  <c r="J75" i="7" a="1"/>
  <c r="J75" i="7" s="1"/>
  <c r="I75" i="7" a="1"/>
  <c r="I75" i="7" s="1"/>
  <c r="N122" i="7"/>
  <c r="N121" i="7"/>
  <c r="N120" i="7"/>
  <c r="N119" i="7"/>
  <c r="N118" i="7"/>
  <c r="N117" i="7"/>
  <c r="N116" i="7"/>
  <c r="N115" i="7"/>
  <c r="N114" i="7"/>
  <c r="N113" i="7"/>
  <c r="N112" i="7"/>
  <c r="N111" i="7"/>
  <c r="N110" i="7"/>
  <c r="N109" i="7"/>
  <c r="N108" i="7"/>
  <c r="N107" i="7"/>
  <c r="N106" i="7"/>
  <c r="N105" i="7"/>
  <c r="N104" i="7"/>
  <c r="N103" i="7"/>
  <c r="N102" i="7"/>
  <c r="N101" i="7"/>
  <c r="N100" i="7"/>
  <c r="N99" i="7"/>
  <c r="N98" i="7"/>
  <c r="N97" i="7"/>
  <c r="N96" i="7"/>
  <c r="Y79" i="7"/>
  <c r="Z79" i="7" s="1"/>
  <c r="Y78" i="7"/>
  <c r="Z78" i="7" s="1"/>
  <c r="Y77" i="7"/>
  <c r="Z77" i="7" s="1"/>
  <c r="Y76" i="7"/>
  <c r="Z76" i="7" s="1"/>
  <c r="Y75" i="7"/>
  <c r="Z75" i="7" s="1"/>
  <c r="N95" i="7"/>
  <c r="N94" i="7"/>
  <c r="N93" i="7"/>
  <c r="N92" i="7"/>
  <c r="N91" i="7"/>
  <c r="O2" i="6"/>
  <c r="M50" i="7"/>
  <c r="L50" i="7"/>
  <c r="K50" i="7"/>
  <c r="J50" i="7"/>
  <c r="I50" i="7"/>
  <c r="H51" i="7" a="1"/>
  <c r="Q2" i="6" a="1"/>
  <c r="H8" i="5"/>
  <c r="H7" i="5"/>
  <c r="N5" i="7"/>
  <c r="F5" i="7"/>
  <c r="I7" i="5"/>
  <c r="I8" i="5"/>
  <c r="D55" i="7" a="1"/>
  <c r="D55" i="7" s="1"/>
  <c r="D54" i="7" a="1"/>
  <c r="D54" i="7" s="1"/>
  <c r="D53" i="7" a="1"/>
  <c r="D53" i="7" s="1"/>
  <c r="D52" i="7" a="1"/>
  <c r="D52" i="7" s="1"/>
  <c r="D51" i="7" a="1"/>
  <c r="D51" i="7" s="1"/>
  <c r="C55" i="7" a="1"/>
  <c r="C55" i="7" s="1"/>
  <c r="C54" i="7" a="1"/>
  <c r="C54" i="7" s="1"/>
  <c r="C53" i="7" a="1"/>
  <c r="C53" i="7" s="1"/>
  <c r="C52" i="7" a="1"/>
  <c r="C52" i="7" s="1"/>
  <c r="C51" i="7" a="1"/>
  <c r="C51" i="7" s="1"/>
  <c r="B55" i="7" a="1"/>
  <c r="B55" i="7" s="1"/>
  <c r="B54" i="7" a="1"/>
  <c r="B54" i="7" s="1"/>
  <c r="B53" i="7" a="1"/>
  <c r="B53" i="7" s="1"/>
  <c r="B51" i="7" a="1"/>
  <c r="B51" i="7" s="1"/>
  <c r="B52" i="7" a="1"/>
  <c r="B52" i="7" s="1"/>
  <c r="I4" i="5"/>
  <c r="I6" i="5"/>
  <c r="I5" i="5"/>
  <c r="H6" i="5"/>
  <c r="H5" i="5"/>
  <c r="H4" i="5"/>
  <c r="S28" i="7" a="1"/>
  <c r="S28" i="7" s="1"/>
  <c r="S27" i="7" a="1"/>
  <c r="S27" i="7" s="1"/>
  <c r="S26" i="7" a="1"/>
  <c r="S26" i="7" s="1"/>
  <c r="P25" i="7"/>
  <c r="S25" i="7" s="1" a="1"/>
  <c r="S25" i="7" s="1"/>
  <c r="P24" i="7"/>
  <c r="S24" i="7" s="1" a="1"/>
  <c r="S24" i="7" s="1"/>
  <c r="P23" i="7"/>
  <c r="S23" i="7" s="1" a="1"/>
  <c r="S23" i="7" s="1"/>
  <c r="P22" i="7"/>
  <c r="S22" i="7" s="1" a="1"/>
  <c r="S22" i="7" s="1"/>
  <c r="P21" i="7"/>
  <c r="S21" i="7" s="1" a="1"/>
  <c r="S21" i="7" s="1"/>
  <c r="I10" i="7"/>
  <c r="I9" i="7"/>
  <c r="I8" i="7"/>
  <c r="I7" i="7"/>
  <c r="I6" i="7"/>
  <c r="K52" i="7" l="1" a="1"/>
  <c r="K52" i="7" s="1"/>
  <c r="I52" i="7" a="1"/>
  <c r="I52" i="7" s="1"/>
  <c r="M74" i="7" a="1"/>
  <c r="M74" i="7" s="1"/>
  <c r="L74" i="7" a="1"/>
  <c r="L74" i="7" s="1"/>
  <c r="K74" i="7" a="1"/>
  <c r="K74" i="7" s="1"/>
  <c r="J74" i="7" a="1"/>
  <c r="J74" i="7" s="1"/>
  <c r="I74" i="7" a="1"/>
  <c r="I74" i="7" s="1"/>
  <c r="M73" i="7" a="1"/>
  <c r="M73" i="7" s="1"/>
  <c r="L73" i="7" a="1"/>
  <c r="L73" i="7" s="1"/>
  <c r="K73" i="7" a="1"/>
  <c r="K73" i="7" s="1"/>
  <c r="J73" i="7" a="1"/>
  <c r="J73" i="7" s="1"/>
  <c r="I73" i="7" a="1"/>
  <c r="I73" i="7" s="1"/>
  <c r="M72" i="7" a="1"/>
  <c r="M72" i="7" s="1"/>
  <c r="L72" i="7" a="1"/>
  <c r="L72" i="7" s="1"/>
  <c r="K72" i="7" a="1"/>
  <c r="K72" i="7" s="1"/>
  <c r="J72" i="7" a="1"/>
  <c r="J72" i="7" s="1"/>
  <c r="I72" i="7" a="1"/>
  <c r="I72" i="7" s="1"/>
  <c r="M71" i="7" a="1"/>
  <c r="M71" i="7" s="1"/>
  <c r="L71" i="7" a="1"/>
  <c r="L71" i="7" s="1"/>
  <c r="M53" i="7" a="1"/>
  <c r="M53" i="7" s="1"/>
  <c r="J53" i="7" a="1"/>
  <c r="J53" i="7" s="1"/>
  <c r="M52" i="7" a="1"/>
  <c r="M52" i="7" s="1"/>
  <c r="J52" i="7" a="1"/>
  <c r="J52" i="7" s="1"/>
  <c r="K71" i="7" a="1"/>
  <c r="K71" i="7" s="1"/>
  <c r="J71" i="7" a="1"/>
  <c r="J71" i="7" s="1"/>
  <c r="I71" i="7" a="1"/>
  <c r="I71" i="7" s="1"/>
  <c r="M70" i="7" a="1"/>
  <c r="M70" i="7" s="1"/>
  <c r="L70" i="7" a="1"/>
  <c r="L70" i="7" s="1"/>
  <c r="K70" i="7" a="1"/>
  <c r="K70" i="7" s="1"/>
  <c r="J70" i="7" a="1"/>
  <c r="J70" i="7" s="1"/>
  <c r="I70" i="7" a="1"/>
  <c r="I70" i="7" s="1"/>
  <c r="M69" i="7" a="1"/>
  <c r="M69" i="7" s="1"/>
  <c r="L69" i="7" a="1"/>
  <c r="L69" i="7" s="1"/>
  <c r="K69" i="7" a="1"/>
  <c r="K69" i="7" s="1"/>
  <c r="J69" i="7" a="1"/>
  <c r="J69" i="7" s="1"/>
  <c r="I69" i="7" a="1"/>
  <c r="I69" i="7" s="1"/>
  <c r="M68" i="7" a="1"/>
  <c r="M68" i="7" s="1"/>
  <c r="L68" i="7" a="1"/>
  <c r="L68" i="7" s="1"/>
  <c r="K68" i="7" a="1"/>
  <c r="K68" i="7" s="1"/>
  <c r="J68" i="7" a="1"/>
  <c r="J68" i="7" s="1"/>
  <c r="I68" i="7" a="1"/>
  <c r="I68" i="7" s="1"/>
  <c r="M67" i="7" a="1"/>
  <c r="M67" i="7" s="1"/>
  <c r="L67" i="7" a="1"/>
  <c r="L67" i="7" s="1"/>
  <c r="K67" i="7" a="1"/>
  <c r="K67" i="7" s="1"/>
  <c r="J67" i="7" a="1"/>
  <c r="J67" i="7" s="1"/>
  <c r="I67" i="7" a="1"/>
  <c r="I67" i="7" s="1"/>
  <c r="M66" i="7" a="1"/>
  <c r="M66" i="7" s="1"/>
  <c r="L66" i="7" a="1"/>
  <c r="L66" i="7" s="1"/>
  <c r="K66" i="7" a="1"/>
  <c r="K66" i="7" s="1"/>
  <c r="J66" i="7" a="1"/>
  <c r="J66" i="7" s="1"/>
  <c r="I66" i="7" a="1"/>
  <c r="I66" i="7" s="1"/>
  <c r="M65" i="7" a="1"/>
  <c r="M65" i="7" s="1"/>
  <c r="L65" i="7" a="1"/>
  <c r="L65" i="7" s="1"/>
  <c r="K65" i="7" a="1"/>
  <c r="K65" i="7" s="1"/>
  <c r="J65" i="7" a="1"/>
  <c r="J65" i="7" s="1"/>
  <c r="I65" i="7" a="1"/>
  <c r="I65" i="7" s="1"/>
  <c r="M64" i="7" a="1"/>
  <c r="M64" i="7" s="1"/>
  <c r="L64" i="7" a="1"/>
  <c r="L64" i="7" s="1"/>
  <c r="K64" i="7" a="1"/>
  <c r="K64" i="7" s="1"/>
  <c r="J64" i="7" a="1"/>
  <c r="J64" i="7" s="1"/>
  <c r="I64" i="7" a="1"/>
  <c r="I64" i="7" s="1"/>
  <c r="M63" i="7" a="1"/>
  <c r="M63" i="7" s="1"/>
  <c r="L63" i="7" a="1"/>
  <c r="L63" i="7" s="1"/>
  <c r="K63" i="7" a="1"/>
  <c r="K63" i="7" s="1"/>
  <c r="J63" i="7" a="1"/>
  <c r="J63" i="7" s="1"/>
  <c r="I63" i="7" a="1"/>
  <c r="I63" i="7" s="1"/>
  <c r="M62" i="7" a="1"/>
  <c r="M62" i="7" s="1"/>
  <c r="L62" i="7" a="1"/>
  <c r="L62" i="7" s="1"/>
  <c r="K62" i="7" a="1"/>
  <c r="K62" i="7" s="1"/>
  <c r="J62" i="7" a="1"/>
  <c r="J62" i="7" s="1"/>
  <c r="I62" i="7" a="1"/>
  <c r="I62" i="7" s="1"/>
  <c r="M61" i="7" a="1"/>
  <c r="M61" i="7" s="1"/>
  <c r="L61" i="7" a="1"/>
  <c r="L61" i="7" s="1"/>
  <c r="K61" i="7" a="1"/>
  <c r="K61" i="7" s="1"/>
  <c r="J61" i="7" a="1"/>
  <c r="J61" i="7" s="1"/>
  <c r="I61" i="7" a="1"/>
  <c r="I61" i="7" s="1"/>
  <c r="M60" i="7" a="1"/>
  <c r="M60" i="7" s="1"/>
  <c r="L60" i="7" a="1"/>
  <c r="L60" i="7" s="1"/>
  <c r="K60" i="7" a="1"/>
  <c r="K60" i="7" s="1"/>
  <c r="J60" i="7" a="1"/>
  <c r="J60" i="7" s="1"/>
  <c r="I60" i="7" a="1"/>
  <c r="I60" i="7" s="1"/>
  <c r="M59" i="7" a="1"/>
  <c r="M59" i="7" s="1"/>
  <c r="L59" i="7" a="1"/>
  <c r="L59" i="7" s="1"/>
  <c r="K59" i="7" a="1"/>
  <c r="K59" i="7" s="1"/>
  <c r="J59" i="7" a="1"/>
  <c r="J59" i="7" s="1"/>
  <c r="I59" i="7" a="1"/>
  <c r="I59" i="7" s="1"/>
  <c r="M58" i="7" a="1"/>
  <c r="M58" i="7" s="1"/>
  <c r="L58" i="7" a="1"/>
  <c r="L58" i="7" s="1"/>
  <c r="K58" i="7" a="1"/>
  <c r="K58" i="7" s="1"/>
  <c r="J58" i="7" a="1"/>
  <c r="J58" i="7" s="1"/>
  <c r="I58" i="7" a="1"/>
  <c r="I58" i="7" s="1"/>
  <c r="M57" i="7" a="1"/>
  <c r="M57" i="7" s="1"/>
  <c r="L57" i="7" a="1"/>
  <c r="L57" i="7" s="1"/>
  <c r="K57" i="7" a="1"/>
  <c r="K57" i="7" s="1"/>
  <c r="J57" i="7" a="1"/>
  <c r="J57" i="7" s="1"/>
  <c r="I57" i="7" a="1"/>
  <c r="I57" i="7" s="1"/>
  <c r="M56" i="7" a="1"/>
  <c r="M56" i="7" s="1"/>
  <c r="L56" i="7" a="1"/>
  <c r="L56" i="7" s="1"/>
  <c r="K56" i="7" a="1"/>
  <c r="K56" i="7" s="1"/>
  <c r="J56" i="7" a="1"/>
  <c r="J56" i="7" s="1"/>
  <c r="I56" i="7" a="1"/>
  <c r="I56" i="7" s="1"/>
  <c r="M55" i="7" a="1"/>
  <c r="M55" i="7" s="1"/>
  <c r="L55" i="7" a="1"/>
  <c r="L55" i="7" s="1"/>
  <c r="K55" i="7" a="1"/>
  <c r="K55" i="7" s="1"/>
  <c r="J55" i="7" a="1"/>
  <c r="J55" i="7" s="1"/>
  <c r="I55" i="7" a="1"/>
  <c r="I55" i="7" s="1"/>
  <c r="M54" i="7" a="1"/>
  <c r="M54" i="7" s="1"/>
  <c r="L54" i="7" a="1"/>
  <c r="L54" i="7" s="1"/>
  <c r="K54" i="7" a="1"/>
  <c r="K54" i="7" s="1"/>
  <c r="J54" i="7" a="1"/>
  <c r="J54" i="7" s="1"/>
  <c r="I54" i="7" a="1"/>
  <c r="I54" i="7" s="1"/>
  <c r="L53" i="7" a="1"/>
  <c r="L53" i="7" s="1"/>
  <c r="K53" i="7" a="1"/>
  <c r="K53" i="7" s="1"/>
  <c r="I53" i="7" a="1"/>
  <c r="I53" i="7" s="1"/>
  <c r="L52" i="7" a="1"/>
  <c r="L52" i="7" s="1"/>
  <c r="Q2" i="6"/>
  <c r="F2" i="6"/>
  <c r="Z80" i="7"/>
  <c r="N90" i="7"/>
  <c r="N89" i="7"/>
  <c r="N12" i="7" a="1"/>
  <c r="N12" i="7" s="1"/>
  <c r="N11" i="7" a="1"/>
  <c r="N11" i="7" s="1"/>
  <c r="H51" i="7"/>
  <c r="N7" i="7" a="1"/>
  <c r="N7" i="7" s="1"/>
  <c r="N8" i="7" a="1"/>
  <c r="N8" i="7" s="1"/>
  <c r="N9" i="7" a="1"/>
  <c r="N9" i="7" s="1"/>
  <c r="N6" i="7" a="1"/>
  <c r="N6" i="7" s="1"/>
  <c r="N10" i="7" a="1"/>
  <c r="N10" i="7" s="1"/>
  <c r="N13" i="7" a="1"/>
  <c r="N13" i="7" s="1"/>
  <c r="E54" i="7"/>
  <c r="S8" i="5" s="1"/>
  <c r="E55" i="7"/>
  <c r="T8" i="5" s="1"/>
  <c r="E52" i="7"/>
  <c r="Q8" i="5" s="1"/>
  <c r="E53" i="7"/>
  <c r="R8" i="5" s="1"/>
  <c r="E51" i="7"/>
  <c r="P8" i="5" s="1"/>
  <c r="H123" i="7" l="1"/>
  <c r="M51" i="7" a="1"/>
  <c r="M51" i="7" s="1"/>
  <c r="M123" i="7" s="1"/>
  <c r="L51" i="7" a="1"/>
  <c r="L51" i="7" s="1"/>
  <c r="L123" i="7" s="1"/>
  <c r="K51" i="7" a="1"/>
  <c r="K51" i="7" s="1"/>
  <c r="K123" i="7" s="1"/>
  <c r="J51" i="7" a="1"/>
  <c r="J51" i="7" s="1"/>
  <c r="J123" i="7" s="1"/>
  <c r="I51" i="7" a="1"/>
  <c r="I51" i="7" s="1"/>
  <c r="I123" i="7" s="1"/>
  <c r="N86" i="7"/>
  <c r="N87" i="7"/>
  <c r="N88" i="7"/>
  <c r="N85" i="7"/>
  <c r="N84" i="7"/>
  <c r="N82" i="7"/>
  <c r="N83" i="7"/>
  <c r="N80" i="7"/>
  <c r="N81" i="7"/>
  <c r="N78" i="7"/>
  <c r="N79" i="7"/>
  <c r="N64" i="7"/>
  <c r="N77" i="7"/>
  <c r="N75" i="7"/>
  <c r="N53" i="7"/>
  <c r="N76" i="7"/>
  <c r="N56" i="7"/>
  <c r="N61" i="7"/>
  <c r="N63" i="7"/>
  <c r="N59" i="7"/>
  <c r="N69" i="7"/>
  <c r="N58" i="7"/>
  <c r="N72" i="7"/>
  <c r="N67" i="7"/>
  <c r="N71" i="7"/>
  <c r="N73" i="7"/>
  <c r="N68" i="7"/>
  <c r="N74" i="7"/>
  <c r="N70" i="7"/>
  <c r="N66" i="7"/>
  <c r="N65" i="7"/>
  <c r="N62" i="7"/>
  <c r="N57" i="7"/>
  <c r="N52" i="7"/>
  <c r="N55" i="7"/>
  <c r="N54" i="7"/>
  <c r="N60" i="7"/>
  <c r="N14" i="7"/>
  <c r="R20" i="7"/>
  <c r="R28" i="7" s="1" a="1"/>
  <c r="R28" i="7" s="1"/>
  <c r="Q20" i="7"/>
  <c r="Q28" i="7" s="1" a="1"/>
  <c r="Q28" i="7" s="1"/>
  <c r="M5" i="7"/>
  <c r="M13" i="7" s="1" a="1"/>
  <c r="M13" i="7" s="1"/>
  <c r="L5" i="7"/>
  <c r="L13" i="7" s="1" a="1"/>
  <c r="L13" i="7" s="1"/>
  <c r="K5" i="7"/>
  <c r="K13" i="7" s="1" a="1"/>
  <c r="K13" i="7" s="1"/>
  <c r="J5" i="7"/>
  <c r="J13" i="7" s="1" a="1"/>
  <c r="J13" i="7" s="1"/>
  <c r="E5" i="7"/>
  <c r="D5" i="7"/>
  <c r="C5" i="7"/>
  <c r="B5" i="7"/>
  <c r="A7" i="7"/>
  <c r="F7" i="7" s="1" a="1"/>
  <c r="F7" i="7" s="1"/>
  <c r="A8" i="7"/>
  <c r="F8" i="7" s="1" a="1"/>
  <c r="F8" i="7" s="1"/>
  <c r="A6" i="7"/>
  <c r="F6" i="7" s="1" a="1"/>
  <c r="F6" i="7" s="1"/>
  <c r="N51" i="7" l="1"/>
  <c r="N123" i="7" s="1"/>
  <c r="O13" i="7"/>
  <c r="J11" i="7" a="1"/>
  <c r="J11" i="7" s="1"/>
  <c r="F9" i="7"/>
  <c r="L9" i="7" a="1"/>
  <c r="L9" i="7" s="1"/>
  <c r="M12" i="7" a="1"/>
  <c r="M12" i="7" s="1"/>
  <c r="M10" i="7" a="1"/>
  <c r="M10" i="7" s="1"/>
  <c r="M6" i="7" a="1"/>
  <c r="M6" i="7" s="1"/>
  <c r="T28" i="7"/>
  <c r="U28" i="7" s="1"/>
  <c r="R21" i="7" a="1"/>
  <c r="R21" i="7" s="1"/>
  <c r="R27" i="7" a="1"/>
  <c r="R27" i="7" s="1"/>
  <c r="Q24" i="7" a="1"/>
  <c r="Q24" i="7" s="1"/>
  <c r="E8" i="7" a="1"/>
  <c r="E8" i="7" s="1"/>
  <c r="R23" i="7" a="1"/>
  <c r="R23" i="7" s="1"/>
  <c r="L8" i="7" a="1"/>
  <c r="L8" i="7" s="1"/>
  <c r="B6" i="7" a="1"/>
  <c r="B6" i="7" s="1"/>
  <c r="E7" i="7" a="1"/>
  <c r="E7" i="7" s="1"/>
  <c r="Q22" i="7" a="1"/>
  <c r="Q22" i="7" s="1"/>
  <c r="M7" i="7" a="1"/>
  <c r="M7" i="7" s="1"/>
  <c r="B7" i="7" a="1"/>
  <c r="B7" i="7" s="1"/>
  <c r="C6" i="7" a="1"/>
  <c r="C6" i="7" s="1"/>
  <c r="B8" i="7" a="1"/>
  <c r="B8" i="7" s="1"/>
  <c r="C8" i="7" a="1"/>
  <c r="C8" i="7" s="1"/>
  <c r="D8" i="7" a="1"/>
  <c r="D8" i="7" s="1"/>
  <c r="C7" i="7" a="1"/>
  <c r="C7" i="7" s="1"/>
  <c r="D7" i="7" a="1"/>
  <c r="D7" i="7" s="1"/>
  <c r="D6" i="7" a="1"/>
  <c r="D6" i="7" s="1"/>
  <c r="E6" i="7" a="1"/>
  <c r="E6" i="7" s="1"/>
  <c r="K12" i="7" a="1"/>
  <c r="K12" i="7" s="1"/>
  <c r="K7" i="7" a="1"/>
  <c r="K7" i="7" s="1"/>
  <c r="L12" i="7" a="1"/>
  <c r="L12" i="7" s="1"/>
  <c r="M9" i="7" a="1"/>
  <c r="M9" i="7" s="1"/>
  <c r="J9" i="7" a="1"/>
  <c r="J9" i="7" s="1"/>
  <c r="Q23" i="7" a="1"/>
  <c r="Q23" i="7" s="1"/>
  <c r="J8" i="7" a="1"/>
  <c r="J8" i="7" s="1"/>
  <c r="M8" i="7" a="1"/>
  <c r="M8" i="7" s="1"/>
  <c r="J12" i="7" a="1"/>
  <c r="J12" i="7" s="1"/>
  <c r="Q27" i="7" a="1"/>
  <c r="Q27" i="7" s="1"/>
  <c r="Q26" i="7" a="1"/>
  <c r="Q26" i="7" s="1"/>
  <c r="R26" i="7" a="1"/>
  <c r="R26" i="7" s="1"/>
  <c r="K11" i="7" a="1"/>
  <c r="K11" i="7" s="1"/>
  <c r="L11" i="7" a="1"/>
  <c r="L11" i="7" s="1"/>
  <c r="M11" i="7" a="1"/>
  <c r="M11" i="7" s="1"/>
  <c r="R25" i="7" a="1"/>
  <c r="R25" i="7" s="1"/>
  <c r="K10" i="7" a="1"/>
  <c r="K10" i="7" s="1"/>
  <c r="Q25" i="7" a="1"/>
  <c r="Q25" i="7" s="1"/>
  <c r="L10" i="7" a="1"/>
  <c r="L10" i="7" s="1"/>
  <c r="J10" i="7" a="1"/>
  <c r="J10" i="7" s="1"/>
  <c r="R24" i="7" a="1"/>
  <c r="R24" i="7" s="1"/>
  <c r="K9" i="7" a="1"/>
  <c r="K9" i="7" s="1"/>
  <c r="K8" i="7" a="1"/>
  <c r="K8" i="7" s="1"/>
  <c r="R22" i="7" a="1"/>
  <c r="R22" i="7" s="1"/>
  <c r="L7" i="7" a="1"/>
  <c r="L7" i="7" s="1"/>
  <c r="J7" i="7" a="1"/>
  <c r="J7" i="7" s="1"/>
  <c r="K6" i="7" a="1"/>
  <c r="K6" i="7" s="1"/>
  <c r="Q21" i="7" a="1"/>
  <c r="Q21" i="7" s="1"/>
  <c r="J6" i="7" a="1"/>
  <c r="J6" i="7" s="1"/>
  <c r="L6" i="7" a="1"/>
  <c r="L6" i="7" s="1"/>
  <c r="O12" i="7" l="1"/>
  <c r="O11" i="7"/>
  <c r="O6" i="7"/>
  <c r="O9" i="7"/>
  <c r="O10" i="7"/>
  <c r="O7" i="7"/>
  <c r="O8" i="7"/>
  <c r="G7" i="7"/>
  <c r="G6" i="7"/>
  <c r="G8" i="7"/>
  <c r="Q29" i="7"/>
  <c r="S29" i="7"/>
  <c r="M14" i="7"/>
  <c r="R29" i="7"/>
  <c r="J14" i="7"/>
  <c r="L14" i="7"/>
  <c r="K14" i="7"/>
  <c r="E9" i="7"/>
  <c r="B9" i="7"/>
  <c r="C9" i="7"/>
  <c r="D9" i="7"/>
  <c r="T24" i="7"/>
  <c r="U24" i="7" s="1"/>
  <c r="T23" i="7"/>
  <c r="U23" i="7" s="1"/>
  <c r="T27" i="7"/>
  <c r="U27" i="7" s="1"/>
  <c r="T22" i="7"/>
  <c r="U22" i="7" s="1"/>
  <c r="T25" i="7"/>
  <c r="U25" i="7" s="1"/>
  <c r="T21" i="7"/>
  <c r="U21" i="7" s="1"/>
  <c r="T26" i="7"/>
  <c r="U26" i="7" s="1"/>
  <c r="T29" i="7" l="1"/>
  <c r="D2" i="7" s="1"/>
  <c r="O14" i="7"/>
  <c r="G9" i="7"/>
  <c r="E2" i="7" l="1"/>
  <c r="U2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<sst xmlns="http://schemas.openxmlformats.org/spreadsheetml/2006/main" count="2157" uniqueCount="886">
  <si>
    <t>Sub Area</t>
  </si>
  <si>
    <t>Severity</t>
  </si>
  <si>
    <t>Status</t>
  </si>
  <si>
    <t>Comment</t>
  </si>
  <si>
    <t>High</t>
  </si>
  <si>
    <t>Not verified</t>
  </si>
  <si>
    <t>Low</t>
  </si>
  <si>
    <t>Medium</t>
  </si>
  <si>
    <t>Open</t>
  </si>
  <si>
    <t>Fulfilled</t>
  </si>
  <si>
    <t>N/A</t>
  </si>
  <si>
    <t>More info</t>
  </si>
  <si>
    <t>Review Status</t>
  </si>
  <si>
    <t>Category</t>
  </si>
  <si>
    <t>Total</t>
  </si>
  <si>
    <t>Progress</t>
  </si>
  <si>
    <t>Closed</t>
  </si>
  <si>
    <t>Training</t>
  </si>
  <si>
    <t>Reference checklist base URL</t>
  </si>
  <si>
    <t>GUID</t>
  </si>
  <si>
    <t>Reviewed Items</t>
  </si>
  <si>
    <t>Open Items</t>
  </si>
  <si>
    <t>Default title</t>
  </si>
  <si>
    <t>Checklist item</t>
  </si>
  <si>
    <t>Description (optional)</t>
  </si>
  <si>
    <t>Technologies</t>
  </si>
  <si>
    <t>Languages</t>
  </si>
  <si>
    <t>AKS</t>
  </si>
  <si>
    <t>AVD</t>
  </si>
  <si>
    <t>Security</t>
  </si>
  <si>
    <t>English</t>
  </si>
  <si>
    <t>Japanese</t>
  </si>
  <si>
    <t>Korean</t>
  </si>
  <si>
    <t>Brazilian Portuguese</t>
  </si>
  <si>
    <t>Spanish</t>
  </si>
  <si>
    <t>Use the "Import latest checklist" button to get the latest version of a review checklist</t>
  </si>
  <si>
    <r>
      <rPr>
        <sz val="10"/>
        <color theme="1"/>
        <rFont val="Wingdings"/>
        <charset val="2"/>
      </rPr>
      <t>ç</t>
    </r>
    <r>
      <rPr>
        <sz val="10"/>
        <color theme="1"/>
        <rFont val="Segoe UI"/>
        <family val="2"/>
      </rPr>
      <t xml:space="preserve">
Select a technology
and a language
</t>
    </r>
    <r>
      <rPr>
        <sz val="10"/>
        <color theme="1"/>
        <rFont val="Wingdings"/>
        <charset val="2"/>
      </rPr>
      <t>ç</t>
    </r>
  </si>
  <si>
    <t>Status descriptions</t>
  </si>
  <si>
    <t>This check has not been looked at yet</t>
  </si>
  <si>
    <t>There is an action item associated to this check</t>
  </si>
  <si>
    <t>Not applicable for current design</t>
  </si>
  <si>
    <t>This check has been verified, and there are no further action items associated to it</t>
  </si>
  <si>
    <t>Multitenancy</t>
  </si>
  <si>
    <t>Technology file prefix</t>
  </si>
  <si>
    <t>aks</t>
  </si>
  <si>
    <t>avd</t>
  </si>
  <si>
    <t>avs</t>
  </si>
  <si>
    <t>Language file suffix</t>
  </si>
  <si>
    <t>en</t>
  </si>
  <si>
    <t>ja</t>
  </si>
  <si>
    <t>ko</t>
  </si>
  <si>
    <t>pt</t>
  </si>
  <si>
    <t>es</t>
  </si>
  <si>
    <t>multitenancy</t>
  </si>
  <si>
    <t>Cost</t>
  </si>
  <si>
    <t>Scale</t>
  </si>
  <si>
    <t>Secure</t>
  </si>
  <si>
    <t>Simple</t>
  </si>
  <si>
    <t>HA</t>
  </si>
  <si>
    <t>Cost-efficient</t>
  </si>
  <si>
    <t>Highly available</t>
  </si>
  <si>
    <t>Scalable</t>
  </si>
  <si>
    <t>Not required</t>
  </si>
  <si>
    <t>Min (F/NR/O)</t>
  </si>
  <si>
    <t>Max (F/NR/O)</t>
  </si>
  <si>
    <t>F+O</t>
  </si>
  <si>
    <t>Graph Query</t>
  </si>
  <si>
    <t>SAP</t>
  </si>
  <si>
    <t>sap</t>
  </si>
  <si>
    <t>apim</t>
  </si>
  <si>
    <t>API Management</t>
  </si>
  <si>
    <t>WAF Pillar</t>
  </si>
  <si>
    <t>Operations</t>
  </si>
  <si>
    <t>WAF Pillars</t>
  </si>
  <si>
    <t>Reliability</t>
  </si>
  <si>
    <t>Performance</t>
  </si>
  <si>
    <t>Azure Arc</t>
  </si>
  <si>
    <t>azure_arc</t>
  </si>
  <si>
    <t>Azure Review Checklist</t>
  </si>
  <si>
    <t>alz</t>
  </si>
  <si>
    <t>Design Area</t>
  </si>
  <si>
    <t>Version</t>
  </si>
  <si>
    <t>ID</t>
  </si>
  <si>
    <t>AMMP</t>
  </si>
  <si>
    <t>YesNo</t>
  </si>
  <si>
    <t>Yes</t>
  </si>
  <si>
    <t>No</t>
  </si>
  <si>
    <t>ARO</t>
  </si>
  <si>
    <t>aro</t>
  </si>
  <si>
    <t>Cost Optimization</t>
  </si>
  <si>
    <t>cost</t>
  </si>
  <si>
    <t>avs_implementation</t>
  </si>
  <si>
    <t>AVS Implementation</t>
  </si>
  <si>
    <t>AVS Design</t>
  </si>
  <si>
    <t>Network App Delivery</t>
  </si>
  <si>
    <t>network_appdelivery</t>
  </si>
  <si>
    <t>Spring Apps</t>
  </si>
  <si>
    <t>azurespringapps</t>
  </si>
  <si>
    <t>zh-Hant</t>
  </si>
  <si>
    <t>Chinese Traditional</t>
  </si>
  <si>
    <t>Azure Devops</t>
  </si>
  <si>
    <t>ado</t>
  </si>
  <si>
    <t>SQL Migration</t>
  </si>
  <si>
    <t>sql</t>
  </si>
  <si>
    <t>Telemetry</t>
  </si>
  <si>
    <t>no</t>
  </si>
  <si>
    <t>Settings</t>
  </si>
  <si>
    <t>yes/no</t>
  </si>
  <si>
    <t>Setting Format</t>
  </si>
  <si>
    <t>Setting Value</t>
  </si>
  <si>
    <t>Telemetry confirmation</t>
  </si>
  <si>
    <t>Source File</t>
  </si>
  <si>
    <t>Service</t>
  </si>
  <si>
    <t>Recommendation understood, but not needed by current requirements</t>
  </si>
  <si>
    <t>Services</t>
  </si>
  <si>
    <t>Should anonymous telemetry data be collected (checklist name and language, no user input) for statistics?</t>
  </si>
  <si>
    <t>Timestamp:</t>
  </si>
  <si>
    <t>WAF:</t>
  </si>
  <si>
    <t>G02.02</t>
  </si>
  <si>
    <t>a0477a20-9945-4bda-9333-4f2491163418</t>
  </si>
  <si>
    <t>Date run:</t>
  </si>
  <si>
    <t>Rec ID</t>
  </si>
  <si>
    <t>Rec GUID</t>
  </si>
  <si>
    <t>Resource</t>
  </si>
  <si>
    <t>Subscription</t>
  </si>
  <si>
    <t>RG</t>
  </si>
  <si>
    <t>Compliant</t>
  </si>
  <si>
    <t>3e78e84b-6750-44b9-9d57-d9bba935237a</t>
  </si>
  <si>
    <t>cloudtrooper</t>
  </si>
  <si>
    <t>/subscriptions/3e78e84b-6750-44b9-9d57-d9bba935237a/resourceGroups/keyvault/providers/Microsoft.KeyVault/vaults/cloudtrooper</t>
  </si>
  <si>
    <t>keyvault</t>
  </si>
  <si>
    <t>e7da9914-9b05-4891-893c-546cb7b0422e</t>
  </si>
  <si>
    <t>argtest</t>
  </si>
  <si>
    <t>/subscriptions/e7da9914-9b05-4891-893c-546cb7b0422e/resourceGroups/argtest/providers/Microsoft.KeyVault/vaults/jomore-nopurgeprotection</t>
  </si>
  <si>
    <t>/subscriptions/e7da9914-9b05-4891-893c-546cb7b0422e/resourceGroups/argtest/providers/Microsoft.KeyVault/vaults/jomore-purgeprotection</t>
  </si>
  <si>
    <t>fta</t>
  </si>
  <si>
    <t>/subscriptions/e7da9914-9b05-4891-893c-546cb7b0422e/resourceGroups/fta/providers/Microsoft.KeyVault/vaults/keyvaultfta</t>
  </si>
  <si>
    <t>/subscriptions/e7da9914-9b05-4891-893c-546cb7b0422e/resourceGroups/keyvaults/providers/Microsoft.KeyVault/vaults/joseakv-airs</t>
  </si>
  <si>
    <t>keyvaults</t>
  </si>
  <si>
    <t>/subscriptions/e7da9914-9b05-4891-893c-546cb7b0422e/resourceGroups/myKeyvault/providers/Microsoft.KeyVault/vaults/erjositoKeyvault</t>
  </si>
  <si>
    <t>myKeyvault</t>
  </si>
  <si>
    <t>Provider</t>
  </si>
  <si>
    <t>Type</t>
  </si>
  <si>
    <t>Name</t>
  </si>
  <si>
    <t>Fail</t>
  </si>
  <si>
    <t>vaults</t>
  </si>
  <si>
    <t>Microsoft.KeyVault</t>
  </si>
  <si>
    <t>jomore-nopurgeprotection</t>
  </si>
  <si>
    <t>jomore-purgeprotection</t>
  </si>
  <si>
    <t>keyvaultfta</t>
  </si>
  <si>
    <t>joseakv-airs</t>
  </si>
  <si>
    <t>erjositoKeyvault</t>
  </si>
  <si>
    <t>Share GUID:</t>
  </si>
  <si>
    <t>Subscription(s):</t>
  </si>
  <si>
    <t>Mgmt group(s):</t>
  </si>
  <si>
    <t>Result limit:</t>
  </si>
  <si>
    <t>Please send us feedback about the review checklists!</t>
  </si>
  <si>
    <t>Checks with ARG query</t>
  </si>
  <si>
    <t>WAF</t>
  </si>
  <si>
    <t>waf</t>
  </si>
  <si>
    <t>F=Fulfilled</t>
  </si>
  <si>
    <t>NR=NotRequired</t>
  </si>
  <si>
    <t>O=Open</t>
  </si>
  <si>
    <t>Max score only Fulfilled/NotRequired/Open (the rest of the items are ignored)</t>
  </si>
  <si>
    <t>Score</t>
  </si>
  <si>
    <t>theaks</t>
  </si>
  <si>
    <t>Folder</t>
  </si>
  <si>
    <t>checklists</t>
  </si>
  <si>
    <t>Source</t>
  </si>
  <si>
    <t>Review checklists</t>
  </si>
  <si>
    <t>Sources</t>
  </si>
  <si>
    <t>the-aks-checklist.com</t>
  </si>
  <si>
    <t>WAF service guides</t>
  </si>
  <si>
    <t>azurekubernetesservice_sg</t>
  </si>
  <si>
    <t>checklists-ext</t>
  </si>
  <si>
    <t>Source:</t>
  </si>
  <si>
    <t>https://raw.githubusercontent.com/Azure/review-checklists/main/</t>
  </si>
  <si>
    <t>View</t>
  </si>
  <si>
    <t>Views</t>
  </si>
  <si>
    <t>all</t>
  </si>
  <si>
    <t>normal</t>
  </si>
  <si>
    <t>File prefix</t>
  </si>
  <si>
    <t>Azure Firewall</t>
  </si>
  <si>
    <t>azurefirewall_sg</t>
  </si>
  <si>
    <t>APRL</t>
  </si>
  <si>
    <t>aprl</t>
  </si>
  <si>
    <t>ExpressRoute</t>
  </si>
  <si>
    <t>OpenAI</t>
  </si>
  <si>
    <t>azureexpressroute_sg</t>
  </si>
  <si>
    <t>azureopenai_sg</t>
  </si>
  <si>
    <t>All</t>
  </si>
  <si>
    <t>wafsg</t>
  </si>
  <si>
    <t>Machine Learning</t>
  </si>
  <si>
    <t>azuremachinelearning</t>
  </si>
  <si>
    <t>Virtual Machines</t>
  </si>
  <si>
    <t>virtualmachines</t>
  </si>
  <si>
    <t>Front Door</t>
  </si>
  <si>
    <t>azurefrontdoor</t>
  </si>
  <si>
    <t>Application Gateway</t>
  </si>
  <si>
    <t>azureapplicationgateway</t>
  </si>
  <si>
    <t>Blob Storage</t>
  </si>
  <si>
    <t>azureblobstorage</t>
  </si>
  <si>
    <t>Web Apps</t>
  </si>
  <si>
    <t>azureservicewebapps</t>
  </si>
  <si>
    <t>Azure Files</t>
  </si>
  <si>
    <t>azurefiles</t>
  </si>
  <si>
    <t>Multiple</t>
  </si>
  <si>
    <t>fullwaf</t>
  </si>
  <si>
    <t>Review + APRL + SG</t>
  </si>
  <si>
    <t>afd</t>
  </si>
  <si>
    <t>Azure Landing Zone</t>
  </si>
  <si>
    <t>AI Landing Zone</t>
  </si>
  <si>
    <t>ai_lz</t>
  </si>
  <si>
    <t>Identity and Access Management</t>
  </si>
  <si>
    <t>Network Topology and Connectivity</t>
  </si>
  <si>
    <t>Application Deployment</t>
  </si>
  <si>
    <t>BC and DR</t>
  </si>
  <si>
    <t>Cost Governance</t>
  </si>
  <si>
    <t>Governance and Security</t>
  </si>
  <si>
    <t>v1.5.4</t>
  </si>
  <si>
    <t>Preview</t>
  </si>
  <si>
    <t>AI.1</t>
  </si>
  <si>
    <t>Data Classification</t>
  </si>
  <si>
    <t>Azure DevOps</t>
  </si>
  <si>
    <t>Establish a version control process for grounding data, for example, in RAG.</t>
  </si>
  <si>
    <t>20a734fb-ca83-4ce0-b3a7-935a00b2e9b9</t>
  </si>
  <si>
    <t>AI.10</t>
  </si>
  <si>
    <t>Quotas</t>
  </si>
  <si>
    <t>Azure OpenAI</t>
  </si>
  <si>
    <t>Ensure having adequate quotas of TPM &amp; RPM for the workload</t>
  </si>
  <si>
    <t>5ca44e46-85e2-4223-ace8-bb12308ca5f1</t>
  </si>
  <si>
    <t>AI.100</t>
  </si>
  <si>
    <t>Authentication</t>
  </si>
  <si>
    <t>Microsoft Entra</t>
  </si>
  <si>
    <t>Use Microsoft Entra ID PIM access reviews to periodically validate resource entitlements.</t>
  </si>
  <si>
    <t>c51df970-509c-4110-960a-601dd2348dbf</t>
  </si>
  <si>
    <t>AI.101</t>
  </si>
  <si>
    <t>Azure API Management</t>
  </si>
  <si>
    <t>Require clients to authenticate using Entra ID when accessing AI model endpoints.</t>
  </si>
  <si>
    <t>21f656e3-7ba4-4d23-be79-02a6264a1942</t>
  </si>
  <si>
    <t>AI.102</t>
  </si>
  <si>
    <t>Entra ID based access</t>
  </si>
  <si>
    <t xml:space="preserve">Key access (local authentication) is recommended to be disabled for security.  After disabling key based access, Microsoft Entra ID becomes the only access method, which allows maintaining minimum privilege principle and granular control. </t>
  </si>
  <si>
    <t>resources | where type =~ 'Microsoft.CognitiveServices/accounts' or type == 'microsoft.search/searchservices' | project id, compliant = (properties.disableLocalAuth == true)</t>
  </si>
  <si>
    <t>11cc57b4-a4b1-4410-b439-58a8c2289b3d</t>
  </si>
  <si>
    <t>AI.103</t>
  </si>
  <si>
    <t>Restrict access to select virtual networks or use private endpoints.</t>
  </si>
  <si>
    <t>c9635b24-65e0-41c9-a442-53f320f2054f</t>
  </si>
  <si>
    <t>AI.104</t>
  </si>
  <si>
    <t>Azure AI Services (Speech, Bing, Translator etc.)</t>
  </si>
  <si>
    <t>Azure AI Services</t>
  </si>
  <si>
    <t>bdd4c29c-da1f-4632-b8ac-b48f713981b1</t>
  </si>
  <si>
    <t>AI.105</t>
  </si>
  <si>
    <t>Azure Machine Learning</t>
  </si>
  <si>
    <t>Restrict network access to Azure Machine Learning resources.</t>
  </si>
  <si>
    <t>d0675476-5676-4392-b98e-953c2720554d</t>
  </si>
  <si>
    <t>AI.106</t>
  </si>
  <si>
    <t>Configure data loss prevention for Azure AI services.</t>
  </si>
  <si>
    <t>b0ffe298-2f44-4af0-94c6-250e732b3e28</t>
  </si>
  <si>
    <t>AI.107</t>
  </si>
  <si>
    <t>Azure AI Foundry</t>
  </si>
  <si>
    <t>Limit outbound traffic from your AI resources.</t>
  </si>
  <si>
    <t>fa191645-9897-4e46-82a7-d30aa352f7d2</t>
  </si>
  <si>
    <t>AI.108</t>
  </si>
  <si>
    <t>Allow only approved network outbound mode.</t>
  </si>
  <si>
    <t>3b85ba90-0f99-4b74-ab1f-40ca251f3706</t>
  </si>
  <si>
    <t>AI.109</t>
  </si>
  <si>
    <t>API Gateway</t>
  </si>
  <si>
    <t>Deploy a API Gateway solution like API-Management to load balance requests, rate limit tokens, keyless authentication and monitor AI usage.</t>
  </si>
  <si>
    <t>129b5c68-132e-4839-ac3a-ebe7c14bc08e</t>
  </si>
  <si>
    <t>AI.11</t>
  </si>
  <si>
    <t>Load balancing</t>
  </si>
  <si>
    <t>Deploy separate fine tuned models across regions if finetuning is employed</t>
  </si>
  <si>
    <t>7f154e3a-a369-4282-ae7e-316183687a04</t>
  </si>
  <si>
    <t>AI.110</t>
  </si>
  <si>
    <t xml:space="preserve">Network Topology and Connectivity </t>
  </si>
  <si>
    <t>Configure the AI managed network and use private endpoints.</t>
  </si>
  <si>
    <t>e3a78016-e8d8-4598-9cbf-02599ff12e3d</t>
  </si>
  <si>
    <t>AI.111</t>
  </si>
  <si>
    <t>Azure Container Apps</t>
  </si>
  <si>
    <t>Use Dynamic Sessions in Azure Container Apps, to ensure each code execution occurs in a fresh, isolated environment that is destroyed after use.</t>
  </si>
  <si>
    <t>be2ade6f-bea6-4092-9dab-49e8f8c2ddb7</t>
  </si>
  <si>
    <t>AI.112</t>
  </si>
  <si>
    <t>NA</t>
  </si>
  <si>
    <t>Set resource limits (CPU, memory, disk usage) for code execution environments to prevent any single execution from consuming excessive resources.</t>
  </si>
  <si>
    <t>2ba176b3-5d95-4caf-a870-0b0ecd65c3af</t>
  </si>
  <si>
    <t>AI.113</t>
  </si>
  <si>
    <t>Monitoring</t>
  </si>
  <si>
    <t>Implement a monitoring system to ensure that AI workloads remain aligned with KPIs.</t>
  </si>
  <si>
    <t>988b2b85-208c-44f9-9b0d-e81327060c25</t>
  </si>
  <si>
    <t>AI.114</t>
  </si>
  <si>
    <t>Proactively identify performance bottlenecks and anomalies.</t>
  </si>
  <si>
    <t>48a9f4af-7ab1-45c3-9d62-e06d9df08986</t>
  </si>
  <si>
    <t>AI.115</t>
  </si>
  <si>
    <t>Azure Service Health</t>
  </si>
  <si>
    <t>Include service and resource health events as part of the overall platform monitoring solution.</t>
  </si>
  <si>
    <t>6181f3aa-1b06-4ece-b0fe-b373f2ca30d9</t>
  </si>
  <si>
    <t>AI.116</t>
  </si>
  <si>
    <t>Azure Monitor</t>
  </si>
  <si>
    <t>Deploy AMBA to establish monitoring for platform components of your landing zone.</t>
  </si>
  <si>
    <t>b49dd9e6-e189-4fc5-a02d-d5cc04583d1d</t>
  </si>
  <si>
    <t>AI.117</t>
  </si>
  <si>
    <t>Track retirement for pretrained models avoids performance issues when vendor support ends.</t>
  </si>
  <si>
    <t>d71bb244-4ec4-4f61-9ff1-cfdffc0c8036</t>
  </si>
  <si>
    <t>AI.118</t>
  </si>
  <si>
    <t>Schedule regular retraining based on model performance or business needs to ensure the AI system stays relevant.</t>
  </si>
  <si>
    <t>e0572cb0-cd12-450c-950c-b007c0fc2afb</t>
  </si>
  <si>
    <t>AI.119</t>
  </si>
  <si>
    <t>Establish model promotion process to promote trained, fine-tuned, and retrained models to higher environments based on performance criteria.</t>
  </si>
  <si>
    <t>b73836e9-356c-4aaf-8a2d-af4cd51dfcc1</t>
  </si>
  <si>
    <t>AI.12</t>
  </si>
  <si>
    <t>Data Backup and Disaster Recovery</t>
  </si>
  <si>
    <t>Regularly backup and replicate critical data to ensure data availability and recoverability in case of data loss or system failures. Leverage Azure's backup and disaster recovery services to protect your data.</t>
  </si>
  <si>
    <t>77a1f893-5bda-4433-84f2-4811633182ba</t>
  </si>
  <si>
    <t>AI.120</t>
  </si>
  <si>
    <t>Standardize compute management for Azure AI Foundry.</t>
  </si>
  <si>
    <t>79eca34e-0aeb-4160-9fe8-0ff5c647e1c7</t>
  </si>
  <si>
    <t>AI.121</t>
  </si>
  <si>
    <t>Standardize compute management for Azure Machine Learning.</t>
  </si>
  <si>
    <t>a35efa79-4227-4c84-a038-e19d8b8c365f</t>
  </si>
  <si>
    <t>AI.122</t>
  </si>
  <si>
    <t>Azure Resource Manager</t>
  </si>
  <si>
    <t>Use resource locks to prevent accidental deletion of critical shared services.</t>
  </si>
  <si>
    <t>200a5d55-e0be-450c-83c1-4af6c44fd4bd</t>
  </si>
  <si>
    <t>AI.123</t>
  </si>
  <si>
    <t>Azure Open AI</t>
  </si>
  <si>
    <t>Enforce recommended guardrails for Azure Open AI</t>
  </si>
  <si>
    <t>c4a479ba-3007-4ef8-b845-c15febd3c3e3</t>
  </si>
  <si>
    <t>AI.124</t>
  </si>
  <si>
    <t>Enforce recommended guardrails for Machine Learning.</t>
  </si>
  <si>
    <t>2355aba7-e21a-4bb0-b89a-99597783f4b2</t>
  </si>
  <si>
    <t>AI.125</t>
  </si>
  <si>
    <t>Enforce recommended guardrails for Azure AI Services.</t>
  </si>
  <si>
    <t>12ff613a-8408-4ac5-915f-5f46cf7fd970</t>
  </si>
  <si>
    <t>AI.126</t>
  </si>
  <si>
    <t>Enforce recommended guardrails for API Management</t>
  </si>
  <si>
    <t>65a0e89a-d016-4eda-b366-af816f1344d6</t>
  </si>
  <si>
    <t>AI.127</t>
  </si>
  <si>
    <t>Azure AI Search</t>
  </si>
  <si>
    <t>Ensure high-quality data in the correct format, and likely chunked, enriched, and embedded for AI model consumption.</t>
  </si>
  <si>
    <t>86617182-f039-4f35-ad77-25419a3c98df</t>
  </si>
  <si>
    <t>AI.128</t>
  </si>
  <si>
    <t>Manage model versioning and detect drift and set alerts when model predictions or LLM responses start to deviate from expected behavior.</t>
  </si>
  <si>
    <t>2181bc5a-da1e-4b2e-b83b-4398398f34c2</t>
  </si>
  <si>
    <t>AI.129</t>
  </si>
  <si>
    <t>Load Balancing</t>
  </si>
  <si>
    <t>Consider Gateway patterns with APIM  or solutions like AI central for better rate limiting, load balancing, authentication and logging</t>
  </si>
  <si>
    <t>d4391898-cd28-48be-b6b1-7cb8245451e1</t>
  </si>
  <si>
    <t>AI.13</t>
  </si>
  <si>
    <t>SLA considerations</t>
  </si>
  <si>
    <t xml:space="preserve">Azure AI search service tiers should be choosen to have a SLA </t>
  </si>
  <si>
    <t>resources | where type == 'microsoft.search/searchservices' | extend compliant = (sku.name != 'free' and properties.replicaCount &gt;= 3) | project id, compliant</t>
  </si>
  <si>
    <t>95b96ad8-844c-4e3b-8b38-b876ba2cf204</t>
  </si>
  <si>
    <t>AI.130</t>
  </si>
  <si>
    <t>Enable monitoring for your AOAI instances</t>
  </si>
  <si>
    <t>aed3453a-ec72-4392-97a1-52d6cc5e4029</t>
  </si>
  <si>
    <t>AI.131</t>
  </si>
  <si>
    <t>Alerts</t>
  </si>
  <si>
    <t>Create alerts to notify teams of events such as an entry in the activity log created by an action performed on the resource, such as regenerating its subscription keys or a metric threshold such as the number of errors exceeding 10 in an hour</t>
  </si>
  <si>
    <t>resources | where type == 'microsoft.insights/metricalerts' | extend compliant = (properties.targetResourceType =~ 'Microsoft.CognitiveServices/accounts') | project id, compliant</t>
  </si>
  <si>
    <t>697cb391-ed16-4b2d-886f-0a0241addde6</t>
  </si>
  <si>
    <t>AI.132</t>
  </si>
  <si>
    <t>Monitor token usage to prevent service disruptions due to capacity</t>
  </si>
  <si>
    <t>8a477cde-b486-41bc-9bc1-0ae66e25d4d5</t>
  </si>
  <si>
    <t>AI.133</t>
  </si>
  <si>
    <t>Observability</t>
  </si>
  <si>
    <t>observe metrics like processed inference tokens, generated completion tokens monitor for rate limit</t>
  </si>
  <si>
    <t>a3aec2c4-e243-46b0-936c-b45e17960eee</t>
  </si>
  <si>
    <t>AI.134</t>
  </si>
  <si>
    <t>Enable and configure Diagnostics for the Azure OpenAI Service. If not sufficient, consider using a gateway such as Azure API Managements in front of Azure OpenAI to log both incoming prompts and outgoing responses, where permitted</t>
  </si>
  <si>
    <t>fbdf4cc2-eec4-4d76-8c31-d25ffbb46a39</t>
  </si>
  <si>
    <t>AI.135</t>
  </si>
  <si>
    <t>Infrastructure Deployment</t>
  </si>
  <si>
    <t>Use Infrastructure as code to deploy the Azure OpenAI Service, model deployments, and all related resources</t>
  </si>
  <si>
    <t>3af30ed3-2947-498b-8178-a2c5a46ceb54</t>
  </si>
  <si>
    <t>AI.136</t>
  </si>
  <si>
    <t>Hosting model</t>
  </si>
  <si>
    <t xml:space="preserve">Evaluate usage of Provisioned throughput model </t>
  </si>
  <si>
    <t>68889535-e327-4897-b31b-67d67be5962a</t>
  </si>
  <si>
    <t>AI.137</t>
  </si>
  <si>
    <t>Throughput definition</t>
  </si>
  <si>
    <t>Define and evaluate the throughput of the system based on tokens &amp; response per minute and align with requirements</t>
  </si>
  <si>
    <t>1193846d-697c-4b39-8ed1-6b2d186f0a02</t>
  </si>
  <si>
    <t>AI.138</t>
  </si>
  <si>
    <t>Latency improvement</t>
  </si>
  <si>
    <t>Improve latency of the system by limiting token sizes, streaming options for applications like chatbots or conversational interfaces. Streaming can enhance the perceived performance of Azure OpenAI applications by delivering responses to users in an incremental manner</t>
  </si>
  <si>
    <t>41addde6-8a47-47cd-bb48-61bc3bc10ae6</t>
  </si>
  <si>
    <t>AI.139</t>
  </si>
  <si>
    <t>Elasticity segregation</t>
  </si>
  <si>
    <t>Estimate elasticity demands to determine synchronous and batch request segregation based on priority. For high priority, use synchronous approach and for low priority, asynchronous batch processing with queue is preferred</t>
  </si>
  <si>
    <t>6e25d4d5-a3ae-4c2c-9e24-36b0336cb45e</t>
  </si>
  <si>
    <t>AI.14</t>
  </si>
  <si>
    <t>Cost Management</t>
  </si>
  <si>
    <t>Verify PTU cost savings vs pay as you pricing for Azure OpenAI and OpenAI models.</t>
  </si>
  <si>
    <t>4bfd472f-6860-4b27-a90c-a34b36b296cb</t>
  </si>
  <si>
    <t>AI.140</t>
  </si>
  <si>
    <t>Benchmarking</t>
  </si>
  <si>
    <t>Benchmark token consumption requirements based on estimated demands from consumers. Consider using the Azure OpenAI benchmarking tool to help you validate the throughput if you are using Provisioned Throughput Unit deployments</t>
  </si>
  <si>
    <t>5bda4332-4f24-4811-9331-82ba51752694</t>
  </si>
  <si>
    <t>AI.141</t>
  </si>
  <si>
    <t xml:space="preserve">Elasticity </t>
  </si>
  <si>
    <t>If you are using Provisioned Throughput Units (PTUs), consider deploying a token-per-minute (TPM) deployment for overflow requests. Use a gateway to route requests to the TPM deployment when the PTU limits are reached.</t>
  </si>
  <si>
    <t>4008ae7d-7e47-4432-96d8-bdcf55bce619</t>
  </si>
  <si>
    <t>AI.142</t>
  </si>
  <si>
    <t>Model choice</t>
  </si>
  <si>
    <t>Choose the right model for the right task. Pick models with right tradeoff between speed, quality of response and output complexity</t>
  </si>
  <si>
    <t>e8a13f98-8794-424d-9267-86d60b96c97b</t>
  </si>
  <si>
    <t>AI.143</t>
  </si>
  <si>
    <t>Fine tuning</t>
  </si>
  <si>
    <t>Have a baseline for performance without fine-tuning for knowing whether or not fine-tuning has improved model performance</t>
  </si>
  <si>
    <t>e9951904-8384-45c9-a6cb-2912156a1147</t>
  </si>
  <si>
    <t>AI.144</t>
  </si>
  <si>
    <t>AI Search Vector Limits</t>
  </si>
  <si>
    <t>Plan and manage AI Search Vector storage</t>
  </si>
  <si>
    <t>3266b225-86f4-4a16-92bd-ddea8a487cde</t>
  </si>
  <si>
    <t>AI.145</t>
  </si>
  <si>
    <t>DevOps</t>
  </si>
  <si>
    <t>Ensure deployment of Azure OpenAI instances across your various environments, such as development, test, and production supporting lrarning &amp; experimentation. Apply LLMOps practices to automate the lifecycle management of your GenAI applications</t>
  </si>
  <si>
    <t>b4861bc3-bc14-4aeb-9e66-e8d9a3aec218</t>
  </si>
  <si>
    <t>AI.146</t>
  </si>
  <si>
    <t>Evaluate the quality of  prompts and applications when switching between model versions</t>
  </si>
  <si>
    <t>e6436b07-36db-455f-9796-03334bdf9cc2</t>
  </si>
  <si>
    <t>AI.147</t>
  </si>
  <si>
    <t>Development</t>
  </si>
  <si>
    <t>Evaluate, monitor and refine your GenAI apps for features like groundedness, relevance, accuracy, coherence and fluency</t>
  </si>
  <si>
    <t>3418db61-2712-4650-9bb4-7a393a080327</t>
  </si>
  <si>
    <t>AI.148</t>
  </si>
  <si>
    <t>Evaluate your Azure AI Search results based on different search parameters</t>
  </si>
  <si>
    <t>294798b1-578b-4219-a46c-eb5443513592</t>
  </si>
  <si>
    <t>AI.149</t>
  </si>
  <si>
    <t>Look at fine tuning models as way of increasing accuracy only when you have tried other basic approaches like prompt engineering and RAG with your data</t>
  </si>
  <si>
    <t>2744293b-b628-4537-a551-19b08e8f5854</t>
  </si>
  <si>
    <t>AI.15</t>
  </si>
  <si>
    <t>Ensure the right and cost effective model is in use, unless the use case demands a more expensive model.</t>
  </si>
  <si>
    <t>d59e6d68-eaa3-4eec-b2c9-f7bf55bea7f6</t>
  </si>
  <si>
    <t>AI.150</t>
  </si>
  <si>
    <t>Use prompt engineering techniques to improve the accuracy of LLM responses</t>
  </si>
  <si>
    <t>287d9cec-166c-4d07-8af9-b141a898a535</t>
  </si>
  <si>
    <t>AI.151</t>
  </si>
  <si>
    <t>End user feedback</t>
  </si>
  <si>
    <t xml:space="preserve">Provide end users with scoring options for LLM responses and track these scores. </t>
  </si>
  <si>
    <t>edb117e6-76aa-4f66-aca4-8e5a95f2223e</t>
  </si>
  <si>
    <t>AI.152</t>
  </si>
  <si>
    <t>Use Load balancer solutions like APIM based gateway for balancing load and capacity across services and regions</t>
  </si>
  <si>
    <t>9de0d5d7-31d4-41e3-911c-817bfafbc410</t>
  </si>
  <si>
    <t>AI.153</t>
  </si>
  <si>
    <t>Follow the guidance for fine-tuning with large data files and import the data from an Azure blob store. Large files, 100 MB or larger, can become unstable when uploaded through multipart forms because the requests are atomic and can't be retried or resumed</t>
  </si>
  <si>
    <t>9de0d5d7-31d4-41e3-911c-817bfafbc411</t>
  </si>
  <si>
    <t>AI.154</t>
  </si>
  <si>
    <t>Manage rate limits for your model deployments and monitor usage of tokens per minute (TPM) and requests per minute (RPM) for pay-as-you-go deployments</t>
  </si>
  <si>
    <t>9de0d5d7-31d4-41e3-911c-817bfafbc412</t>
  </si>
  <si>
    <t>AI.155</t>
  </si>
  <si>
    <t>Monitor provision-managed utilization if you're using the provisioned throughput payment model</t>
  </si>
  <si>
    <t>9de0d5d7-31d4-41e3-911c-817bfafbc413</t>
  </si>
  <si>
    <t>AI.156</t>
  </si>
  <si>
    <t>IaC</t>
  </si>
  <si>
    <t>Use infrastructure as code (IaC) to deploy Azure OpenAI, model deployments, and other infrastructure required for fine-tuning models</t>
  </si>
  <si>
    <t>b4861bc3-bc14-4aeb-9e66-e8d9a3aec219</t>
  </si>
  <si>
    <t>AI.157</t>
  </si>
  <si>
    <t>Consider using dedicated model deployments per consumer group to provide per-model usage isolation that can help prevent noisy neighbors between your consumer groups</t>
  </si>
  <si>
    <t>2744293b-b628-4537-a551-19b08e8f5855</t>
  </si>
  <si>
    <t>AI.158</t>
  </si>
  <si>
    <t>High Availablity</t>
  </si>
  <si>
    <t>Cognitive Search</t>
  </si>
  <si>
    <t>Enable 2 replicas to have 99.9% availability for read operations</t>
  </si>
  <si>
    <t>41faa1ed-b7f0-447d-8cba-4a4905e5bb83</t>
  </si>
  <si>
    <t>AI.159</t>
  </si>
  <si>
    <t>Enable 3 replicas to have 99.9% availability for read/write operations</t>
  </si>
  <si>
    <t>7d956fd9-788a-4845-9b9f-c0340972d810</t>
  </si>
  <si>
    <t>AI.16</t>
  </si>
  <si>
    <t>Allocate provisioning quotas for each model based on expected workloads to prevent unnecessary costs.</t>
  </si>
  <si>
    <t>ec8f4d8c-98b0-4507-9213-3cafc4c2217e</t>
  </si>
  <si>
    <t>AI.160</t>
  </si>
  <si>
    <t>Leverage Availability Zones by enabling read and/or write replicas</t>
  </si>
  <si>
    <t>44dc5f2b-a032-4d03-aae8-90c3f2c0a4c3</t>
  </si>
  <si>
    <t>AI.161</t>
  </si>
  <si>
    <t>Georeplication</t>
  </si>
  <si>
    <t>For regional redudancy, Manually create services in 2 or more regions for Search as it doesn't provide an automated method of replicating search indexes across geographic regions</t>
  </si>
  <si>
    <t>cd0730f0-0ff1-4b77-9a2b-2a1f7dd5e291</t>
  </si>
  <si>
    <t>AI.162</t>
  </si>
  <si>
    <t>To synchronize data across multiple services either Use indexers for updating content on multiple services or Use REST APIs for pushing content updates on multiple services</t>
  </si>
  <si>
    <t>3c964882-aec9-4d44-9f68-4b5f2efbbdb6</t>
  </si>
  <si>
    <t>AI.163</t>
  </si>
  <si>
    <t>Use Azure Traffic Manager to coordinate requests</t>
  </si>
  <si>
    <t>85ee93c9-f53c-4803-be51-e6e4aa37ff4e</t>
  </si>
  <si>
    <t>AI.164</t>
  </si>
  <si>
    <t>Disaster Recovery</t>
  </si>
  <si>
    <t>Backup and Restore an Azure Cognitive Search Index. Use this sample code to back up index definition and snapshot to a series of Json files</t>
  </si>
  <si>
    <t>7be10278-57c1-4a61-8ee3-895aebfec5aa</t>
  </si>
  <si>
    <t>AI.165</t>
  </si>
  <si>
    <t>Best Practice</t>
  </si>
  <si>
    <t>Cognitive Services</t>
  </si>
  <si>
    <t>Leverage FTA HandBook for Cognitive Services</t>
  </si>
  <si>
    <t>21c30d25-ffb7-4f6a-b9ea-b3fec328f787</t>
  </si>
  <si>
    <t>AI.166</t>
  </si>
  <si>
    <t>Backup</t>
  </si>
  <si>
    <t>Backup Your Prompts</t>
  </si>
  <si>
    <t>78c34698-16b2-4763-aefe-1b9b599de0d5</t>
  </si>
  <si>
    <t>AI.167</t>
  </si>
  <si>
    <t>Business Continuity and Disaster Recovery (BCDR) considerations with Azure OpenAI Service</t>
  </si>
  <si>
    <t>750ab2ab-039d-4a6d-95d7-c892adb107d5</t>
  </si>
  <si>
    <t>AI.168</t>
  </si>
  <si>
    <t>Backup Your ChatGPT conversations</t>
  </si>
  <si>
    <t>325af625-ca44-4e46-a5e2-223ace8bb123</t>
  </si>
  <si>
    <t>AI.169</t>
  </si>
  <si>
    <t>CI/CD for custom speech</t>
  </si>
  <si>
    <t>07ca5f17-f154-4e3a-a369-2829e7e31618</t>
  </si>
  <si>
    <t>AI.17</t>
  </si>
  <si>
    <t>Use the right deployment type, global deployment offers lower cost-per-token pricing on certain GPT models.</t>
  </si>
  <si>
    <t>3847ab4c-ce03-478f-bd89-caf0ec11b781</t>
  </si>
  <si>
    <t>AI.170</t>
  </si>
  <si>
    <t>QnA Service</t>
  </si>
  <si>
    <t>Move a knowledge base using export-import</t>
  </si>
  <si>
    <t>3687a046-7a1f-4893-9bda-43324f248116</t>
  </si>
  <si>
    <t>AI.171</t>
  </si>
  <si>
    <t>Metaprompting</t>
  </si>
  <si>
    <t>Follow Metaprompting guardrails for resonsible AI</t>
  </si>
  <si>
    <t>a85b86ad-884f-48e3-9273-4b875ba18f10</t>
  </si>
  <si>
    <t>AI.172</t>
  </si>
  <si>
    <t>Evaluation</t>
  </si>
  <si>
    <t>Evaluate the performance/accuracy of the system with a known golden dataset which has the inputs and the correct answers. Leverage capabilities in PromptFlow for Evaluation.</t>
  </si>
  <si>
    <t>4e4f1854-287d-45cd-a126-cc031af5b1fc</t>
  </si>
  <si>
    <t>AI.173</t>
  </si>
  <si>
    <t>Content Safety</t>
  </si>
  <si>
    <t>Review and implement Azure AI content safety</t>
  </si>
  <si>
    <t>cd288bed-6b17-4cb8-8454-51e1aed3453a</t>
  </si>
  <si>
    <t>AI.174</t>
  </si>
  <si>
    <t>UX best practice</t>
  </si>
  <si>
    <t>Review the considerations in HAI toolkit guidance and apply those interaction practices for the slution</t>
  </si>
  <si>
    <t>ec723923-7a15-42d6-ac5e-402925387e5c</t>
  </si>
  <si>
    <t>AI.175</t>
  </si>
  <si>
    <t>Jail break Safety</t>
  </si>
  <si>
    <t xml:space="preserve">Implement Prompt shields and groundedness detection using Content Safety </t>
  </si>
  <si>
    <t>a9c27d9c-42bb-46bd-8c69-99a246f3389a</t>
  </si>
  <si>
    <t>AI.176</t>
  </si>
  <si>
    <t>Governance</t>
  </si>
  <si>
    <t>Adhere to Azure OpenAI or other LLMs terms of use, policies and guidance and allowed use cases</t>
  </si>
  <si>
    <t>e29711b1-352b-4eee-879b-588defc4972c</t>
  </si>
  <si>
    <t>AI.177</t>
  </si>
  <si>
    <t>Tune content filters to minimize false positives from overly aggressive filters.</t>
  </si>
  <si>
    <t>9de0d5d7-31d4-41e3-911c-817bfafbc414</t>
  </si>
  <si>
    <t>AI.18</t>
  </si>
  <si>
    <t>Choose the right hosting infrastructure, depending on your solution's needs e.g. managed endpoints, AKS or Azure App Service.</t>
  </si>
  <si>
    <t>dfe64294-9fc5-4b98-a3dc-7cc7b07621c0</t>
  </si>
  <si>
    <t>AI.19</t>
  </si>
  <si>
    <t>Define and enforce a policy to automatically shutdown Azure AI Foundry and Azure Machine Learning compute instances.</t>
  </si>
  <si>
    <t>187edf80-5592-41ca-b65c-c804e56f7394</t>
  </si>
  <si>
    <t>AI.2</t>
  </si>
  <si>
    <t>Use a CI/CD pipeline to deploy IaC artifacts and ensure the quality of your deployment and Azure environments.</t>
  </si>
  <si>
    <t>9af60e0a-1111-4885-82e2-f9575581673f</t>
  </si>
  <si>
    <t>AI.20</t>
  </si>
  <si>
    <t>Azure Cost Management</t>
  </si>
  <si>
    <t>Configure 'Actual' and 'Forecasted' Budget Alerts.</t>
  </si>
  <si>
    <t>15912c2a-babb-4b9f-9dc3-73c1489472dd</t>
  </si>
  <si>
    <t>AI.21</t>
  </si>
  <si>
    <t>Token Optimization</t>
  </si>
  <si>
    <t>Use prompt compression tools like LLMLingua or gprtrim</t>
  </si>
  <si>
    <t>7f42c78e-78cb-46a2-8ad1-90916e6a8d8f</t>
  </si>
  <si>
    <t>AI.22</t>
  </si>
  <si>
    <t>Use tiktoken to understand token sizes for token optimizations in conversational mode</t>
  </si>
  <si>
    <t>adfe27be-e297-401a-a352-baaab79b088d</t>
  </si>
  <si>
    <t>AI.23</t>
  </si>
  <si>
    <t>Cost familiarization</t>
  </si>
  <si>
    <t>Understand difference in cost of base models and fine tuned models and token step sizes</t>
  </si>
  <si>
    <t>d3cd21bf-7703-46e5-b6b4-bed3d503547c</t>
  </si>
  <si>
    <t>AI.24</t>
  </si>
  <si>
    <t>Batch processing</t>
  </si>
  <si>
    <t>Batch requests, where possible, to minimize the per-call overhead which can reduce overall costs. Ensure you optimize batch size</t>
  </si>
  <si>
    <t>1347dc56-028a-471f-be1c-e15dd3f0d5e7</t>
  </si>
  <si>
    <t>AI.25</t>
  </si>
  <si>
    <t>Cost monitoring</t>
  </si>
  <si>
    <t>Set up a cost tracking system that monitors model usage and use that information to help inform model choices and prompt sizes</t>
  </si>
  <si>
    <t>72d41e36-11cc-457b-9a4b-1410d43958a8</t>
  </si>
  <si>
    <t>AI.26</t>
  </si>
  <si>
    <t>Token limit</t>
  </si>
  <si>
    <t>Set a maximum limit on the number of tokens per model response (max_tokens and the number of completions to generate). Optimize the size to ensure it is large enough for a valid response</t>
  </si>
  <si>
    <t>166cd072-af9b-4141-a898-a535e737897e</t>
  </si>
  <si>
    <t>AI.27</t>
  </si>
  <si>
    <t>Costing Model</t>
  </si>
  <si>
    <t>Evaluate usage of billing models - PAYG vs PTU. Start with PAYG and consider PTU when the usage is predictable in production since it offers dedicated memory and compute, reserved capacity, and consistent maximum latency for the specified model version</t>
  </si>
  <si>
    <t>aa80932c-8ec9-4d1b-a770-26e5e6beba9e</t>
  </si>
  <si>
    <t>AI.28</t>
  </si>
  <si>
    <t>Quota Management</t>
  </si>
  <si>
    <t>Consider Quota management practices. Use dynamic quota for certain use cases when your application can use extra capacity opportunistically or the application itself is driving the rate at which the Azure OpenAI API is called</t>
  </si>
  <si>
    <t>d5f3547c-c346-4d81-9028-a71ffe1b9b5d</t>
  </si>
  <si>
    <t>AI.29</t>
  </si>
  <si>
    <t>Cost estimation</t>
  </si>
  <si>
    <t>Develop your cost model, considering prompt sizes. Understanding prompt input and response sizes and how text translates into tokens helps you create a viable cost model</t>
  </si>
  <si>
    <t>72d41e36-11cc-457b-9a4b-1410d43958a9</t>
  </si>
  <si>
    <t>AI.3</t>
  </si>
  <si>
    <t>Include unit tests for IaC and application code as part of your build process.</t>
  </si>
  <si>
    <t>004a958f-9f9b-4e05-bcb3-d58369936a80</t>
  </si>
  <si>
    <t>AI.30</t>
  </si>
  <si>
    <t>Model selection</t>
  </si>
  <si>
    <t>Consider model pricing and capabilities when you choose models. Start with less-costly models for less-complex tasks like text generation or completion tasks and for complex tasks like language translation or content understanding, consider using more advanced models. Optimize costs while still achieving the desired application performance</t>
  </si>
  <si>
    <t>72d41e36-11cc-457b-9a4b-1410d43958a1</t>
  </si>
  <si>
    <t>AI.31</t>
  </si>
  <si>
    <t>Usage Optimization</t>
  </si>
  <si>
    <t>Maximize Azure OpenAI price breakpoints like fine-tuning and model breakpoints like image generation to your advantage. Fine-tuning is charged per hour, use as much time as you have available per hour to improve results without slipping into the next billing period. The cost for generating 100 images is the same as the cost for 1 image</t>
  </si>
  <si>
    <t>72d41e36-11cc-457b-9a4b-1410d43958a2</t>
  </si>
  <si>
    <t>AI.32</t>
  </si>
  <si>
    <t>Remove unused fine-tuned models when they're no longer being consumed to avoid incurring an ongoing hosting fee.</t>
  </si>
  <si>
    <t>72d41e36-11cc-457b-9a4b-1410d43958a3</t>
  </si>
  <si>
    <t>AI.33</t>
  </si>
  <si>
    <t>Create concise prompts that provide enough context for the model to generate a useful response. Also ensure that you optimize the limit of the response length.</t>
  </si>
  <si>
    <t>7f42c78e-78cb-46a2-8ad1-90916e6a8d8g</t>
  </si>
  <si>
    <t>AI.34</t>
  </si>
  <si>
    <t>Threat Protection</t>
  </si>
  <si>
    <t>Microsoft Defender for Cloud</t>
  </si>
  <si>
    <t>Implement threat protection for all AI models.</t>
  </si>
  <si>
    <t>77f9dffe-09a6-4a2d-bc87-6598564d80aa</t>
  </si>
  <si>
    <t>AI.35</t>
  </si>
  <si>
    <t>Azure AI Content Safety</t>
  </si>
  <si>
    <t>Regularly inspect  AI model output to detect and mitigate risks associated with malicious or unpredictable user prompts.</t>
  </si>
  <si>
    <t>3b5bf58d-c4b8-440d-b0fc-0ddb452bbc27</t>
  </si>
  <si>
    <t>AI.36</t>
  </si>
  <si>
    <t>Establish company-wide verification mechanisms to ensure all AI models in use are legitimate and secure.</t>
  </si>
  <si>
    <t>ae9acafb-9675-4b4d-a2b5-03d809535fa7</t>
  </si>
  <si>
    <t>AI.37</t>
  </si>
  <si>
    <t>Access Management</t>
  </si>
  <si>
    <t>Use distinct workspaces to organize and manage AI artifacts like datasets, models, and experiments.</t>
  </si>
  <si>
    <t>888d6799-0028-49bb-ab5f-e62541d6d364</t>
  </si>
  <si>
    <t>AI.38</t>
  </si>
  <si>
    <t>Risk Mitigation</t>
  </si>
  <si>
    <t>Use MITRE ATLAS, OWASP Machine Learning risk, and OWASP Generative AI risk to regularly evaluate risks across all AI workloads.</t>
  </si>
  <si>
    <t>2e76dec8-e54f-47b0-8b08-939e34611c6f</t>
  </si>
  <si>
    <t>AI.39</t>
  </si>
  <si>
    <t>Microsoft Purview</t>
  </si>
  <si>
    <t>Assess insider risk to sensitive data, across all AI workloads</t>
  </si>
  <si>
    <t>8c243a35-7a57-438a-8b48-73a7b2ce6a20</t>
  </si>
  <si>
    <t>AI.4</t>
  </si>
  <si>
    <t>Leverage Declarative Infrastructure as Code Tools such as Azure Bicep, ARM Templates or Terraform to maintain your Azure AI Landing Zone.</t>
  </si>
  <si>
    <t>244b82ee-0144-429a-bb80-412941090968</t>
  </si>
  <si>
    <t>AI.40</t>
  </si>
  <si>
    <t>Microsoft Threat Modeling Tool</t>
  </si>
  <si>
    <t>Perform AI threat modeling using frameworks like STRIDE to assess potential attack vectors for all AI workloads.</t>
  </si>
  <si>
    <t>2fee0018-807e-44de-807c-e4a1aaecabba</t>
  </si>
  <si>
    <t>AI.41</t>
  </si>
  <si>
    <t>Conduct red-team testing against generative AI models and nongenerative models to assess their vulnerability to attacks.</t>
  </si>
  <si>
    <t>c3566fc0-e457-4324-b61d-56f89403f895</t>
  </si>
  <si>
    <t>AI.42</t>
  </si>
  <si>
    <t>Maintaining a detailed and up-to-date inventory of your AI workload resources</t>
  </si>
  <si>
    <t>de4b110e-eeb0-4cbf-b7e3-fa5cf40674b0</t>
  </si>
  <si>
    <t>AI.43</t>
  </si>
  <si>
    <t>Create a data sensitivity change management plan. Track data sensitivity levels as they can change over time.</t>
  </si>
  <si>
    <t>818a1055-9179-4a54-85f9-aaa2fc5cc993</t>
  </si>
  <si>
    <t>AI.44</t>
  </si>
  <si>
    <t>Safeguard sensitive data when required by using duplicates, local copies, or subsets that contain only the necessary information.</t>
  </si>
  <si>
    <t>05f2a394-f90b-4dd3-9402-248f3720fcf6</t>
  </si>
  <si>
    <t>AI.45</t>
  </si>
  <si>
    <t>Conduct rigorous tests to determine if sensitive data can be leaked or coerced through AI systems.</t>
  </si>
  <si>
    <t>f320b81e-cceb-47f9-b6bb-7bd6f45e0732</t>
  </si>
  <si>
    <t>AI.46</t>
  </si>
  <si>
    <t>Provide AI-focused employee training and awareness emphasizing the importance of data security and AI development best practices and deployment.</t>
  </si>
  <si>
    <t>b77c0824-c933-49ed-a9e1-41b5668c04fd</t>
  </si>
  <si>
    <t>AI.47</t>
  </si>
  <si>
    <t>Develop and maintain an incident response plan for AI security incidents.</t>
  </si>
  <si>
    <t>2fe19fb3-860a-403a-94e6-3b5eab341ff8</t>
  </si>
  <si>
    <t>AI.48</t>
  </si>
  <si>
    <t>Regularly evaluate emerging threats and vulnerabilities specific to AI through risk assessments and impact analyses.</t>
  </si>
  <si>
    <t>eafa85b5-ef4e-4bed-806a-96b09f0d0f29</t>
  </si>
  <si>
    <t>AI.49</t>
  </si>
  <si>
    <t>Enforce Customer Managed Keys for data at rest encryption via Azure Policy</t>
  </si>
  <si>
    <t>91c2b50a-3f81-480a-99b1-7e1ee9561712</t>
  </si>
  <si>
    <t>AI.5</t>
  </si>
  <si>
    <t>Data Protection</t>
  </si>
  <si>
    <t>Implement multi-region deployments to ensure high availability and resiliency for Azure AI Foundry.</t>
  </si>
  <si>
    <t>79157dd1-32b2-4b9f-9cf6-bf2704733a00</t>
  </si>
  <si>
    <t>AI.50</t>
  </si>
  <si>
    <t>Disable inferencing via Azure AI Foundry to prevent API Gateway bypass.</t>
  </si>
  <si>
    <t>0fc6d1b2-cee1-4851-9a89-ab61a9802682</t>
  </si>
  <si>
    <t>AI.51</t>
  </si>
  <si>
    <t>Use tools like Defender for Cloud to discover Gen AI workloads and explore AI artifacts risks such as vulnerable images &amp; code repositories.</t>
  </si>
  <si>
    <t>2db05c38-8c93-481e-84b0-8aa28b3bf7b2</t>
  </si>
  <si>
    <t>AI.52</t>
  </si>
  <si>
    <t>Use Azure AI Content Safety to define a baseline content filter for your approved AI models.</t>
  </si>
  <si>
    <t>570e9d31-44ea-409e-a5a9-83bee922204d</t>
  </si>
  <si>
    <t>AI.53</t>
  </si>
  <si>
    <t>Test the effectiveness of grounding by using tools like prompt flow.</t>
  </si>
  <si>
    <t>6f50ef6a-2bb1-4aec-a633-96ad271cb42f</t>
  </si>
  <si>
    <t>AI.54</t>
  </si>
  <si>
    <t>Enable recommended alert rules to receive notifications of deviations that indicate a decline in workload health.</t>
  </si>
  <si>
    <t>ecfc0860-f3a8-4bef-98f2-8660c4eaca34</t>
  </si>
  <si>
    <t>AI.55</t>
  </si>
  <si>
    <t>Microsoft cloud security benchmark</t>
  </si>
  <si>
    <t>Use Azure Policy to control which services can be provisioned at the subscription/management group level.</t>
  </si>
  <si>
    <t>5cf51132-180a-488b-b6c6-4f905b2dc1b1</t>
  </si>
  <si>
    <t>AI.56</t>
  </si>
  <si>
    <t>Limit client access to your AI service by enforcing security protocols like network controls, keys, and role-based access control (RBAC).</t>
  </si>
  <si>
    <t>3e73d1c2-cc01-4953-95c5-2ec43cd9beed</t>
  </si>
  <si>
    <t>AI.57</t>
  </si>
  <si>
    <t>Compliance</t>
  </si>
  <si>
    <t>Use Microsoft Purview Compliance Manager to assess and manage compliance across cloud environments.</t>
  </si>
  <si>
    <t>f28b4c3f-efd7-423c-9d5f-6aa8234690eb</t>
  </si>
  <si>
    <t>AI.58</t>
  </si>
  <si>
    <t>Use standards, such as ISO/IEC 23053:2022 to audit policies that are applied to your AI workloads.</t>
  </si>
  <si>
    <t>87288dca-d802-49fb-9c92-d027a9ffe90f</t>
  </si>
  <si>
    <t>AI.59</t>
  </si>
  <si>
    <t>Use a tool like Microsoft Purview to implement a unified data catalog and classification system across your organization.</t>
  </si>
  <si>
    <t>6dc4dce7-5233-480f-8b24-1fa035682c97</t>
  </si>
  <si>
    <t>AI.6</t>
  </si>
  <si>
    <t>Implement multi-region deployments to ensure high availability and resiliency for Azure Machine Learning.</t>
  </si>
  <si>
    <t>96326612-1e4f-44f6-9d49-2c68234eb64d</t>
  </si>
  <si>
    <t>AI.60</t>
  </si>
  <si>
    <t>Ensure that any data ingested into AI models is classified and vetted according to centralized standards.</t>
  </si>
  <si>
    <t>0ab50b4d-a903-4dc0-9437-3c075877fad8</t>
  </si>
  <si>
    <t>AI.61</t>
  </si>
  <si>
    <t>Use a content filtering system like Protected material detection in Azure AI Content Safety to filter out copyrighted material.</t>
  </si>
  <si>
    <t>001bbabe-364c-4b0f-a667-760f47791726</t>
  </si>
  <si>
    <t>AI.62</t>
  </si>
  <si>
    <t>Use Microsoft Entra Authentication with Managed Identity instead of API Key</t>
  </si>
  <si>
    <t>4350d092-d234-4292-a752-8537a551c5bf</t>
  </si>
  <si>
    <t>AI.63</t>
  </si>
  <si>
    <t>Data Sensitivity</t>
  </si>
  <si>
    <t>Classify data and sensitivity, labeling with Microsoft Purview before generating the embeddings and make sure to treat the embeddings generated with same sensitivity and classification</t>
  </si>
  <si>
    <t>99013a5d-3ce4-474d-acbd-8682a6abca2a</t>
  </si>
  <si>
    <t>AI.64</t>
  </si>
  <si>
    <t>Encryption at Rest</t>
  </si>
  <si>
    <t>Encrypt data used for RAG with SSE/Disk encryption with optional BYOK</t>
  </si>
  <si>
    <t>4fda1dbf-3dd9-45d4-ac7c-891dca1f6d56</t>
  </si>
  <si>
    <t>AI.65</t>
  </si>
  <si>
    <t>Transit Encryption</t>
  </si>
  <si>
    <t>Ensure TLS is enforced for data in transit across data sources, AI search used for Retrieval-Augmented Generation (RAG) and LLM communication</t>
  </si>
  <si>
    <t>59ae558b-937d-4498-9e11-12dbd7ba012f</t>
  </si>
  <si>
    <t>AI.66</t>
  </si>
  <si>
    <t>Access Control</t>
  </si>
  <si>
    <t>Use RBAC to manage access to Azure OpenAI services. Assign appropriate permissions to users and restrict access based on their roles and responsibilities</t>
  </si>
  <si>
    <t>7b94ef6e-047d-42ea-8992-b1cd6e2054b2</t>
  </si>
  <si>
    <t>AI.67</t>
  </si>
  <si>
    <t>Data Masking and Redaction</t>
  </si>
  <si>
    <t>Implement data encryption,  masking or redaction techniques to hide sensitive data or replace it with obfuscated values in non-production environments or when sharing data for testing or troubleshooting purposes</t>
  </si>
  <si>
    <t>9769e4a6-91e8-4838-ac93-6667e13c0056</t>
  </si>
  <si>
    <t>AI.68</t>
  </si>
  <si>
    <t>Threat Detection and Monitoring</t>
  </si>
  <si>
    <t>Utilize Azure Defender to detect and respond to security threats and set up monitoring and alerting mechanisms to identify suspicious activities or breaches. Leverage Azure Sentinel for advanced threat detection and response</t>
  </si>
  <si>
    <t>74b1e945-b459-4837-be7a-d6c6d3b375a5</t>
  </si>
  <si>
    <t>AI.69</t>
  </si>
  <si>
    <t>Data Retention and Disposal</t>
  </si>
  <si>
    <t>Establish data retention and disposal policies to adhere to compliance regulations. Implement secure deletion methods for data that is no longer required and maintain an audit trail of data retention and disposal activities</t>
  </si>
  <si>
    <t>c7acbe48-abe5-44cd-99f2-e87768468c55</t>
  </si>
  <si>
    <t>AI.7</t>
  </si>
  <si>
    <t>Implement multi-region deployments to ensure high availability and resiliency for Azure Open AI</t>
  </si>
  <si>
    <t>0a597728-1c21-4e11-9294-10c134ddd388</t>
  </si>
  <si>
    <t>AI.70</t>
  </si>
  <si>
    <t>Data Privacy and Compliance</t>
  </si>
  <si>
    <t>Ensure compliance with relevant data protection regulations, such as GDPR or HIPAA, by implementing privacy controls and obtaining necessary consents or permissions for data processing activities.</t>
  </si>
  <si>
    <t>a775c6ee-95b9-46ad-a844-ce3b2b38b876</t>
  </si>
  <si>
    <t>AI.71</t>
  </si>
  <si>
    <t>Employee Awareness and Training</t>
  </si>
  <si>
    <t>Educate your employees about data security best practices, the importance of handling data securely, and potential risks associated with data breaches. Encourage them to follow data security protocols diligently.</t>
  </si>
  <si>
    <t>ba2cf204-9901-43a5-b3ce-474dccbd8682</t>
  </si>
  <si>
    <t>AI.72</t>
  </si>
  <si>
    <t>Environment segregation</t>
  </si>
  <si>
    <t>Keep production data separate from development and testing data. Only use real sensitive data in production and utilize anonymized or synthetic data in development and test environments.</t>
  </si>
  <si>
    <t>eae01e6e-842e-452f-9721-d928c1b1cd52</t>
  </si>
  <si>
    <t>AI.73</t>
  </si>
  <si>
    <t>Index Segregation</t>
  </si>
  <si>
    <t>If you have varying levels of data sensitivity, consider creating separate indexes for each level. For instance, you could have one index for general data and another for sensitive data, each governed by different access protocols</t>
  </si>
  <si>
    <t>1e54a29a-9de3-499c-bd7b-28dc93555620</t>
  </si>
  <si>
    <t>AI.74</t>
  </si>
  <si>
    <t>Sensitive Data in Separate Instances</t>
  </si>
  <si>
    <t>Take segregation a step further by placing sensitive datasets in different instances of the service. Each instance can be controlled with its own specific set of RBAC policies</t>
  </si>
  <si>
    <t>2bfe4564-b0d8-434a-948b-263e6dd60512</t>
  </si>
  <si>
    <t>AI.75</t>
  </si>
  <si>
    <t>Embedding and Vector handling</t>
  </si>
  <si>
    <t>Recognize that embeddings and vectors generated from sensitive information are themselves sensitive. This data should be afforded the same protective measures as the source material</t>
  </si>
  <si>
    <t>a36498f6-dbad-438e-ad53-cc7ce1d7aaab</t>
  </si>
  <si>
    <t>AI.76</t>
  </si>
  <si>
    <t>Access control</t>
  </si>
  <si>
    <t>Apply RBAC to th data stores having embeddings and vectors and scope access based on role's access requirements</t>
  </si>
  <si>
    <t>3571449a-b805-43d8-af89-dc7b33be2a1a</t>
  </si>
  <si>
    <t>AI.77</t>
  </si>
  <si>
    <t>Network security</t>
  </si>
  <si>
    <t>Configure private endpoint for AI services to restrict service access within your network</t>
  </si>
  <si>
    <t>resources | where type =~ 'Microsoft.CognitiveServices/accounts' or type == 'microsoft.search/searchservices' | project id, compliant = (properties.privateEndpointConnections != '[]' and properties.publicNetworkAccess !~ 'enabled')</t>
  </si>
  <si>
    <t>27f7b9e9-1be1-4f38-aef3-9812bd463cbb</t>
  </si>
  <si>
    <t>AI.78</t>
  </si>
  <si>
    <t>Enforce strict inbound and outbound traffic control with Azure Firewall and UDRs and limit the external integration points</t>
  </si>
  <si>
    <t>ac8ac199-ebb9-41a3-9d90-cae2cc881370</t>
  </si>
  <si>
    <t>AI.79</t>
  </si>
  <si>
    <t>Control Network Access</t>
  </si>
  <si>
    <t>Implement network segmentation and access controls to restrict access to the LLM application only to authorized users and systems and prevent lateral movement</t>
  </si>
  <si>
    <t>6f7c0cba-fe51-4464-add4-57e927138b82</t>
  </si>
  <si>
    <t>AI.8</t>
  </si>
  <si>
    <t>Multi-region architecture</t>
  </si>
  <si>
    <t>Deploy multiple OAI instances across regions</t>
  </si>
  <si>
    <t>5e39f541-accc-4d97-a376-bcdb3750ab2a</t>
  </si>
  <si>
    <t>AI.80</t>
  </si>
  <si>
    <t>Secure APIs and Endpoints</t>
  </si>
  <si>
    <t>Ensure that APIs and endpoints used by the LLM application are properly secured with authentication and authorization mechanisms, such as Managed identities,  API keys or OAuth, to prevent unauthorized access.</t>
  </si>
  <si>
    <t>resources | where type =~ 'Microsoft.CognitiveServices/accounts' or type == 'microsoft.search/searchservices' | project id, compliant = (isnotnull(identity))</t>
  </si>
  <si>
    <t>1102cac6-eae0-41e6-b842-e52f4721d928</t>
  </si>
  <si>
    <t>AI.81</t>
  </si>
  <si>
    <t>Implement Strong Authentication</t>
  </si>
  <si>
    <t>Enforce strong end user authentication mechanisms, such as multi-factor authentication, to prevent unauthorized access to the LLM application and associated network resources</t>
  </si>
  <si>
    <t>c1b1cd52-1e54-4a29-a9de-399cfd7b28dc</t>
  </si>
  <si>
    <t>AI.82</t>
  </si>
  <si>
    <t>Use Network Monitoring</t>
  </si>
  <si>
    <t>Implement network monitoring tools to detect and analyze network traffic for any suspicious or malicious activities. Enable logging to capture network events and facilitate forensic analysis in case of security incidents</t>
  </si>
  <si>
    <t>93555620-2bfe-4456-9b0d-834a348b263e</t>
  </si>
  <si>
    <t>AI.83</t>
  </si>
  <si>
    <t>Security Audits and Penetration Testing</t>
  </si>
  <si>
    <t>Conduct security audits and penetration testing to identify and address any network security weaknesses or vulnerabilities in the LLM application's network infrastructure</t>
  </si>
  <si>
    <t>6dd60512-a364-498f-9dba-d38ead53cc7c</t>
  </si>
  <si>
    <t>AI.84</t>
  </si>
  <si>
    <t>Azure AI Services are properly tagged for better management</t>
  </si>
  <si>
    <t>resources | where type == 'microsoft.cognitiveservices/accounts' or type == 'microsoft.search/searchservices' | project id, compliant = (tags != '{}')</t>
  </si>
  <si>
    <t>e1d7aaab-3571-4449-ab80-53d89f89dc7b</t>
  </si>
  <si>
    <t>AI.85</t>
  </si>
  <si>
    <t>Azure AI Service accounts follows organizational naming conventions</t>
  </si>
  <si>
    <t>77036e5e-6b4b-4ed3-b503-547c1347dc56</t>
  </si>
  <si>
    <t>AI.86</t>
  </si>
  <si>
    <t>Diagnostics Logging</t>
  </si>
  <si>
    <t>Diagnostic logs in Azure AI services resources should be enabled</t>
  </si>
  <si>
    <t>028a71ff-e1ce-415d-b3f0-d5e772d41e36</t>
  </si>
  <si>
    <t>AI.87</t>
  </si>
  <si>
    <t>Secure Key Management</t>
  </si>
  <si>
    <t>Store and manage keys securely using Azure Key Vault. Avoid hard-coding or embedding sensitive keys within your LLM application's code and retrieve them securely from Azure Key Vault using managed identities</t>
  </si>
  <si>
    <t>6b57cfc6-5546-41e1-a3e3-453a3c863964</t>
  </si>
  <si>
    <t>AI.88</t>
  </si>
  <si>
    <t>Key Rotation and Expiration</t>
  </si>
  <si>
    <t>Regularly rotate and expire keys stored in Azure Key Vault to minimize the risk of unauthorized access.</t>
  </si>
  <si>
    <t>8b652d6c-15f5-4129-9539-8e6ded227dd1</t>
  </si>
  <si>
    <t>AI.89</t>
  </si>
  <si>
    <t>Secure coding practice</t>
  </si>
  <si>
    <t>Follow secure coding practices to prevent common vulnerabilities such as injection attacks, cross-site scripting (XSS), or security misconfigurations</t>
  </si>
  <si>
    <t>42b06c21-d799-49a6-96f4-389a7f42c78e</t>
  </si>
  <si>
    <t>AI.9</t>
  </si>
  <si>
    <t>Implement retry &amp; healthchecks with Gateway pattern like APIM</t>
  </si>
  <si>
    <t>b039da6d-55d7-4c89-8adb-107d5325af62</t>
  </si>
  <si>
    <t>AI.90</t>
  </si>
  <si>
    <t>Patching and updates</t>
  </si>
  <si>
    <t>Setup a process to regularly update and patch the LLM libraries and other system components</t>
  </si>
  <si>
    <t>78c06a73-a22a-4495-9e6a-8dc4a20e27c3</t>
  </si>
  <si>
    <t>AI.91</t>
  </si>
  <si>
    <t>Red team your GenAI applications</t>
  </si>
  <si>
    <t>e737897e-71ca-47da-acfa-962a1594946d</t>
  </si>
  <si>
    <t>AI.92</t>
  </si>
  <si>
    <t>Key Management</t>
  </si>
  <si>
    <t>Use customer-managed keys for fine-tuned models and training data that's uploaded to Azure OpenAI</t>
  </si>
  <si>
    <t>9de0d5d7-31d4-41e3-911c-817bfafbc415</t>
  </si>
  <si>
    <t>AI.93</t>
  </si>
  <si>
    <t>Jailbreak protection</t>
  </si>
  <si>
    <t>Implement jailbreak risk detection to safeguard your language model deployments against prompt injection attacks</t>
  </si>
  <si>
    <t>resources | where type == 'microsoft.cognitiveservices/accounts' and kind =~ 'contentsafety' | project id, compliant = 1</t>
  </si>
  <si>
    <t>9de0d5d7-31d4-41e3-911c-817bfafbc416</t>
  </si>
  <si>
    <t>AI.94</t>
  </si>
  <si>
    <t>Quota exhaustion</t>
  </si>
  <si>
    <t>Use security controls like throttling, service isolation and gateway pattern to prevent attacks that might exhaust model usage quotas</t>
  </si>
  <si>
    <t>9de0d5d7-31d4-41e3-911c-817bfafbc417</t>
  </si>
  <si>
    <t>AI.95</t>
  </si>
  <si>
    <t>Wherever possible, eliminate static API keys in favor of Microsoft Entra ID for authentication.</t>
  </si>
  <si>
    <t>10c1532e-5f7f-4d63-9887-44e219ab130a</t>
  </si>
  <si>
    <t>AI.96</t>
  </si>
  <si>
    <t>Enforce multi-factor authentication for any user with rights to the Azure environments.</t>
  </si>
  <si>
    <t>a7e20682-1bcf-4bde-927d-2bafd295bbc1</t>
  </si>
  <si>
    <t>AI.97</t>
  </si>
  <si>
    <t>Enforce Microsoft Entra ID Privileged Identity Management (PIM) to establish zero standing access and least privilege.</t>
  </si>
  <si>
    <t>aae9d9e3-9ab0-4e30-b5da-184742112664</t>
  </si>
  <si>
    <t>AI.98</t>
  </si>
  <si>
    <t>Enforce Microsoft Entra ID Conditional Access policies for any user with rights to Azure environments.</t>
  </si>
  <si>
    <t>2daf1eb6-7084-4e03-8cdf-ee6d64bb4936</t>
  </si>
  <si>
    <t>AI.99</t>
  </si>
  <si>
    <t>Azure RBAC</t>
  </si>
  <si>
    <t>Use Azure RBAC to manage data plane access to resources, if possible. E.g. Data Operations across Key Vault, Storage Account and Database Services.</t>
  </si>
  <si>
    <t>6091840f-0bcd-4238-acbe-17f7f66bf78a</t>
  </si>
  <si>
    <t>Result undefined: /subscriptions/6cb4dbdc-453c-4b5c-9a44-0fb71f3c6d7c/resourceGroups/ADWFab/providers/Microsoft.CognitiveServices/accounts/adwdemo3397848743 0
Result undefined: /subscriptions/6cb4dbdc-453c-4b5c-9a44-0fb71f3c6d7c/resourceGroups/ADWFab/providers/Microsoft.CognitiveServices/accounts/adwembed 0
Result undefined: /subscriptions/6cb4dbdc-453c-4b5c-9a44-0fb71f3c6d7c/resourceGroups/ADWFab/providers/Microsoft.Search/searchServices/aidwfab 0
Result undefined: /subscriptions/6cb4dbdc-453c-4b5c-9a44-0fb71f3c6d7c/resourceGroups/foundrygenaiops/providers/Microsoft.CognitiveServices/accounts/ai-foundrygenaiop368102865082 0
Result undefined: /subscriptions/6cb4dbdc-453c-4b5c-9a44-0fb71f3c6d7c/resourceGroups/foundrygenaiops/providers/Microsoft.Search/searchServices/foundrygenaiops368102865082 0
Result undefined: /subscriptions/6cb4dbdc-453c-4b5c-9a44-0fb71f3c6d7c/resourceGroups/investment/providers/Microsoft.CognitiveServices/accounts/admin-mhuye0c2-uksouth 1
Result undefined: /subscriptions/6cb4dbdc-453c-4b5c-9a44-0fb71f3c6d7c/resourceGroups/investment/providers/Microsoft.CognitiveServices/accounts/investinsider 0
Result undefined: /subscriptions/6cb4dbdc-453c-4b5c-9a44-0fb71f3c6d7c/resourceGroups/investment/providers/Microsoft.CognitiveServices/accounts/investmentDI 0
Result undefined: /subscriptions/6cb4dbdc-453c-4b5c-9a44-0fb71f3c6d7c/resourceGroups/nl2sqldax/providers/Microsoft.CognitiveServices/accounts/nl2sqldax 0
Result undefined: /subscriptions/6cb4dbdc-453c-4b5c-9a44-0fb71f3c6d7c/resourceGroups/rg-daxagentfab/providers/Microsoft.CognitiveServices/accounts/ai0-xvee4r5oyiktk 0
Result undefined: /subscriptions/6cb4dbdc-453c-4b5c-9a44-0fb71f3c6d7c/resourceGroups/rg-daxagentfab/providers/Microsoft.CognitiveServices/accounts/oai0-xvee4r5oyiktk 0
Result undefined: /subscriptions/6cb4dbdc-453c-4b5c-9a44-0fb71f3c6d7c/resourceGroups/rg-daxagentfab/providers/Microsoft.Search/searchServices/search0-xvee4r5oyiktk 0
Result undefined: /subscriptions/6cb4dbdc-453c-4b5c-9a44-0fb71f3c6d7c/resourceGroups/rg-ragchatdr1/providers/Microsoft.CognitiveServices/accounts/aisa-okotsq3uvfygg 1
Result undefined: /subscriptions/6cb4dbdc-453c-4b5c-9a44-0fb71f3c6d7c/resourceGroups/rg-ragchatdr2/providers/Microsoft.CognitiveServices/accounts/aisa-rpi42xeqss7is 1
Result undefined: /subscriptions/6cb4dbdc-453c-4b5c-9a44-0fb71f3c6d7c/resourceGroups/rg-ragchatdr2/providers/Microsoft.Search/searchServices/srch-rpi42xeqss7is 0
Result undefined: /subscriptions/6cb4dbdc-453c-4b5c-9a44-0fb71f3c6d7c/resourceGroups/rg-ragchatdr7/providers/Microsoft.CognitiveServices/accounts/aisa-klzfrvxhhxe6s 1
Result undefined: /subscriptions/6cb4dbdc-453c-4b5c-9a44-0fb71f3c6d7c/resourceGroups/rg-ragchatdr7/providers/Microsoft.Search/searchServices/srch-klzfrvxhhxe6s 0
Result undefined: /subscriptions/6cb4dbdc-453c-4b5c-9a44-0fb71f3c6d7c/resourceGroups/rg-ragchatpriv/providers/Microsoft.CognitiveServices/accounts/cog-di-uglzyw3ohprsw 1
Result undefined: /subscriptions/6cb4dbdc-453c-4b5c-9a44-0fb71f3c6d7c/resourceGroups/rg-ragchatpriv/providers/Microsoft.CognitiveServices/accounts/cog-uglzyw3ohprsw 1
Result undefined: /subscriptions/6cb4dbdc-453c-4b5c-9a44-0fb71f3c6d7c/resourceGroups/rg-ragchatpriv/providers/Microsoft.Search/searchServices/gptkb-uglzyw3ohprsw 1
Result undefined: /subscriptions/6cb4dbdc-453c-4b5c-9a44-0fb71f3c6d7c/resourceGroups/rg-retailrag/providers/Microsoft.CognitiveServices/accounts/aoai-6tngxvobrsc3i 0
Result undefined: /subscriptions/6cb4dbdc-453c-4b5c-9a44-0fb71f3c6d7c/resourceGroups/rg-retailrag/providers/Microsoft.Search/searchServices/srch-6tngxvobrsc3i 0
Result undefined: /subscriptions/6cb4dbdc-453c-4b5c-9a44-0fb71f3c6d7c/resourceGroups/rg-translate/providers/Microsoft.CognitiveServices/accounts/agentspanish 0
Result undefined: /subscriptions/6cb4dbdc-453c-4b5c-9a44-0fb71f3c6d7c/resourceGroups/rg-travelagentMAF/providers/Microsoft.CognitiveServices/accounts/travelagentmaf 1
Result undefined: /subscriptions/6cb4dbdc-453c-4b5c-9a44-0fb71f3c6d7c/resourceGroups/rg-travelagentobs/providers/Microsoft.CognitiveServices/accounts/travelagentobs 1
Result undefined: /subscriptions/6cb4dbdc-453c-4b5c-9a44-0fb71f3c6d7c/resourceGroups/rg-travelagent/providers/Microsoft.CognitiveServices/accounts/travelagentdemo 1</t>
  </si>
  <si>
    <t>Result undefined: /subscriptions/6cb4dbdc-453c-4b5c-9a44-0fb71f3c6d7c/resourceGroups/ADWFab/providers/Microsoft.Search/searchServices/aidwfab 0
Result undefined: /subscriptions/6cb4dbdc-453c-4b5c-9a44-0fb71f3c6d7c/resourceGroups/foundrygenaiops/providers/Microsoft.Search/searchServices/foundrygenaiops368102865082 0
Result undefined: /subscriptions/6cb4dbdc-453c-4b5c-9a44-0fb71f3c6d7c/resourceGroups/rg-daxagentfab/providers/Microsoft.Search/searchServices/search0-xvee4r5oyiktk 0
Result undefined: /subscriptions/6cb4dbdc-453c-4b5c-9a44-0fb71f3c6d7c/resourceGroups/rg-ragchatdr2/providers/Microsoft.Search/searchServices/srch-rpi42xeqss7is 0
Result undefined: /subscriptions/6cb4dbdc-453c-4b5c-9a44-0fb71f3c6d7c/resourceGroups/rg-ragchatdr7/providers/Microsoft.Search/searchServices/srch-klzfrvxhhxe6s 0
Result undefined: /subscriptions/6cb4dbdc-453c-4b5c-9a44-0fb71f3c6d7c/resourceGroups/rg-ragchatpriv/providers/Microsoft.Search/searchServices/gptkb-uglzyw3ohprsw 0
Result undefined: /subscriptions/6cb4dbdc-453c-4b5c-9a44-0fb71f3c6d7c/resourceGroups/rg-retailrag/providers/Microsoft.Search/searchServices/srch-6tngxvobrsc3i 0</t>
  </si>
  <si>
    <t>Result undefined: /subscriptions/6cb4dbdc-453c-4b5c-9a44-0fb71f3c6d7c/resourceGroups/ADWFab/providers/Microsoft.CognitiveServices/accounts/adwdemo3397848743 0
Result undefined: /subscriptions/6cb4dbdc-453c-4b5c-9a44-0fb71f3c6d7c/resourceGroups/ADWFab/providers/Microsoft.CognitiveServices/accounts/adwembed 0
Result undefined: /subscriptions/6cb4dbdc-453c-4b5c-9a44-0fb71f3c6d7c/resourceGroups/ADWFab/providers/Microsoft.Search/searchServices/aidwfab 0
Result undefined: /subscriptions/6cb4dbdc-453c-4b5c-9a44-0fb71f3c6d7c/resourceGroups/foundrygenaiops/providers/Microsoft.CognitiveServices/accounts/ai-foundrygenaiop368102865082 0
Result undefined: /subscriptions/6cb4dbdc-453c-4b5c-9a44-0fb71f3c6d7c/resourceGroups/foundrygenaiops/providers/Microsoft.Search/searchServices/foundrygenaiops368102865082 0
Result undefined: /subscriptions/6cb4dbdc-453c-4b5c-9a44-0fb71f3c6d7c/resourceGroups/investment/providers/Microsoft.CognitiveServices/accounts/admin-mhuye0c2-uksouth 0
Result undefined: /subscriptions/6cb4dbdc-453c-4b5c-9a44-0fb71f3c6d7c/resourceGroups/investment/providers/Microsoft.CognitiveServices/accounts/investinsider 0
Result undefined: /subscriptions/6cb4dbdc-453c-4b5c-9a44-0fb71f3c6d7c/resourceGroups/investment/providers/Microsoft.CognitiveServices/accounts/investmentDI 0
Result undefined: /subscriptions/6cb4dbdc-453c-4b5c-9a44-0fb71f3c6d7c/resourceGroups/nl2sqldax/providers/Microsoft.CognitiveServices/accounts/nl2sqldax 0
Result undefined: /subscriptions/6cb4dbdc-453c-4b5c-9a44-0fb71f3c6d7c/resourceGroups/rg-daxagentfab/providers/Microsoft.CognitiveServices/accounts/ai0-xvee4r5oyiktk 0
Result undefined: /subscriptions/6cb4dbdc-453c-4b5c-9a44-0fb71f3c6d7c/resourceGroups/rg-daxagentfab/providers/Microsoft.CognitiveServices/accounts/oai0-xvee4r5oyiktk 0
Result undefined: /subscriptions/6cb4dbdc-453c-4b5c-9a44-0fb71f3c6d7c/resourceGroups/rg-daxagentfab/providers/Microsoft.Search/searchServices/search0-xvee4r5oyiktk 0
Result undefined: /subscriptions/6cb4dbdc-453c-4b5c-9a44-0fb71f3c6d7c/resourceGroups/rg-ragchatdr1/providers/Microsoft.CognitiveServices/accounts/aisa-okotsq3uvfygg 0
Result undefined: /subscriptions/6cb4dbdc-453c-4b5c-9a44-0fb71f3c6d7c/resourceGroups/rg-ragchatdr2/providers/Microsoft.CognitiveServices/accounts/aisa-rpi42xeqss7is 0
Result undefined: /subscriptions/6cb4dbdc-453c-4b5c-9a44-0fb71f3c6d7c/resourceGroups/rg-ragchatdr2/providers/Microsoft.Search/searchServices/srch-rpi42xeqss7is 0
Result undefined: /subscriptions/6cb4dbdc-453c-4b5c-9a44-0fb71f3c6d7c/resourceGroups/rg-ragchatdr7/providers/Microsoft.CognitiveServices/accounts/aisa-klzfrvxhhxe6s 0
Result undefined: /subscriptions/6cb4dbdc-453c-4b5c-9a44-0fb71f3c6d7c/resourceGroups/rg-ragchatdr7/providers/Microsoft.Search/searchServices/srch-klzfrvxhhxe6s 0
Result undefined: /subscriptions/6cb4dbdc-453c-4b5c-9a44-0fb71f3c6d7c/resourceGroups/rg-ragchatpriv/providers/Microsoft.CognitiveServices/accounts/cog-di-uglzyw3ohprsw 0
Result undefined: /subscriptions/6cb4dbdc-453c-4b5c-9a44-0fb71f3c6d7c/resourceGroups/rg-ragchatpriv/providers/Microsoft.CognitiveServices/accounts/cog-uglzyw3ohprsw 0
Result undefined: /subscriptions/6cb4dbdc-453c-4b5c-9a44-0fb71f3c6d7c/resourceGroups/rg-ragchatpriv/providers/Microsoft.Search/searchServices/gptkb-uglzyw3ohprsw 1
Result undefined: /subscriptions/6cb4dbdc-453c-4b5c-9a44-0fb71f3c6d7c/resourceGroups/rg-retailrag/providers/Microsoft.CognitiveServices/accounts/aoai-6tngxvobrsc3i 0
Result undefined: /subscriptions/6cb4dbdc-453c-4b5c-9a44-0fb71f3c6d7c/resourceGroups/rg-retailrag/providers/Microsoft.Search/searchServices/srch-6tngxvobrsc3i 0
Result undefined: /subscriptions/6cb4dbdc-453c-4b5c-9a44-0fb71f3c6d7c/resourceGroups/rg-translate/providers/Microsoft.CognitiveServices/accounts/agentspanish 0
Result undefined: /subscriptions/6cb4dbdc-453c-4b5c-9a44-0fb71f3c6d7c/resourceGroups/rg-travelagentMAF/providers/Microsoft.CognitiveServices/accounts/travelagentmaf 0
Result undefined: /subscriptions/6cb4dbdc-453c-4b5c-9a44-0fb71f3c6d7c/resourceGroups/rg-travelagentobs/providers/Microsoft.CognitiveServices/accounts/travelagentobs 0
Result undefined: /subscriptions/6cb4dbdc-453c-4b5c-9a44-0fb71f3c6d7c/resourceGroups/rg-travelagent/providers/Microsoft.CognitiveServices/accounts/travelagentdemo 0</t>
  </si>
  <si>
    <t>Result undefined: /subscriptions/6cb4dbdc-453c-4b5c-9a44-0fb71f3c6d7c/resourceGroups/ADWFab/providers/Microsoft.CognitiveServices/accounts/adwdemo3397848743 0
Result undefined: /subscriptions/6cb4dbdc-453c-4b5c-9a44-0fb71f3c6d7c/resourceGroups/ADWFab/providers/Microsoft.CognitiveServices/accounts/adwembed 0
Result undefined: /subscriptions/6cb4dbdc-453c-4b5c-9a44-0fb71f3c6d7c/resourceGroups/ADWFab/providers/Microsoft.Search/searchServices/aidwfab 0
Result undefined: /subscriptions/6cb4dbdc-453c-4b5c-9a44-0fb71f3c6d7c/resourceGroups/foundrygenaiops/providers/Microsoft.CognitiveServices/accounts/ai-foundrygenaiop368102865082 0
Result undefined: /subscriptions/6cb4dbdc-453c-4b5c-9a44-0fb71f3c6d7c/resourceGroups/foundrygenaiops/providers/Microsoft.Search/searchServices/foundrygenaiops368102865082 0
Result undefined: /subscriptions/6cb4dbdc-453c-4b5c-9a44-0fb71f3c6d7c/resourceGroups/investment/providers/Microsoft.CognitiveServices/accounts/admin-mhuye0c2-uksouth 1
Result undefined: /subscriptions/6cb4dbdc-453c-4b5c-9a44-0fb71f3c6d7c/resourceGroups/investment/providers/Microsoft.CognitiveServices/accounts/investinsider 0
Result undefined: /subscriptions/6cb4dbdc-453c-4b5c-9a44-0fb71f3c6d7c/resourceGroups/investment/providers/Microsoft.CognitiveServices/accounts/investmentDI 1
Result undefined: /subscriptions/6cb4dbdc-453c-4b5c-9a44-0fb71f3c6d7c/resourceGroups/nl2sqldax/providers/Microsoft.CognitiveServices/accounts/nl2sqldax 1
Result undefined: /subscriptions/6cb4dbdc-453c-4b5c-9a44-0fb71f3c6d7c/resourceGroups/rg-daxagentfab/providers/Microsoft.CognitiveServices/accounts/ai0-xvee4r5oyiktk 0
Result undefined: /subscriptions/6cb4dbdc-453c-4b5c-9a44-0fb71f3c6d7c/resourceGroups/rg-daxagentfab/providers/Microsoft.CognitiveServices/accounts/oai0-xvee4r5oyiktk 1
Result undefined: /subscriptions/6cb4dbdc-453c-4b5c-9a44-0fb71f3c6d7c/resourceGroups/rg-daxagentfab/providers/Microsoft.Search/searchServices/search0-xvee4r5oyiktk 1
Result undefined: /subscriptions/6cb4dbdc-453c-4b5c-9a44-0fb71f3c6d7c/resourceGroups/rg-ragchatdr1/providers/Microsoft.CognitiveServices/accounts/aisa-okotsq3uvfygg 1
Result undefined: /subscriptions/6cb4dbdc-453c-4b5c-9a44-0fb71f3c6d7c/resourceGroups/rg-ragchatdr2/providers/Microsoft.CognitiveServices/accounts/aisa-rpi42xeqss7is 1
Result undefined: /subscriptions/6cb4dbdc-453c-4b5c-9a44-0fb71f3c6d7c/resourceGroups/rg-ragchatdr2/providers/Microsoft.Search/searchServices/srch-rpi42xeqss7is 1
Result undefined: /subscriptions/6cb4dbdc-453c-4b5c-9a44-0fb71f3c6d7c/resourceGroups/rg-ragchatdr7/providers/Microsoft.CognitiveServices/accounts/aisa-klzfrvxhhxe6s 1
Result undefined: /subscriptions/6cb4dbdc-453c-4b5c-9a44-0fb71f3c6d7c/resourceGroups/rg-ragchatdr7/providers/Microsoft.Search/searchServices/srch-klzfrvxhhxe6s 1
Result undefined: /subscriptions/6cb4dbdc-453c-4b5c-9a44-0fb71f3c6d7c/resourceGroups/rg-ragchatpriv/providers/Microsoft.CognitiveServices/accounts/cog-di-uglzyw3ohprsw 0
Result undefined: /subscriptions/6cb4dbdc-453c-4b5c-9a44-0fb71f3c6d7c/resourceGroups/rg-ragchatpriv/providers/Microsoft.CognitiveServices/accounts/cog-uglzyw3ohprsw 0
Result undefined: /subscriptions/6cb4dbdc-453c-4b5c-9a44-0fb71f3c6d7c/resourceGroups/rg-ragchatpriv/providers/Microsoft.Search/searchServices/gptkb-uglzyw3ohprsw 1
Result undefined: /subscriptions/6cb4dbdc-453c-4b5c-9a44-0fb71f3c6d7c/resourceGroups/rg-retailrag/providers/Microsoft.CognitiveServices/accounts/aoai-6tngxvobrsc3i 0
Result undefined: /subscriptions/6cb4dbdc-453c-4b5c-9a44-0fb71f3c6d7c/resourceGroups/rg-retailrag/providers/Microsoft.Search/searchServices/srch-6tngxvobrsc3i 1
Result undefined: /subscriptions/6cb4dbdc-453c-4b5c-9a44-0fb71f3c6d7c/resourceGroups/rg-translate/providers/Microsoft.CognitiveServices/accounts/agentspanish 1
Result undefined: /subscriptions/6cb4dbdc-453c-4b5c-9a44-0fb71f3c6d7c/resourceGroups/rg-travelagentMAF/providers/Microsoft.CognitiveServices/accounts/travelagentmaf 1
Result undefined: /subscriptions/6cb4dbdc-453c-4b5c-9a44-0fb71f3c6d7c/resourceGroups/rg-travelagentobs/providers/Microsoft.CognitiveServices/accounts/travelagentobs 1
Result undefined: /subscriptions/6cb4dbdc-453c-4b5c-9a44-0fb71f3c6d7c/resourceGroups/rg-travelagent/providers/Microsoft.CognitiveServices/accounts/travelagentdemo 1</t>
  </si>
  <si>
    <t>Result undefined: /subscriptions/6cb4dbdc-453c-4b5c-9a44-0fb71f3c6d7c/resourceGroups/ADWFab/providers/Microsoft.CognitiveServices/accounts/adwdemo3397848743 1
Result undefined: /subscriptions/6cb4dbdc-453c-4b5c-9a44-0fb71f3c6d7c/resourceGroups/ADWFab/providers/Microsoft.CognitiveServices/accounts/adwembed 0
Result undefined: /subscriptions/6cb4dbdc-453c-4b5c-9a44-0fb71f3c6d7c/resourceGroups/ADWFab/providers/Microsoft.Search/searchServices/aidwfab 0
Result undefined: /subscriptions/6cb4dbdc-453c-4b5c-9a44-0fb71f3c6d7c/resourceGroups/foundrygenaiops/providers/Microsoft.CognitiveServices/accounts/ai-foundrygenaiop368102865082 1
Result undefined: /subscriptions/6cb4dbdc-453c-4b5c-9a44-0fb71f3c6d7c/resourceGroups/foundrygenaiops/providers/Microsoft.Search/searchServices/foundrygenaiops368102865082 1
Result undefined: /subscriptions/6cb4dbdc-453c-4b5c-9a44-0fb71f3c6d7c/resourceGroups/investment/providers/Microsoft.CognitiveServices/accounts/admin-mhuye0c2-uksouth 0
Result undefined: /subscriptions/6cb4dbdc-453c-4b5c-9a44-0fb71f3c6d7c/resourceGroups/investment/providers/Microsoft.CognitiveServices/accounts/investinsider 0
Result undefined: /subscriptions/6cb4dbdc-453c-4b5c-9a44-0fb71f3c6d7c/resourceGroups/investment/providers/Microsoft.CognitiveServices/accounts/investmentDI 0
Result undefined: /subscriptions/6cb4dbdc-453c-4b5c-9a44-0fb71f3c6d7c/resourceGroups/nl2sqldax/providers/Microsoft.CognitiveServices/accounts/nl2sqldax 0
Result undefined: /subscriptions/6cb4dbdc-453c-4b5c-9a44-0fb71f3c6d7c/resourceGroups/rg-daxagentfab/providers/Microsoft.CognitiveServices/accounts/ai0-xvee4r5oyiktk 1
Result undefined: /subscriptions/6cb4dbdc-453c-4b5c-9a44-0fb71f3c6d7c/resourceGroups/rg-daxagentfab/providers/Microsoft.CognitiveServices/accounts/oai0-xvee4r5oyiktk 1
Result undefined: /subscriptions/6cb4dbdc-453c-4b5c-9a44-0fb71f3c6d7c/resourceGroups/rg-daxagentfab/providers/Microsoft.Search/searchServices/search0-xvee4r5oyiktk 1
Result undefined: /subscriptions/6cb4dbdc-453c-4b5c-9a44-0fb71f3c6d7c/resourceGroups/rg-ragchatdr1/providers/Microsoft.CognitiveServices/accounts/aisa-okotsq3uvfygg 1
Result undefined: /subscriptions/6cb4dbdc-453c-4b5c-9a44-0fb71f3c6d7c/resourceGroups/rg-ragchatdr2/providers/Microsoft.CognitiveServices/accounts/aisa-rpi42xeqss7is 1
Result undefined: /subscriptions/6cb4dbdc-453c-4b5c-9a44-0fb71f3c6d7c/resourceGroups/rg-ragchatdr2/providers/Microsoft.Search/searchServices/srch-rpi42xeqss7is 1
Result undefined: /subscriptions/6cb4dbdc-453c-4b5c-9a44-0fb71f3c6d7c/resourceGroups/rg-ragchatdr7/providers/Microsoft.CognitiveServices/accounts/aisa-klzfrvxhhxe6s 1
Result undefined: /subscriptions/6cb4dbdc-453c-4b5c-9a44-0fb71f3c6d7c/resourceGroups/rg-ragchatdr7/providers/Microsoft.Search/searchServices/srch-klzfrvxhhxe6s 1
Result undefined: /subscriptions/6cb4dbdc-453c-4b5c-9a44-0fb71f3c6d7c/resourceGroups/rg-ragchatpriv/providers/Microsoft.CognitiveServices/accounts/cog-di-uglzyw3ohprsw 1
Result undefined: /subscriptions/6cb4dbdc-453c-4b5c-9a44-0fb71f3c6d7c/resourceGroups/rg-ragchatpriv/providers/Microsoft.CognitiveServices/accounts/cog-uglzyw3ohprsw 1
Result undefined: /subscriptions/6cb4dbdc-453c-4b5c-9a44-0fb71f3c6d7c/resourceGroups/rg-ragchatpriv/providers/Microsoft.Search/searchServices/gptkb-uglzyw3ohprsw 1
Result undefined: /subscriptions/6cb4dbdc-453c-4b5c-9a44-0fb71f3c6d7c/resourceGroups/rg-retailrag/providers/Microsoft.CognitiveServices/accounts/aoai-6tngxvobrsc3i 1
Result undefined: /subscriptions/6cb4dbdc-453c-4b5c-9a44-0fb71f3c6d7c/resourceGroups/rg-retailrag/providers/Microsoft.Search/searchServices/srch-6tngxvobrsc3i 0
Result undefined: /subscriptions/6cb4dbdc-453c-4b5c-9a44-0fb71f3c6d7c/resourceGroups/rg-translate/providers/Microsoft.CognitiveServices/accounts/agentspanish 0
Result undefined: /subscriptions/6cb4dbdc-453c-4b5c-9a44-0fb71f3c6d7c/resourceGroups/rg-travelagentMAF/providers/Microsoft.CognitiveServices/accounts/travelagentmaf 0
Result undefined: /subscriptions/6cb4dbdc-453c-4b5c-9a44-0fb71f3c6d7c/resourceGroups/rg-travelagentobs/providers/Microsoft.CognitiveServices/accounts/travelagentobs 0
Result undefined: /subscriptions/6cb4dbdc-453c-4b5c-9a44-0fb71f3c6d7c/resourceGroups/rg-travelagent/providers/Microsoft.CognitiveServices/accounts/travelagentdemo 1</t>
  </si>
  <si>
    <t>Each update to /data folder will trigger data pipeline</t>
  </si>
  <si>
    <t>azd pipeline config is setup</t>
  </si>
  <si>
    <t>azure evaluate statements build into github actions</t>
  </si>
  <si>
    <t>BICEP scripts setup for deployment</t>
  </si>
  <si>
    <t>TPM &amp; RPM setup for hackathon env</t>
  </si>
  <si>
    <t>Not required for lab env</t>
  </si>
  <si>
    <t>GPT 4.1 mini</t>
  </si>
  <si>
    <t>Future release</t>
  </si>
  <si>
    <t>managed endpoints</t>
  </si>
  <si>
    <t>Global Deployment</t>
  </si>
  <si>
    <t>100 TPM for eval models</t>
  </si>
  <si>
    <t>Single user instance no more than 20 dollars per day</t>
  </si>
  <si>
    <t>Kept with base models</t>
  </si>
  <si>
    <t>Removed unused models</t>
  </si>
  <si>
    <t>Send prompt into LLM to refine search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</si>
</sst>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
  </numFmts>
  <fonts count="28">
    <font>
      <sz val="11"/>
      <color theme="1"/>
      <name val="Calibri"/>
      <family val="2"/>
      <scheme val="minor"/>
    </font>
    <font>
      <u/>
      <sz val="11"/>
      <color theme="10"/>
      <name val="Calibri"/>
      <family val="2"/>
      <scheme val="minor"/>
    </font>
    <font>
      <sz val="11"/>
      <color theme="1"/>
      <name val="Calibri"/>
      <family val="2"/>
      <scheme val="minor"/>
    </font>
    <font>
      <sz val="11"/>
      <color theme="1"/>
      <name val="Segoe UI"/>
      <family val="2"/>
    </font>
    <font>
      <sz val="16"/>
      <color theme="0"/>
      <name val="Segoe UI Semibold"/>
      <family val="2"/>
    </font>
    <font>
      <b/>
      <sz val="11"/>
      <color theme="1"/>
      <name val="Segoe UI"/>
      <family val="2"/>
    </font>
    <font>
      <b/>
      <sz val="11"/>
      <color theme="1"/>
      <name val="Calibri"/>
      <family val="2"/>
      <scheme val="minor"/>
    </font>
    <font>
      <sz val="11"/>
      <color theme="1"/>
      <name val="Segoe UI Semibold"/>
      <family val="2"/>
    </font>
    <font>
      <b/>
      <sz val="11"/>
      <color theme="4"/>
      <name val="Calibri"/>
      <family val="2"/>
      <scheme val="minor"/>
    </font>
    <font>
      <b/>
      <sz val="24"/>
      <color theme="4"/>
      <name val="Calibri"/>
      <family val="2"/>
      <scheme val="minor"/>
    </font>
    <font>
      <sz val="8"/>
      <color rgb="FF000000"/>
      <name val="Segoe UI"/>
      <family val="2"/>
    </font>
    <font>
      <b/>
      <sz val="18"/>
      <color theme="4"/>
      <name val="Segoe UI"/>
      <family val="2"/>
    </font>
    <font>
      <sz val="11"/>
      <color rgb="FF000000"/>
      <name val="Calibri"/>
      <family val="2"/>
    </font>
    <font>
      <b/>
      <sz val="14"/>
      <color theme="4"/>
      <name val="Calibri"/>
      <family val="2"/>
    </font>
    <font>
      <b/>
      <sz val="22"/>
      <color rgb="FF4472C4"/>
      <name val="Calibri"/>
      <family val="2"/>
      <charset val="1"/>
    </font>
    <font>
      <b/>
      <sz val="12"/>
      <color theme="4"/>
      <name val="Segoe UI"/>
      <family val="2"/>
    </font>
    <font>
      <sz val="11"/>
      <color theme="1"/>
      <name val="Segoe UI"/>
      <family val="2"/>
      <charset val="2"/>
    </font>
    <font>
      <sz val="10"/>
      <color theme="1"/>
      <name val="Segoe UI"/>
      <family val="2"/>
    </font>
    <font>
      <sz val="10"/>
      <color theme="1"/>
      <name val="Segoe UI"/>
      <family val="2"/>
      <charset val="2"/>
    </font>
    <font>
      <sz val="10"/>
      <color theme="1"/>
      <name val="Wingdings"/>
      <charset val="2"/>
    </font>
    <font>
      <sz val="11"/>
      <color theme="0" tint="-0.34998626667073579"/>
      <name val="Consolas"/>
      <family val="3"/>
    </font>
    <font>
      <sz val="11"/>
      <name val="Segoe UI"/>
      <family val="2"/>
    </font>
    <font>
      <sz val="11"/>
      <color theme="4"/>
      <name val="Segoe UI"/>
      <family val="2"/>
    </font>
    <font>
      <sz val="14"/>
      <color theme="0"/>
      <name val="Segoe UI Semibold"/>
      <family val="2"/>
    </font>
    <font>
      <sz val="14"/>
      <color theme="0" tint="-0.499984740745262"/>
      <name val="Segoe UI Semibold"/>
      <family val="2"/>
    </font>
    <font>
      <sz val="28"/>
      <color theme="4"/>
      <name val="Segoe UI Semibold"/>
      <family val="2"/>
    </font>
    <font>
      <sz val="9"/>
      <color theme="4"/>
      <name val="Segoe UI"/>
      <family val="2"/>
    </font>
    <font>
      <sz val="8"/>
      <color theme="1" tint="0.499984740745262"/>
      <name val="Segoe UI Semibold"/>
      <family val="2"/>
    </font>
  </fonts>
  <fills count="10">
    <fill>
      <patternFill patternType="none"/>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9" tint="0.79998168889431442"/>
        <bgColor indexed="64"/>
      </patternFill>
    </fill>
    <fill>
      <patternFill patternType="solid">
        <fgColor theme="2"/>
        <bgColor indexed="64"/>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0" borderId="0" applyNumberFormat="0" applyFill="0" applyBorder="0" applyAlignment="0" applyProtection="0"/>
    <xf numFmtId="0" fontId="2" fillId="2" borderId="1" applyNumberFormat="0" applyFont="0" applyAlignment="0" applyProtection="0"/>
    <xf numFmtId="9" fontId="2" fillId="0" borderId="0" applyFont="0" applyFill="0" applyBorder="0" applyAlignment="0" applyProtection="0"/>
  </cellStyleXfs>
  <cellXfs count="53">
    <xf numFmtId="0" fontId="0" fillId="0" borderId="0" xfId="0"/>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vertical="top" wrapText="1"/>
    </xf>
    <xf numFmtId="0" fontId="5" fillId="0" borderId="0" xfId="2" applyFont="1" applyFill="1" applyBorder="1" applyAlignment="1">
      <alignment vertical="top" wrapText="1"/>
    </xf>
    <xf numFmtId="0" fontId="5" fillId="0" borderId="0" xfId="0" applyFont="1" applyAlignment="1">
      <alignment horizontal="left" vertical="top"/>
    </xf>
    <xf numFmtId="0" fontId="3" fillId="0" borderId="0" xfId="0" applyFont="1" applyAlignment="1">
      <alignment vertical="top"/>
    </xf>
    <xf numFmtId="0" fontId="0" fillId="3" borderId="0" xfId="0" applyFill="1"/>
    <xf numFmtId="0" fontId="0" fillId="4" borderId="0" xfId="0" applyFill="1"/>
    <xf numFmtId="0" fontId="0" fillId="6" borderId="0" xfId="0" applyFill="1"/>
    <xf numFmtId="0" fontId="0" fillId="7" borderId="0" xfId="0" applyFill="1"/>
    <xf numFmtId="0" fontId="7" fillId="0" borderId="0" xfId="0" applyFont="1" applyAlignment="1">
      <alignment horizontal="left" vertical="center" wrapText="1" indent="10"/>
    </xf>
    <xf numFmtId="0" fontId="6" fillId="0" borderId="0" xfId="0" applyFont="1"/>
    <xf numFmtId="0" fontId="9" fillId="0" borderId="0" xfId="0" applyFont="1"/>
    <xf numFmtId="9" fontId="0" fillId="0" borderId="0" xfId="3" applyFont="1"/>
    <xf numFmtId="9" fontId="8" fillId="0" borderId="0" xfId="3" applyFont="1"/>
    <xf numFmtId="0" fontId="11" fillId="0" borderId="0" xfId="2" applyFont="1" applyFill="1" applyBorder="1" applyAlignment="1">
      <alignment horizontal="left" vertical="center"/>
    </xf>
    <xf numFmtId="164" fontId="14" fillId="0" borderId="0" xfId="0" applyNumberFormat="1" applyFont="1"/>
    <xf numFmtId="0" fontId="13" fillId="0" borderId="0" xfId="0" applyFont="1" applyAlignment="1">
      <alignment horizontal="center" vertical="center" wrapText="1"/>
    </xf>
    <xf numFmtId="0" fontId="1" fillId="0" borderId="0" xfId="1" applyAlignment="1">
      <alignment horizontal="left" vertical="top"/>
    </xf>
    <xf numFmtId="0" fontId="7" fillId="8" borderId="2" xfId="0" applyFont="1" applyFill="1" applyBorder="1" applyAlignment="1">
      <alignment horizontal="left" vertical="center" wrapText="1" indent="10"/>
    </xf>
    <xf numFmtId="0" fontId="15" fillId="8" borderId="4" xfId="0" applyFont="1" applyFill="1" applyBorder="1" applyAlignment="1">
      <alignment horizontal="center" vertical="center" wrapText="1"/>
    </xf>
    <xf numFmtId="0" fontId="16" fillId="0" borderId="0" xfId="0" applyFont="1" applyAlignment="1">
      <alignment horizontal="left" vertical="center" wrapText="1"/>
    </xf>
    <xf numFmtId="0" fontId="3" fillId="0" borderId="0" xfId="0" applyFont="1" applyAlignment="1">
      <alignment horizontal="left"/>
    </xf>
    <xf numFmtId="0" fontId="15" fillId="0" borderId="0" xfId="0" applyFont="1" applyAlignment="1">
      <alignment horizontal="center" vertical="center"/>
    </xf>
    <xf numFmtId="0" fontId="15" fillId="0" borderId="0" xfId="0" applyFont="1" applyAlignment="1">
      <alignment horizontal="center" vertical="center" wrapText="1"/>
    </xf>
    <xf numFmtId="0" fontId="18" fillId="0" borderId="0" xfId="0" applyFont="1" applyAlignment="1">
      <alignment horizontal="left" vertical="center" wrapText="1"/>
    </xf>
    <xf numFmtId="0" fontId="4" fillId="0" borderId="0" xfId="0" applyFont="1" applyAlignment="1">
      <alignment horizontal="left" vertical="top"/>
    </xf>
    <xf numFmtId="0" fontId="16" fillId="0" borderId="0" xfId="0" applyFont="1" applyAlignment="1">
      <alignment horizontal="left" vertical="center"/>
    </xf>
    <xf numFmtId="0" fontId="21" fillId="0" borderId="0" xfId="1" applyFont="1" applyAlignment="1">
      <alignment horizontal="left" vertical="top"/>
    </xf>
    <xf numFmtId="0" fontId="20" fillId="9" borderId="0" xfId="1" applyFont="1" applyFill="1" applyAlignment="1">
      <alignment horizontal="left" vertical="top"/>
    </xf>
    <xf numFmtId="11" fontId="20" fillId="9" borderId="0" xfId="1" applyNumberFormat="1" applyFont="1" applyFill="1" applyAlignment="1">
      <alignment horizontal="left" vertical="top"/>
    </xf>
    <xf numFmtId="0" fontId="20" fillId="9" borderId="0" xfId="1" applyFont="1" applyFill="1" applyAlignment="1">
      <alignment horizontal="center" vertical="top"/>
    </xf>
    <xf numFmtId="0" fontId="0" fillId="0" borderId="0" xfId="0" applyAlignment="1">
      <alignment horizontal="center"/>
    </xf>
    <xf numFmtId="9" fontId="3" fillId="0" borderId="0" xfId="0" applyNumberFormat="1" applyFont="1" applyAlignment="1">
      <alignment horizontal="center" vertical="top"/>
    </xf>
    <xf numFmtId="0" fontId="15" fillId="8" borderId="3" xfId="0" applyFont="1" applyFill="1" applyBorder="1" applyAlignment="1">
      <alignment horizontal="right" vertical="center" wrapText="1"/>
    </xf>
    <xf numFmtId="15" fontId="22" fillId="0" borderId="0" xfId="0" applyNumberFormat="1" applyFont="1" applyAlignment="1">
      <alignment vertical="top" wrapText="1"/>
    </xf>
    <xf numFmtId="0" fontId="23" fillId="5" borderId="0" xfId="0" applyFont="1" applyFill="1" applyAlignment="1">
      <alignment horizontal="left" vertical="top"/>
    </xf>
    <xf numFmtId="0" fontId="24" fillId="5" borderId="0" xfId="0" applyFont="1" applyFill="1" applyAlignment="1">
      <alignment horizontal="left" vertical="top"/>
    </xf>
    <xf numFmtId="0" fontId="24" fillId="5" borderId="0" xfId="0" applyFont="1" applyFill="1" applyAlignment="1">
      <alignment horizontal="center" vertical="top"/>
    </xf>
    <xf numFmtId="0" fontId="3" fillId="0" borderId="0" xfId="0" applyFont="1" applyAlignment="1">
      <alignment horizontal="right" vertical="top"/>
    </xf>
    <xf numFmtId="0" fontId="1" fillId="0" borderId="0" xfId="1"/>
    <xf numFmtId="0" fontId="25" fillId="0" borderId="0" xfId="0" applyFont="1" applyAlignment="1">
      <alignment horizontal="left" vertical="center" wrapText="1" indent="10"/>
    </xf>
    <xf numFmtId="0" fontId="26" fillId="0" borderId="0" xfId="0" applyFont="1" applyAlignment="1">
      <alignment vertical="top" wrapText="1"/>
    </xf>
    <xf numFmtId="0" fontId="26" fillId="0" borderId="0" xfId="0" applyFont="1" applyAlignment="1">
      <alignment horizontal="right" vertical="top" wrapText="1"/>
    </xf>
    <xf numFmtId="15" fontId="26" fillId="0" borderId="0" xfId="0" applyNumberFormat="1" applyFont="1" applyAlignment="1">
      <alignment horizontal="left" vertical="top" wrapText="1"/>
    </xf>
    <xf numFmtId="0" fontId="27" fillId="0" borderId="0" xfId="0" applyFont="1" applyAlignment="1">
      <alignment horizontal="left" vertical="center" wrapText="1" indent="6"/>
    </xf>
    <xf numFmtId="22" fontId="0" fillId="0" borderId="0" xfId="0" applyNumberFormat="1"/>
    <xf numFmtId="11" fontId="0" fillId="0" borderId="0" xfId="0" applyNumberFormat="1"/>
    <xf numFmtId="0" fontId="1" fillId="0" borderId="0" xfId="1" applyAlignment="1">
      <alignment horizontal="right" vertical="top"/>
    </xf>
    <xf numFmtId="0" fontId="17" fillId="0" borderId="0" xfId="0" applyFont="1" applyAlignment="1">
      <alignment vertical="center" wrapText="1"/>
    </xf>
    <xf numFmtId="0" fontId="21" fillId="0" borderId="0" xfId="1" applyFont="1" applyAlignment="1">
      <alignment horizontal="left" vertical="top" wrapText="1"/>
    </xf>
    <xf numFmtId="0" fontId="3" fillId="0" borderId="0" xfId="0" applyFont="1" applyAlignment="1">
      <alignment horizontal="left"/>
    </xf>
  </cellXfs>
  <cellStyles count="4">
    <cellStyle name="Hyperlink" xfId="1" builtinId="8"/>
    <cellStyle name="Normal" xfId="0" builtinId="0"/>
    <cellStyle name="Note" xfId="2" builtinId="10"/>
    <cellStyle name="Percent" xfId="3" builtinId="5"/>
  </cellStyles>
  <dxfs count="17">
    <dxf>
      <fill>
        <patternFill>
          <bgColor rgb="FFFF0000"/>
        </patternFill>
      </fill>
    </dxf>
    <dxf>
      <fill>
        <patternFill>
          <bgColor theme="2"/>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theme="2"/>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border>
        <bottom style="thin">
          <color theme="2" tint="-9.9948118533890809E-2"/>
        </bottom>
        <vertical/>
        <horizontal/>
      </border>
    </dxf>
    <dxf>
      <border>
        <bottom style="thin">
          <color auto="1"/>
        </bottom>
        <vertical/>
        <horizontal/>
      </border>
    </dxf>
  </dxfs>
  <tableStyles count="0" defaultTableStyle="TableStyleMedium2" defaultPivotStyle="PivotStyleLight16"/>
  <colors>
    <mruColors>
      <color rgb="FF625E5E"/>
      <color rgb="FF817D7D"/>
      <color rgb="FF0078D4"/>
      <color rgb="FF50E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Overall checks (per severity)</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022-4103-AB6F-73A89D7045B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022-4103-AB6F-73A89D7045B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022-4103-AB6F-73A89D7045B8}"/>
              </c:ext>
            </c:extLst>
          </c:dPt>
          <c:cat>
            <c:strRef>
              <c:f>Dashboard!$A$6:$A$8</c:f>
              <c:strCache>
                <c:ptCount val="3"/>
                <c:pt idx="0">
                  <c:v>High</c:v>
                </c:pt>
                <c:pt idx="1">
                  <c:v>Medium</c:v>
                </c:pt>
                <c:pt idx="2">
                  <c:v>Low</c:v>
                </c:pt>
              </c:strCache>
            </c:strRef>
          </c:cat>
          <c:val>
            <c:numRef>
              <c:f>Dashboard!$G$6:$G$8</c:f>
              <c:numCache>
                <c:formatCode>General</c:formatCode>
                <c:ptCount val="3"/>
                <c:pt idx="0">
                  <c:v>83</c:v>
                </c:pt>
                <c:pt idx="1">
                  <c:v>83</c:v>
                </c:pt>
                <c:pt idx="2">
                  <c:v>11</c:v>
                </c:pt>
              </c:numCache>
            </c:numRef>
          </c:val>
          <c:extLst>
            <c:ext xmlns:c16="http://schemas.microsoft.com/office/drawing/2014/chart" uri="{C3380CC4-5D6E-409C-BE32-E72D297353CC}">
              <c16:uniqueId val="{00000000-40F4-4D4C-B7F3-53AA5B0E793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(overall)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28-4E93-9FAF-CDC3684C0D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328-4E93-9FAF-CDC3684C0D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328-4E93-9FAF-CDC3684C0D6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328-4E93-9FAF-CDC3684C0D6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2C0-4481-A17F-64AA10FF225C}"/>
              </c:ext>
            </c:extLst>
          </c:dPt>
          <c:cat>
            <c:strRef>
              <c:f>Dashboard!$B$5:$F$5</c:f>
              <c:strCache>
                <c:ptCount val="5"/>
                <c:pt idx="0">
                  <c:v>Not verified</c:v>
                </c:pt>
                <c:pt idx="1">
                  <c:v>Open</c:v>
                </c:pt>
                <c:pt idx="2">
                  <c:v>Fulfilled</c:v>
                </c:pt>
                <c:pt idx="3">
                  <c:v>Not required</c:v>
                </c:pt>
                <c:pt idx="4">
                  <c:v>N/A</c:v>
                </c:pt>
              </c:strCache>
            </c:strRef>
          </c:cat>
          <c:val>
            <c:numRef>
              <c:f>Dashboard!$B$9:$F$9</c:f>
              <c:numCache>
                <c:formatCode>General</c:formatCode>
                <c:ptCount val="5"/>
                <c:pt idx="0">
                  <c:v>20</c:v>
                </c:pt>
                <c:pt idx="1">
                  <c:v>28</c:v>
                </c:pt>
                <c:pt idx="2">
                  <c:v>91</c:v>
                </c:pt>
                <c:pt idx="3">
                  <c:v>38</c:v>
                </c:pt>
                <c:pt idx="4">
                  <c:v>0</c:v>
                </c:pt>
              </c:numCache>
            </c:numRef>
          </c:val>
          <c:extLst>
            <c:ext xmlns:c16="http://schemas.microsoft.com/office/drawing/2014/chart" uri="{C3380CC4-5D6E-409C-BE32-E72D297353CC}">
              <c16:uniqueId val="{00000000-AAA7-491E-BF02-221FE53ECC2B}"/>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Status (Medium)</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1"/>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6-7027-42E9-A368-B66B4711060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7-7027-42E9-A368-B66B4711060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8-7027-42E9-A368-B66B4711060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9-7027-42E9-A368-B66B4711060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4EC-4BEE-A3E6-58C5A0D0870B}"/>
              </c:ext>
            </c:extLst>
          </c:dPt>
          <c:cat>
            <c:strRef>
              <c:f>Dashboard!$B$5:$F$5</c:f>
              <c:strCache>
                <c:ptCount val="5"/>
                <c:pt idx="0">
                  <c:v>Not verified</c:v>
                </c:pt>
                <c:pt idx="1">
                  <c:v>Open</c:v>
                </c:pt>
                <c:pt idx="2">
                  <c:v>Fulfilled</c:v>
                </c:pt>
                <c:pt idx="3">
                  <c:v>Not required</c:v>
                </c:pt>
                <c:pt idx="4">
                  <c:v>N/A</c:v>
                </c:pt>
              </c:strCache>
            </c:strRef>
          </c:cat>
          <c:val>
            <c:numRef>
              <c:f>Dashboard!$B$7:$F$7</c:f>
              <c:numCache>
                <c:formatCode>General</c:formatCode>
                <c:ptCount val="5"/>
                <c:pt idx="0">
                  <c:v>11</c:v>
                </c:pt>
                <c:pt idx="1">
                  <c:v>13</c:v>
                </c:pt>
                <c:pt idx="2">
                  <c:v>37</c:v>
                </c:pt>
                <c:pt idx="3">
                  <c:v>22</c:v>
                </c:pt>
                <c:pt idx="4">
                  <c:v>0</c:v>
                </c:pt>
              </c:numCache>
            </c:numRef>
          </c:val>
          <c:extLst>
            <c:ext xmlns:c16="http://schemas.microsoft.com/office/drawing/2014/chart" uri="{C3380CC4-5D6E-409C-BE32-E72D297353CC}">
              <c16:uniqueId val="{00000015-7027-42E9-A368-B66B4711060D}"/>
            </c:ext>
          </c:extLst>
        </c:ser>
        <c:ser>
          <c:idx val="0"/>
          <c:order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7027-42E9-A368-B66B4711060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7027-42E9-A368-B66B4711060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7027-42E9-A368-B66B4711060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7027-42E9-A368-B66B4711060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7027-42E9-A368-B66B4711060D}"/>
              </c:ext>
            </c:extLst>
          </c:dPt>
          <c:cat>
            <c:strRef>
              <c:f>Dashboard!$B$5:$F$5</c:f>
              <c:strCache>
                <c:ptCount val="5"/>
                <c:pt idx="0">
                  <c:v>Not verified</c:v>
                </c:pt>
                <c:pt idx="1">
                  <c:v>Open</c:v>
                </c:pt>
                <c:pt idx="2">
                  <c:v>Fulfilled</c:v>
                </c:pt>
                <c:pt idx="3">
                  <c:v>Not required</c:v>
                </c:pt>
                <c:pt idx="4">
                  <c:v>N/A</c:v>
                </c:pt>
              </c:strCache>
            </c:strRef>
          </c:cat>
          <c:val>
            <c:numRef>
              <c:f>Dashboard!$B$7:$F$7</c:f>
              <c:numCache>
                <c:formatCode>General</c:formatCode>
                <c:ptCount val="5"/>
                <c:pt idx="0">
                  <c:v>11</c:v>
                </c:pt>
                <c:pt idx="1">
                  <c:v>13</c:v>
                </c:pt>
                <c:pt idx="2">
                  <c:v>37</c:v>
                </c:pt>
                <c:pt idx="3">
                  <c:v>22</c:v>
                </c:pt>
                <c:pt idx="4">
                  <c:v>0</c:v>
                </c:pt>
              </c:numCache>
            </c:numRef>
          </c:val>
          <c:extLst>
            <c:ext xmlns:c16="http://schemas.microsoft.com/office/drawing/2014/chart" uri="{C3380CC4-5D6E-409C-BE32-E72D297353CC}">
              <c16:uniqueId val="{00000014-7027-42E9-A368-B66B4711060D}"/>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Status (Low)</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0B-4975-A672-1060207E218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0B-4975-A672-1060207E218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0B-4975-A672-1060207E218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60B-4975-A672-1060207E218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079-4179-B979-F16F137A6747}"/>
              </c:ext>
            </c:extLst>
          </c:dPt>
          <c:cat>
            <c:strRef>
              <c:f>Dashboard!$B$5:$F$5</c:f>
              <c:strCache>
                <c:ptCount val="5"/>
                <c:pt idx="0">
                  <c:v>Not verified</c:v>
                </c:pt>
                <c:pt idx="1">
                  <c:v>Open</c:v>
                </c:pt>
                <c:pt idx="2">
                  <c:v>Fulfilled</c:v>
                </c:pt>
                <c:pt idx="3">
                  <c:v>Not required</c:v>
                </c:pt>
                <c:pt idx="4">
                  <c:v>N/A</c:v>
                </c:pt>
              </c:strCache>
            </c:strRef>
          </c:cat>
          <c:val>
            <c:numRef>
              <c:f>Dashboard!$B$8:$F$8</c:f>
              <c:numCache>
                <c:formatCode>General</c:formatCode>
                <c:ptCount val="5"/>
                <c:pt idx="0">
                  <c:v>0</c:v>
                </c:pt>
                <c:pt idx="1">
                  <c:v>3</c:v>
                </c:pt>
                <c:pt idx="2">
                  <c:v>6</c:v>
                </c:pt>
                <c:pt idx="3">
                  <c:v>2</c:v>
                </c:pt>
                <c:pt idx="4">
                  <c:v>0</c:v>
                </c:pt>
              </c:numCache>
            </c:numRef>
          </c:val>
          <c:extLst>
            <c:ext xmlns:c16="http://schemas.microsoft.com/office/drawing/2014/chart" uri="{C3380CC4-5D6E-409C-BE32-E72D297353CC}">
              <c16:uniqueId val="{00000000-7B85-4812-8DC5-4FEFD49C0CB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Overall checks (per design</a:t>
            </a:r>
            <a:r>
              <a:rPr lang="en-US" sz="1000" baseline="0"/>
              <a:t> area)</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9E-4CE0-A990-137DE654B40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9E-4CE0-A990-137DE654B40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D9E-4CE0-A990-137DE654B40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D9E-4CE0-A990-137DE654B40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D9E-4CE0-A990-137DE654B40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D9E-4CE0-A990-137DE654B40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D9E-4CE0-A990-137DE654B40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9AB-4AD4-9C2B-7A30973B3A6B}"/>
              </c:ext>
            </c:extLst>
          </c:dPt>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Dashboard!$O$6:$O$13</c:f>
              <c:numCache>
                <c:formatCode>General</c:formatCode>
                <c:ptCount val="8"/>
                <c:pt idx="0">
                  <c:v>8</c:v>
                </c:pt>
                <c:pt idx="1">
                  <c:v>7</c:v>
                </c:pt>
                <c:pt idx="2">
                  <c:v>9</c:v>
                </c:pt>
                <c:pt idx="3">
                  <c:v>68</c:v>
                </c:pt>
                <c:pt idx="4">
                  <c:v>20</c:v>
                </c:pt>
                <c:pt idx="5">
                  <c:v>60</c:v>
                </c:pt>
                <c:pt idx="6">
                  <c:v>4</c:v>
                </c:pt>
                <c:pt idx="7">
                  <c:v>0</c:v>
                </c:pt>
              </c:numCache>
            </c:numRef>
          </c:val>
          <c:extLst>
            <c:ext xmlns:c16="http://schemas.microsoft.com/office/drawing/2014/chart" uri="{C3380CC4-5D6E-409C-BE32-E72D297353CC}">
              <c16:uniqueId val="{00000000-641C-4C25-AB91-4B7C0B635C6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(per technology)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Dashboard!$J$5</c:f>
              <c:strCache>
                <c:ptCount val="1"/>
                <c:pt idx="0">
                  <c:v>Not verified</c:v>
                </c:pt>
              </c:strCache>
            </c:strRef>
          </c:tx>
          <c:spPr>
            <a:solidFill>
              <a:schemeClr val="accent1"/>
            </a:solidFill>
            <a:ln>
              <a:noFill/>
            </a:ln>
            <a:effectLst/>
            <a:sp3d/>
          </c:spPr>
          <c:invertIfNegative val="0"/>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Dashboard!$J$6:$J$13</c:f>
              <c:numCache>
                <c:formatCode>General</c:formatCode>
                <c:ptCount val="8"/>
                <c:pt idx="0">
                  <c:v>0</c:v>
                </c:pt>
                <c:pt idx="1">
                  <c:v>0</c:v>
                </c:pt>
                <c:pt idx="2">
                  <c:v>0</c:v>
                </c:pt>
                <c:pt idx="3">
                  <c:v>9</c:v>
                </c:pt>
                <c:pt idx="4">
                  <c:v>5</c:v>
                </c:pt>
                <c:pt idx="5">
                  <c:v>6</c:v>
                </c:pt>
                <c:pt idx="6">
                  <c:v>0</c:v>
                </c:pt>
                <c:pt idx="7">
                  <c:v>0</c:v>
                </c:pt>
              </c:numCache>
            </c:numRef>
          </c:val>
          <c:extLst>
            <c:ext xmlns:c16="http://schemas.microsoft.com/office/drawing/2014/chart" uri="{C3380CC4-5D6E-409C-BE32-E72D297353CC}">
              <c16:uniqueId val="{00000000-A456-4CA0-9887-8AFA0FCABAF4}"/>
            </c:ext>
          </c:extLst>
        </c:ser>
        <c:ser>
          <c:idx val="1"/>
          <c:order val="1"/>
          <c:tx>
            <c:strRef>
              <c:f>Dashboard!$K$5</c:f>
              <c:strCache>
                <c:ptCount val="1"/>
                <c:pt idx="0">
                  <c:v>Open</c:v>
                </c:pt>
              </c:strCache>
            </c:strRef>
          </c:tx>
          <c:spPr>
            <a:solidFill>
              <a:schemeClr val="accent2"/>
            </a:solidFill>
            <a:ln>
              <a:noFill/>
            </a:ln>
            <a:effectLst/>
            <a:sp3d/>
          </c:spPr>
          <c:invertIfNegative val="0"/>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Dashboard!$K$6:$K$13</c:f>
              <c:numCache>
                <c:formatCode>General</c:formatCode>
                <c:ptCount val="8"/>
                <c:pt idx="0">
                  <c:v>0</c:v>
                </c:pt>
                <c:pt idx="1">
                  <c:v>1</c:v>
                </c:pt>
                <c:pt idx="2">
                  <c:v>0</c:v>
                </c:pt>
                <c:pt idx="3">
                  <c:v>17</c:v>
                </c:pt>
                <c:pt idx="4">
                  <c:v>2</c:v>
                </c:pt>
                <c:pt idx="5">
                  <c:v>8</c:v>
                </c:pt>
                <c:pt idx="6">
                  <c:v>0</c:v>
                </c:pt>
                <c:pt idx="7">
                  <c:v>0</c:v>
                </c:pt>
              </c:numCache>
            </c:numRef>
          </c:val>
          <c:extLst>
            <c:ext xmlns:c16="http://schemas.microsoft.com/office/drawing/2014/chart" uri="{C3380CC4-5D6E-409C-BE32-E72D297353CC}">
              <c16:uniqueId val="{00000001-A456-4CA0-9887-8AFA0FCABAF4}"/>
            </c:ext>
          </c:extLst>
        </c:ser>
        <c:ser>
          <c:idx val="2"/>
          <c:order val="2"/>
          <c:tx>
            <c:strRef>
              <c:f>Dashboard!$L$5</c:f>
              <c:strCache>
                <c:ptCount val="1"/>
                <c:pt idx="0">
                  <c:v>Fulfilled</c:v>
                </c:pt>
              </c:strCache>
            </c:strRef>
          </c:tx>
          <c:spPr>
            <a:solidFill>
              <a:schemeClr val="accent3"/>
            </a:solidFill>
            <a:ln>
              <a:noFill/>
            </a:ln>
            <a:effectLst/>
            <a:sp3d/>
          </c:spPr>
          <c:invertIfNegative val="0"/>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Dashboard!$L$6:$L$13</c:f>
              <c:numCache>
                <c:formatCode>General</c:formatCode>
                <c:ptCount val="8"/>
                <c:pt idx="0">
                  <c:v>6</c:v>
                </c:pt>
                <c:pt idx="1">
                  <c:v>5</c:v>
                </c:pt>
                <c:pt idx="2">
                  <c:v>2</c:v>
                </c:pt>
                <c:pt idx="3">
                  <c:v>36</c:v>
                </c:pt>
                <c:pt idx="4">
                  <c:v>10</c:v>
                </c:pt>
                <c:pt idx="5">
                  <c:v>27</c:v>
                </c:pt>
                <c:pt idx="6">
                  <c:v>4</c:v>
                </c:pt>
                <c:pt idx="7">
                  <c:v>0</c:v>
                </c:pt>
              </c:numCache>
            </c:numRef>
          </c:val>
          <c:extLst>
            <c:ext xmlns:c16="http://schemas.microsoft.com/office/drawing/2014/chart" uri="{C3380CC4-5D6E-409C-BE32-E72D297353CC}">
              <c16:uniqueId val="{00000002-A456-4CA0-9887-8AFA0FCABAF4}"/>
            </c:ext>
          </c:extLst>
        </c:ser>
        <c:ser>
          <c:idx val="3"/>
          <c:order val="3"/>
          <c:tx>
            <c:strRef>
              <c:f>Dashboard!$M$5</c:f>
              <c:strCache>
                <c:ptCount val="1"/>
                <c:pt idx="0">
                  <c:v>Not required</c:v>
                </c:pt>
              </c:strCache>
            </c:strRef>
          </c:tx>
          <c:spPr>
            <a:solidFill>
              <a:schemeClr val="accent4"/>
            </a:solidFill>
            <a:ln>
              <a:noFill/>
            </a:ln>
            <a:effectLst/>
            <a:sp3d/>
          </c:spPr>
          <c:invertIfNegative val="0"/>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Dashboard!$M$6:$M$13</c:f>
              <c:numCache>
                <c:formatCode>General</c:formatCode>
                <c:ptCount val="8"/>
                <c:pt idx="0">
                  <c:v>2</c:v>
                </c:pt>
                <c:pt idx="1">
                  <c:v>1</c:v>
                </c:pt>
                <c:pt idx="2">
                  <c:v>7</c:v>
                </c:pt>
                <c:pt idx="3">
                  <c:v>6</c:v>
                </c:pt>
                <c:pt idx="4">
                  <c:v>3</c:v>
                </c:pt>
                <c:pt idx="5">
                  <c:v>19</c:v>
                </c:pt>
                <c:pt idx="6">
                  <c:v>0</c:v>
                </c:pt>
                <c:pt idx="7">
                  <c:v>0</c:v>
                </c:pt>
              </c:numCache>
            </c:numRef>
          </c:val>
          <c:extLst>
            <c:ext xmlns:c16="http://schemas.microsoft.com/office/drawing/2014/chart" uri="{C3380CC4-5D6E-409C-BE32-E72D297353CC}">
              <c16:uniqueId val="{00000003-A456-4CA0-9887-8AFA0FCABAF4}"/>
            </c:ext>
          </c:extLst>
        </c:ser>
        <c:ser>
          <c:idx val="4"/>
          <c:order val="4"/>
          <c:tx>
            <c:strRef>
              <c:f>Dashboard!$N$5</c:f>
              <c:strCache>
                <c:ptCount val="1"/>
                <c:pt idx="0">
                  <c:v>N/A</c:v>
                </c:pt>
              </c:strCache>
            </c:strRef>
          </c:tx>
          <c:spPr>
            <a:solidFill>
              <a:schemeClr val="accent5"/>
            </a:solidFill>
            <a:ln>
              <a:noFill/>
            </a:ln>
            <a:effectLst/>
            <a:sp3d/>
          </c:spPr>
          <c:invertIfNegative val="0"/>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Dashboard!$N$6:$N$13</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6D1-46B6-AF17-3D8245C79C72}"/>
            </c:ext>
          </c:extLst>
        </c:ser>
        <c:dLbls>
          <c:showLegendKey val="0"/>
          <c:showVal val="0"/>
          <c:showCatName val="0"/>
          <c:showSerName val="0"/>
          <c:showPercent val="0"/>
          <c:showBubbleSize val="0"/>
        </c:dLbls>
        <c:gapWidth val="150"/>
        <c:shape val="box"/>
        <c:axId val="614148176"/>
        <c:axId val="614191024"/>
        <c:axId val="0"/>
      </c:bar3DChart>
      <c:catAx>
        <c:axId val="614148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14191024"/>
        <c:crosses val="autoZero"/>
        <c:auto val="1"/>
        <c:lblAlgn val="ctr"/>
        <c:lblOffset val="100"/>
        <c:noMultiLvlLbl val="0"/>
      </c:catAx>
      <c:valAx>
        <c:axId val="61419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1414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Design Area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radarChart>
        <c:radarStyle val="filled"/>
        <c:varyColors val="0"/>
        <c:ser>
          <c:idx val="0"/>
          <c:order val="0"/>
          <c:tx>
            <c:strRef>
              <c:f>Dashboard!$U$20</c:f>
              <c:strCache>
                <c:ptCount val="1"/>
                <c:pt idx="0">
                  <c:v>Progress</c:v>
                </c:pt>
              </c:strCache>
            </c:strRef>
          </c:tx>
          <c:spPr>
            <a:solidFill>
              <a:schemeClr val="accent1"/>
            </a:solidFill>
            <a:ln>
              <a:solidFill>
                <a:schemeClr val="accent2"/>
              </a:solidFill>
            </a:ln>
            <a:effectLst/>
          </c:spPr>
          <c:cat>
            <c:strRef>
              <c:f>Dashboard!$P$21:$P$28</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Dashboard!$U$21:$U$28</c:f>
              <c:numCache>
                <c:formatCode>0%</c:formatCode>
                <c:ptCount val="8"/>
                <c:pt idx="0">
                  <c:v>1</c:v>
                </c:pt>
                <c:pt idx="1">
                  <c:v>0.8571428571428571</c:v>
                </c:pt>
                <c:pt idx="2">
                  <c:v>1</c:v>
                </c:pt>
                <c:pt idx="3">
                  <c:v>0.61764705882352944</c:v>
                </c:pt>
                <c:pt idx="4">
                  <c:v>0.65</c:v>
                </c:pt>
                <c:pt idx="5">
                  <c:v>0.76666666666666672</c:v>
                </c:pt>
                <c:pt idx="6">
                  <c:v>1</c:v>
                </c:pt>
                <c:pt idx="7">
                  <c:v>0</c:v>
                </c:pt>
              </c:numCache>
            </c:numRef>
          </c:val>
          <c:extLst>
            <c:ext xmlns:c16="http://schemas.microsoft.com/office/drawing/2014/chart" uri="{C3380CC4-5D6E-409C-BE32-E72D297353CC}">
              <c16:uniqueId val="{00000000-4855-4BF4-B45D-2AF39CC8E2E0}"/>
            </c:ext>
          </c:extLst>
        </c:ser>
        <c:dLbls>
          <c:showLegendKey val="0"/>
          <c:showVal val="0"/>
          <c:showCatName val="0"/>
          <c:showSerName val="0"/>
          <c:showPercent val="0"/>
          <c:showBubbleSize val="0"/>
        </c:dLbls>
        <c:axId val="1704771872"/>
        <c:axId val="1704768960"/>
      </c:radarChart>
      <c:catAx>
        <c:axId val="170477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04768960"/>
        <c:crosses val="autoZero"/>
        <c:auto val="1"/>
        <c:lblAlgn val="ctr"/>
        <c:lblOffset val="100"/>
        <c:noMultiLvlLbl val="0"/>
      </c:catAx>
      <c:valAx>
        <c:axId val="1704768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0477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Status (High)</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B9-4838-8FA6-9709460555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B9-4838-8FA6-97094605555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4B9-4838-8FA6-97094605555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4B9-4838-8FA6-97094605555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4B9-4838-8FA6-97094605555C}"/>
              </c:ext>
            </c:extLst>
          </c:dPt>
          <c:cat>
            <c:strRef>
              <c:f>Dashboard!$B$5:$F$5</c:f>
              <c:strCache>
                <c:ptCount val="5"/>
                <c:pt idx="0">
                  <c:v>Not verified</c:v>
                </c:pt>
                <c:pt idx="1">
                  <c:v>Open</c:v>
                </c:pt>
                <c:pt idx="2">
                  <c:v>Fulfilled</c:v>
                </c:pt>
                <c:pt idx="3">
                  <c:v>Not required</c:v>
                </c:pt>
                <c:pt idx="4">
                  <c:v>N/A</c:v>
                </c:pt>
              </c:strCache>
            </c:strRef>
          </c:cat>
          <c:val>
            <c:numRef>
              <c:f>Dashboard!$B$6:$F$6</c:f>
              <c:numCache>
                <c:formatCode>General</c:formatCode>
                <c:ptCount val="5"/>
                <c:pt idx="0">
                  <c:v>9</c:v>
                </c:pt>
                <c:pt idx="1">
                  <c:v>12</c:v>
                </c:pt>
                <c:pt idx="2">
                  <c:v>48</c:v>
                </c:pt>
                <c:pt idx="3">
                  <c:v>14</c:v>
                </c:pt>
                <c:pt idx="4">
                  <c:v>0</c:v>
                </c:pt>
              </c:numCache>
            </c:numRef>
          </c:val>
          <c:extLst>
            <c:ext xmlns:c16="http://schemas.microsoft.com/office/drawing/2014/chart" uri="{C3380CC4-5D6E-409C-BE32-E72D297353CC}">
              <c16:uniqueId val="{0000000A-84B9-4838-8FA6-97094605555C}"/>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WAF</a:t>
            </a:r>
            <a:r>
              <a:rPr lang="en-US" baseline="0"/>
              <a:t> Recommendations per service and WAF pillar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Dashboard!$I$50</c:f>
              <c:strCache>
                <c:ptCount val="1"/>
                <c:pt idx="0">
                  <c:v>Reliability</c:v>
                </c:pt>
              </c:strCache>
            </c:strRef>
          </c:tx>
          <c:spPr>
            <a:solidFill>
              <a:schemeClr val="accent1"/>
            </a:solidFill>
            <a:ln>
              <a:noFill/>
            </a:ln>
            <a:effectLst/>
          </c:spPr>
          <c:invertIfNegative val="0"/>
          <c:cat>
            <c:strRef>
              <c:f>[0]!ChartWAFLabels</c:f>
              <c:strCache>
                <c:ptCount val="23"/>
                <c:pt idx="0">
                  <c:v>Azure AI Content Safety</c:v>
                </c:pt>
                <c:pt idx="1">
                  <c:v>Azure AI Foundry</c:v>
                </c:pt>
                <c:pt idx="2">
                  <c:v>Azure AI Search</c:v>
                </c:pt>
                <c:pt idx="3">
                  <c:v>Azure AI Services</c:v>
                </c:pt>
                <c:pt idx="4">
                  <c:v>Azure API Management</c:v>
                </c:pt>
                <c:pt idx="5">
                  <c:v>Azure Container Apps</c:v>
                </c:pt>
                <c:pt idx="6">
                  <c:v>Azure Cost Management</c:v>
                </c:pt>
                <c:pt idx="7">
                  <c:v>Azure DevOps</c:v>
                </c:pt>
                <c:pt idx="8">
                  <c:v>Azure Machine Learning</c:v>
                </c:pt>
                <c:pt idx="9">
                  <c:v>Azure Monitor</c:v>
                </c:pt>
                <c:pt idx="10">
                  <c:v>Azure Open AI</c:v>
                </c:pt>
                <c:pt idx="11">
                  <c:v>Azure OpenAI</c:v>
                </c:pt>
                <c:pt idx="12">
                  <c:v>Azure RBAC</c:v>
                </c:pt>
                <c:pt idx="13">
                  <c:v>Azure Resource Manager</c:v>
                </c:pt>
                <c:pt idx="14">
                  <c:v>Azure Service Health</c:v>
                </c:pt>
                <c:pt idx="15">
                  <c:v>Cognitive Search</c:v>
                </c:pt>
                <c:pt idx="16">
                  <c:v>Cognitive Services</c:v>
                </c:pt>
                <c:pt idx="17">
                  <c:v>Microsoft cloud security benchmark</c:v>
                </c:pt>
                <c:pt idx="18">
                  <c:v>Microsoft Defender for Cloud</c:v>
                </c:pt>
                <c:pt idx="19">
                  <c:v>Microsoft Entra</c:v>
                </c:pt>
                <c:pt idx="20">
                  <c:v>Microsoft Purview</c:v>
                </c:pt>
                <c:pt idx="21">
                  <c:v>Microsoft Threat Modeling Tool</c:v>
                </c:pt>
                <c:pt idx="22">
                  <c:v>NA</c:v>
                </c:pt>
              </c:strCache>
            </c:strRef>
          </c:cat>
          <c:val>
            <c:numRef>
              <c:f>[0]!ChartWAFRel</c:f>
              <c:numCache>
                <c:formatCode>General</c:formatCode>
                <c:ptCount val="23"/>
                <c:pt idx="0">
                  <c:v>0</c:v>
                </c:pt>
                <c:pt idx="1">
                  <c:v>1</c:v>
                </c:pt>
                <c:pt idx="2">
                  <c:v>0</c:v>
                </c:pt>
                <c:pt idx="3">
                  <c:v>0</c:v>
                </c:pt>
                <c:pt idx="4">
                  <c:v>0</c:v>
                </c:pt>
                <c:pt idx="5">
                  <c:v>0</c:v>
                </c:pt>
                <c:pt idx="6">
                  <c:v>0</c:v>
                </c:pt>
                <c:pt idx="7">
                  <c:v>0</c:v>
                </c:pt>
                <c:pt idx="8">
                  <c:v>1</c:v>
                </c:pt>
                <c:pt idx="9">
                  <c:v>0</c:v>
                </c:pt>
                <c:pt idx="10">
                  <c:v>1</c:v>
                </c:pt>
                <c:pt idx="11">
                  <c:v>10</c:v>
                </c:pt>
                <c:pt idx="12">
                  <c:v>0</c:v>
                </c:pt>
                <c:pt idx="13">
                  <c:v>0</c:v>
                </c:pt>
                <c:pt idx="14">
                  <c:v>0</c:v>
                </c:pt>
                <c:pt idx="15">
                  <c:v>7</c:v>
                </c:pt>
                <c:pt idx="16">
                  <c:v>6</c:v>
                </c:pt>
                <c:pt idx="17">
                  <c:v>0</c:v>
                </c:pt>
                <c:pt idx="18">
                  <c:v>0</c:v>
                </c:pt>
                <c:pt idx="19">
                  <c:v>0</c:v>
                </c:pt>
                <c:pt idx="20">
                  <c:v>0</c:v>
                </c:pt>
                <c:pt idx="21">
                  <c:v>0</c:v>
                </c:pt>
                <c:pt idx="22">
                  <c:v>0</c:v>
                </c:pt>
              </c:numCache>
            </c:numRef>
          </c:val>
          <c:extLst>
            <c:ext xmlns:c16="http://schemas.microsoft.com/office/drawing/2014/chart" uri="{C3380CC4-5D6E-409C-BE32-E72D297353CC}">
              <c16:uniqueId val="{00000000-6349-4F04-8A36-3F690DAED9C3}"/>
            </c:ext>
          </c:extLst>
        </c:ser>
        <c:ser>
          <c:idx val="1"/>
          <c:order val="1"/>
          <c:tx>
            <c:strRef>
              <c:f>Dashboard!$J$50</c:f>
              <c:strCache>
                <c:ptCount val="1"/>
                <c:pt idx="0">
                  <c:v>Security</c:v>
                </c:pt>
              </c:strCache>
            </c:strRef>
          </c:tx>
          <c:spPr>
            <a:solidFill>
              <a:schemeClr val="accent2"/>
            </a:solidFill>
            <a:ln>
              <a:noFill/>
            </a:ln>
            <a:effectLst/>
          </c:spPr>
          <c:invertIfNegative val="0"/>
          <c:cat>
            <c:strRef>
              <c:f>[0]!ChartWAFLabels</c:f>
              <c:strCache>
                <c:ptCount val="23"/>
                <c:pt idx="0">
                  <c:v>Azure AI Content Safety</c:v>
                </c:pt>
                <c:pt idx="1">
                  <c:v>Azure AI Foundry</c:v>
                </c:pt>
                <c:pt idx="2">
                  <c:v>Azure AI Search</c:v>
                </c:pt>
                <c:pt idx="3">
                  <c:v>Azure AI Services</c:v>
                </c:pt>
                <c:pt idx="4">
                  <c:v>Azure API Management</c:v>
                </c:pt>
                <c:pt idx="5">
                  <c:v>Azure Container Apps</c:v>
                </c:pt>
                <c:pt idx="6">
                  <c:v>Azure Cost Management</c:v>
                </c:pt>
                <c:pt idx="7">
                  <c:v>Azure DevOps</c:v>
                </c:pt>
                <c:pt idx="8">
                  <c:v>Azure Machine Learning</c:v>
                </c:pt>
                <c:pt idx="9">
                  <c:v>Azure Monitor</c:v>
                </c:pt>
                <c:pt idx="10">
                  <c:v>Azure Open AI</c:v>
                </c:pt>
                <c:pt idx="11">
                  <c:v>Azure OpenAI</c:v>
                </c:pt>
                <c:pt idx="12">
                  <c:v>Azure RBAC</c:v>
                </c:pt>
                <c:pt idx="13">
                  <c:v>Azure Resource Manager</c:v>
                </c:pt>
                <c:pt idx="14">
                  <c:v>Azure Service Health</c:v>
                </c:pt>
                <c:pt idx="15">
                  <c:v>Cognitive Search</c:v>
                </c:pt>
                <c:pt idx="16">
                  <c:v>Cognitive Services</c:v>
                </c:pt>
                <c:pt idx="17">
                  <c:v>Microsoft cloud security benchmark</c:v>
                </c:pt>
                <c:pt idx="18">
                  <c:v>Microsoft Defender for Cloud</c:v>
                </c:pt>
                <c:pt idx="19">
                  <c:v>Microsoft Entra</c:v>
                </c:pt>
                <c:pt idx="20">
                  <c:v>Microsoft Purview</c:v>
                </c:pt>
                <c:pt idx="21">
                  <c:v>Microsoft Threat Modeling Tool</c:v>
                </c:pt>
                <c:pt idx="22">
                  <c:v>NA</c:v>
                </c:pt>
              </c:strCache>
            </c:strRef>
          </c:cat>
          <c:val>
            <c:numRef>
              <c:f>[0]!ChartWAFSec</c:f>
              <c:numCache>
                <c:formatCode>General</c:formatCode>
                <c:ptCount val="23"/>
                <c:pt idx="0">
                  <c:v>3</c:v>
                </c:pt>
                <c:pt idx="1">
                  <c:v>4</c:v>
                </c:pt>
                <c:pt idx="2">
                  <c:v>0</c:v>
                </c:pt>
                <c:pt idx="3">
                  <c:v>5</c:v>
                </c:pt>
                <c:pt idx="4">
                  <c:v>3</c:v>
                </c:pt>
                <c:pt idx="5">
                  <c:v>1</c:v>
                </c:pt>
                <c:pt idx="6">
                  <c:v>0</c:v>
                </c:pt>
                <c:pt idx="7">
                  <c:v>0</c:v>
                </c:pt>
                <c:pt idx="8">
                  <c:v>3</c:v>
                </c:pt>
                <c:pt idx="9">
                  <c:v>0</c:v>
                </c:pt>
                <c:pt idx="10">
                  <c:v>1</c:v>
                </c:pt>
                <c:pt idx="11">
                  <c:v>34</c:v>
                </c:pt>
                <c:pt idx="12">
                  <c:v>1</c:v>
                </c:pt>
                <c:pt idx="13">
                  <c:v>0</c:v>
                </c:pt>
                <c:pt idx="14">
                  <c:v>0</c:v>
                </c:pt>
                <c:pt idx="15">
                  <c:v>0</c:v>
                </c:pt>
                <c:pt idx="16">
                  <c:v>0</c:v>
                </c:pt>
                <c:pt idx="17">
                  <c:v>0</c:v>
                </c:pt>
                <c:pt idx="18">
                  <c:v>3</c:v>
                </c:pt>
                <c:pt idx="19">
                  <c:v>4</c:v>
                </c:pt>
                <c:pt idx="20">
                  <c:v>3</c:v>
                </c:pt>
                <c:pt idx="21">
                  <c:v>1</c:v>
                </c:pt>
                <c:pt idx="22">
                  <c:v>11</c:v>
                </c:pt>
              </c:numCache>
            </c:numRef>
          </c:val>
          <c:extLst>
            <c:ext xmlns:c16="http://schemas.microsoft.com/office/drawing/2014/chart" uri="{C3380CC4-5D6E-409C-BE32-E72D297353CC}">
              <c16:uniqueId val="{00000001-6349-4F04-8A36-3F690DAED9C3}"/>
            </c:ext>
          </c:extLst>
        </c:ser>
        <c:ser>
          <c:idx val="2"/>
          <c:order val="2"/>
          <c:tx>
            <c:strRef>
              <c:f>Dashboard!$K$50</c:f>
              <c:strCache>
                <c:ptCount val="1"/>
                <c:pt idx="0">
                  <c:v>Cost</c:v>
                </c:pt>
              </c:strCache>
            </c:strRef>
          </c:tx>
          <c:spPr>
            <a:solidFill>
              <a:schemeClr val="accent3"/>
            </a:solidFill>
            <a:ln>
              <a:noFill/>
            </a:ln>
            <a:effectLst/>
          </c:spPr>
          <c:invertIfNegative val="0"/>
          <c:cat>
            <c:strRef>
              <c:f>[0]!ChartWAFLabels</c:f>
              <c:strCache>
                <c:ptCount val="23"/>
                <c:pt idx="0">
                  <c:v>Azure AI Content Safety</c:v>
                </c:pt>
                <c:pt idx="1">
                  <c:v>Azure AI Foundry</c:v>
                </c:pt>
                <c:pt idx="2">
                  <c:v>Azure AI Search</c:v>
                </c:pt>
                <c:pt idx="3">
                  <c:v>Azure AI Services</c:v>
                </c:pt>
                <c:pt idx="4">
                  <c:v>Azure API Management</c:v>
                </c:pt>
                <c:pt idx="5">
                  <c:v>Azure Container Apps</c:v>
                </c:pt>
                <c:pt idx="6">
                  <c:v>Azure Cost Management</c:v>
                </c:pt>
                <c:pt idx="7">
                  <c:v>Azure DevOps</c:v>
                </c:pt>
                <c:pt idx="8">
                  <c:v>Azure Machine Learning</c:v>
                </c:pt>
                <c:pt idx="9">
                  <c:v>Azure Monitor</c:v>
                </c:pt>
                <c:pt idx="10">
                  <c:v>Azure Open AI</c:v>
                </c:pt>
                <c:pt idx="11">
                  <c:v>Azure OpenAI</c:v>
                </c:pt>
                <c:pt idx="12">
                  <c:v>Azure RBAC</c:v>
                </c:pt>
                <c:pt idx="13">
                  <c:v>Azure Resource Manager</c:v>
                </c:pt>
                <c:pt idx="14">
                  <c:v>Azure Service Health</c:v>
                </c:pt>
                <c:pt idx="15">
                  <c:v>Cognitive Search</c:v>
                </c:pt>
                <c:pt idx="16">
                  <c:v>Cognitive Services</c:v>
                </c:pt>
                <c:pt idx="17">
                  <c:v>Microsoft cloud security benchmark</c:v>
                </c:pt>
                <c:pt idx="18">
                  <c:v>Microsoft Defender for Cloud</c:v>
                </c:pt>
                <c:pt idx="19">
                  <c:v>Microsoft Entra</c:v>
                </c:pt>
                <c:pt idx="20">
                  <c:v>Microsoft Purview</c:v>
                </c:pt>
                <c:pt idx="21">
                  <c:v>Microsoft Threat Modeling Tool</c:v>
                </c:pt>
                <c:pt idx="22">
                  <c:v>NA</c:v>
                </c:pt>
              </c:strCache>
            </c:strRef>
          </c:cat>
          <c:val>
            <c:numRef>
              <c:f>[0]!ChartWAFCost</c:f>
              <c:numCache>
                <c:formatCode>General</c:formatCode>
                <c:ptCount val="23"/>
                <c:pt idx="0">
                  <c:v>0</c:v>
                </c:pt>
                <c:pt idx="1">
                  <c:v>1</c:v>
                </c:pt>
                <c:pt idx="2">
                  <c:v>0</c:v>
                </c:pt>
                <c:pt idx="3">
                  <c:v>0</c:v>
                </c:pt>
                <c:pt idx="4">
                  <c:v>0</c:v>
                </c:pt>
                <c:pt idx="5">
                  <c:v>0</c:v>
                </c:pt>
                <c:pt idx="6">
                  <c:v>1</c:v>
                </c:pt>
                <c:pt idx="7">
                  <c:v>0</c:v>
                </c:pt>
                <c:pt idx="8">
                  <c:v>0</c:v>
                </c:pt>
                <c:pt idx="9">
                  <c:v>0</c:v>
                </c:pt>
                <c:pt idx="10">
                  <c:v>0</c:v>
                </c:pt>
                <c:pt idx="11">
                  <c:v>17</c:v>
                </c:pt>
                <c:pt idx="12">
                  <c:v>0</c:v>
                </c:pt>
                <c:pt idx="13">
                  <c:v>0</c:v>
                </c:pt>
                <c:pt idx="14">
                  <c:v>0</c:v>
                </c:pt>
                <c:pt idx="15">
                  <c:v>0</c:v>
                </c:pt>
                <c:pt idx="16">
                  <c:v>0</c:v>
                </c:pt>
                <c:pt idx="17">
                  <c:v>0</c:v>
                </c:pt>
                <c:pt idx="18">
                  <c:v>0</c:v>
                </c:pt>
                <c:pt idx="19">
                  <c:v>0</c:v>
                </c:pt>
                <c:pt idx="20">
                  <c:v>0</c:v>
                </c:pt>
                <c:pt idx="21">
                  <c:v>0</c:v>
                </c:pt>
                <c:pt idx="22">
                  <c:v>1</c:v>
                </c:pt>
              </c:numCache>
            </c:numRef>
          </c:val>
          <c:extLst>
            <c:ext xmlns:c16="http://schemas.microsoft.com/office/drawing/2014/chart" uri="{C3380CC4-5D6E-409C-BE32-E72D297353CC}">
              <c16:uniqueId val="{00000002-6349-4F04-8A36-3F690DAED9C3}"/>
            </c:ext>
          </c:extLst>
        </c:ser>
        <c:ser>
          <c:idx val="3"/>
          <c:order val="3"/>
          <c:tx>
            <c:strRef>
              <c:f>Dashboard!$L$50</c:f>
              <c:strCache>
                <c:ptCount val="1"/>
                <c:pt idx="0">
                  <c:v>Operations</c:v>
                </c:pt>
              </c:strCache>
            </c:strRef>
          </c:tx>
          <c:spPr>
            <a:solidFill>
              <a:schemeClr val="accent4"/>
            </a:solidFill>
            <a:ln>
              <a:noFill/>
            </a:ln>
            <a:effectLst/>
          </c:spPr>
          <c:invertIfNegative val="0"/>
          <c:cat>
            <c:strRef>
              <c:f>[0]!ChartWAFLabels</c:f>
              <c:strCache>
                <c:ptCount val="23"/>
                <c:pt idx="0">
                  <c:v>Azure AI Content Safety</c:v>
                </c:pt>
                <c:pt idx="1">
                  <c:v>Azure AI Foundry</c:v>
                </c:pt>
                <c:pt idx="2">
                  <c:v>Azure AI Search</c:v>
                </c:pt>
                <c:pt idx="3">
                  <c:v>Azure AI Services</c:v>
                </c:pt>
                <c:pt idx="4">
                  <c:v>Azure API Management</c:v>
                </c:pt>
                <c:pt idx="5">
                  <c:v>Azure Container Apps</c:v>
                </c:pt>
                <c:pt idx="6">
                  <c:v>Azure Cost Management</c:v>
                </c:pt>
                <c:pt idx="7">
                  <c:v>Azure DevOps</c:v>
                </c:pt>
                <c:pt idx="8">
                  <c:v>Azure Machine Learning</c:v>
                </c:pt>
                <c:pt idx="9">
                  <c:v>Azure Monitor</c:v>
                </c:pt>
                <c:pt idx="10">
                  <c:v>Azure Open AI</c:v>
                </c:pt>
                <c:pt idx="11">
                  <c:v>Azure OpenAI</c:v>
                </c:pt>
                <c:pt idx="12">
                  <c:v>Azure RBAC</c:v>
                </c:pt>
                <c:pt idx="13">
                  <c:v>Azure Resource Manager</c:v>
                </c:pt>
                <c:pt idx="14">
                  <c:v>Azure Service Health</c:v>
                </c:pt>
                <c:pt idx="15">
                  <c:v>Cognitive Search</c:v>
                </c:pt>
                <c:pt idx="16">
                  <c:v>Cognitive Services</c:v>
                </c:pt>
                <c:pt idx="17">
                  <c:v>Microsoft cloud security benchmark</c:v>
                </c:pt>
                <c:pt idx="18">
                  <c:v>Microsoft Defender for Cloud</c:v>
                </c:pt>
                <c:pt idx="19">
                  <c:v>Microsoft Entra</c:v>
                </c:pt>
                <c:pt idx="20">
                  <c:v>Microsoft Purview</c:v>
                </c:pt>
                <c:pt idx="21">
                  <c:v>Microsoft Threat Modeling Tool</c:v>
                </c:pt>
                <c:pt idx="22">
                  <c:v>NA</c:v>
                </c:pt>
              </c:strCache>
            </c:strRef>
          </c:cat>
          <c:val>
            <c:numRef>
              <c:f>[0]!ChartWAFOps</c:f>
              <c:numCache>
                <c:formatCode>General</c:formatCode>
                <c:ptCount val="23"/>
                <c:pt idx="0">
                  <c:v>0</c:v>
                </c:pt>
                <c:pt idx="1">
                  <c:v>4</c:v>
                </c:pt>
                <c:pt idx="2">
                  <c:v>2</c:v>
                </c:pt>
                <c:pt idx="3">
                  <c:v>1</c:v>
                </c:pt>
                <c:pt idx="4">
                  <c:v>0</c:v>
                </c:pt>
                <c:pt idx="5">
                  <c:v>0</c:v>
                </c:pt>
                <c:pt idx="6">
                  <c:v>0</c:v>
                </c:pt>
                <c:pt idx="7">
                  <c:v>2</c:v>
                </c:pt>
                <c:pt idx="8">
                  <c:v>1</c:v>
                </c:pt>
                <c:pt idx="9">
                  <c:v>1</c:v>
                </c:pt>
                <c:pt idx="10">
                  <c:v>0</c:v>
                </c:pt>
                <c:pt idx="11">
                  <c:v>27</c:v>
                </c:pt>
                <c:pt idx="12">
                  <c:v>0</c:v>
                </c:pt>
                <c:pt idx="13">
                  <c:v>1</c:v>
                </c:pt>
                <c:pt idx="14">
                  <c:v>1</c:v>
                </c:pt>
                <c:pt idx="15">
                  <c:v>0</c:v>
                </c:pt>
                <c:pt idx="16">
                  <c:v>0</c:v>
                </c:pt>
                <c:pt idx="17">
                  <c:v>1</c:v>
                </c:pt>
                <c:pt idx="18">
                  <c:v>0</c:v>
                </c:pt>
                <c:pt idx="19">
                  <c:v>0</c:v>
                </c:pt>
                <c:pt idx="20">
                  <c:v>0</c:v>
                </c:pt>
                <c:pt idx="21">
                  <c:v>0</c:v>
                </c:pt>
                <c:pt idx="22">
                  <c:v>2</c:v>
                </c:pt>
              </c:numCache>
            </c:numRef>
          </c:val>
          <c:extLst>
            <c:ext xmlns:c16="http://schemas.microsoft.com/office/drawing/2014/chart" uri="{C3380CC4-5D6E-409C-BE32-E72D297353CC}">
              <c16:uniqueId val="{00000003-6349-4F04-8A36-3F690DAED9C3}"/>
            </c:ext>
          </c:extLst>
        </c:ser>
        <c:ser>
          <c:idx val="4"/>
          <c:order val="4"/>
          <c:tx>
            <c:strRef>
              <c:f>Dashboard!$M$50</c:f>
              <c:strCache>
                <c:ptCount val="1"/>
                <c:pt idx="0">
                  <c:v>Performance</c:v>
                </c:pt>
              </c:strCache>
            </c:strRef>
          </c:tx>
          <c:spPr>
            <a:solidFill>
              <a:schemeClr val="accent5"/>
            </a:solidFill>
            <a:ln>
              <a:noFill/>
            </a:ln>
            <a:effectLst/>
          </c:spPr>
          <c:invertIfNegative val="0"/>
          <c:cat>
            <c:strRef>
              <c:f>[0]!ChartWAFLabels</c:f>
              <c:strCache>
                <c:ptCount val="23"/>
                <c:pt idx="0">
                  <c:v>Azure AI Content Safety</c:v>
                </c:pt>
                <c:pt idx="1">
                  <c:v>Azure AI Foundry</c:v>
                </c:pt>
                <c:pt idx="2">
                  <c:v>Azure AI Search</c:v>
                </c:pt>
                <c:pt idx="3">
                  <c:v>Azure AI Services</c:v>
                </c:pt>
                <c:pt idx="4">
                  <c:v>Azure API Management</c:v>
                </c:pt>
                <c:pt idx="5">
                  <c:v>Azure Container Apps</c:v>
                </c:pt>
                <c:pt idx="6">
                  <c:v>Azure Cost Management</c:v>
                </c:pt>
                <c:pt idx="7">
                  <c:v>Azure DevOps</c:v>
                </c:pt>
                <c:pt idx="8">
                  <c:v>Azure Machine Learning</c:v>
                </c:pt>
                <c:pt idx="9">
                  <c:v>Azure Monitor</c:v>
                </c:pt>
                <c:pt idx="10">
                  <c:v>Azure Open AI</c:v>
                </c:pt>
                <c:pt idx="11">
                  <c:v>Azure OpenAI</c:v>
                </c:pt>
                <c:pt idx="12">
                  <c:v>Azure RBAC</c:v>
                </c:pt>
                <c:pt idx="13">
                  <c:v>Azure Resource Manager</c:v>
                </c:pt>
                <c:pt idx="14">
                  <c:v>Azure Service Health</c:v>
                </c:pt>
                <c:pt idx="15">
                  <c:v>Cognitive Search</c:v>
                </c:pt>
                <c:pt idx="16">
                  <c:v>Cognitive Services</c:v>
                </c:pt>
                <c:pt idx="17">
                  <c:v>Microsoft cloud security benchmark</c:v>
                </c:pt>
                <c:pt idx="18">
                  <c:v>Microsoft Defender for Cloud</c:v>
                </c:pt>
                <c:pt idx="19">
                  <c:v>Microsoft Entra</c:v>
                </c:pt>
                <c:pt idx="20">
                  <c:v>Microsoft Purview</c:v>
                </c:pt>
                <c:pt idx="21">
                  <c:v>Microsoft Threat Modeling Tool</c:v>
                </c:pt>
                <c:pt idx="22">
                  <c:v>NA</c:v>
                </c:pt>
              </c:strCache>
            </c:strRef>
          </c:cat>
          <c:val>
            <c:numRef>
              <c:f>[0]!ChartWAFPerf</c:f>
              <c:numCache>
                <c:formatCode>General</c:formatCode>
                <c:ptCount val="23"/>
                <c:pt idx="0">
                  <c:v>0</c:v>
                </c:pt>
                <c:pt idx="1">
                  <c:v>3</c:v>
                </c:pt>
                <c:pt idx="2">
                  <c:v>0</c:v>
                </c:pt>
                <c:pt idx="3">
                  <c:v>0</c:v>
                </c:pt>
                <c:pt idx="4">
                  <c:v>0</c:v>
                </c:pt>
                <c:pt idx="5">
                  <c:v>0</c:v>
                </c:pt>
                <c:pt idx="6">
                  <c:v>0</c:v>
                </c:pt>
                <c:pt idx="7">
                  <c:v>0</c:v>
                </c:pt>
                <c:pt idx="8">
                  <c:v>0</c:v>
                </c:pt>
                <c:pt idx="9">
                  <c:v>0</c:v>
                </c:pt>
                <c:pt idx="10">
                  <c:v>0</c:v>
                </c:pt>
                <c:pt idx="11">
                  <c:v>8</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4-6349-4F04-8A36-3F690DAED9C3}"/>
            </c:ext>
          </c:extLst>
        </c:ser>
        <c:dLbls>
          <c:showLegendKey val="0"/>
          <c:showVal val="0"/>
          <c:showCatName val="0"/>
          <c:showSerName val="0"/>
          <c:showPercent val="0"/>
          <c:showBubbleSize val="0"/>
        </c:dLbls>
        <c:gapWidth val="150"/>
        <c:overlap val="100"/>
        <c:axId val="1159272816"/>
        <c:axId val="1890678880"/>
      </c:barChart>
      <c:catAx>
        <c:axId val="115927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90678880"/>
        <c:crosses val="autoZero"/>
        <c:auto val="1"/>
        <c:lblAlgn val="ctr"/>
        <c:lblOffset val="100"/>
        <c:noMultiLvlLbl val="0"/>
      </c:catAx>
      <c:valAx>
        <c:axId val="189067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5927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WAF recommendations</a:t>
            </a:r>
            <a:r>
              <a:rPr lang="en-US" baseline="0"/>
              <a:t> per pillar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0E3-4359-AFDE-2236A26F04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0E3-4359-AFDE-2236A26F04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3D-4159-A36B-7DE5099E94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0E3-4359-AFDE-2236A26F04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0E3-4359-AFDE-2236A26F0471}"/>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E3-4359-AFDE-2236A26F0471}"/>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E3-4359-AFDE-2236A26F0471}"/>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E3-4359-AFDE-2236A26F0471}"/>
                </c:ext>
              </c:extLst>
            </c:dLbl>
            <c:dLbl>
              <c:idx val="4"/>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E3-4359-AFDE-2236A26F04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s>
          <c:cat>
            <c:strRef>
              <c:f>Dashboard!$I$50:$M$50</c:f>
              <c:strCache>
                <c:ptCount val="5"/>
                <c:pt idx="0">
                  <c:v>Reliability</c:v>
                </c:pt>
                <c:pt idx="1">
                  <c:v>Security</c:v>
                </c:pt>
                <c:pt idx="2">
                  <c:v>Cost</c:v>
                </c:pt>
                <c:pt idx="3">
                  <c:v>Operations</c:v>
                </c:pt>
                <c:pt idx="4">
                  <c:v>Performance</c:v>
                </c:pt>
              </c:strCache>
            </c:strRef>
          </c:cat>
          <c:val>
            <c:numRef>
              <c:f>Dashboard!$I$106:$M$106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60E3-4359-AFDE-2236A26F047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1</xdr:row>
      <xdr:rowOff>305488</xdr:rowOff>
    </xdr:to>
    <xdr:sp macro="" textlink="">
      <xdr:nvSpPr>
        <xdr:cNvPr id="3077" name="AutoShape 5" descr="Full-color reverse Microsoft logo">
          <a:extLst>
            <a:ext uri="{FF2B5EF4-FFF2-40B4-BE49-F238E27FC236}">
              <a16:creationId xmlns:a16="http://schemas.microsoft.com/office/drawing/2014/main" id="{00000000-0008-0000-0100-0000050C0000}"/>
            </a:ext>
          </a:extLst>
        </xdr:cNvPr>
        <xdr:cNvSpPr>
          <a:spLocks noChangeAspect="1" noChangeArrowheads="1"/>
        </xdr:cNvSpPr>
      </xdr:nvSpPr>
      <xdr:spPr bwMode="auto">
        <a:xfrm>
          <a:off x="0" y="214313"/>
          <a:ext cx="304800" cy="3054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1</xdr:col>
      <xdr:colOff>0</xdr:colOff>
      <xdr:row>1</xdr:row>
      <xdr:rowOff>0</xdr:rowOff>
    </xdr:from>
    <xdr:to>
      <xdr:col>1</xdr:col>
      <xdr:colOff>304800</xdr:colOff>
      <xdr:row>1</xdr:row>
      <xdr:rowOff>305488</xdr:rowOff>
    </xdr:to>
    <xdr:sp macro="" textlink="">
      <xdr:nvSpPr>
        <xdr:cNvPr id="3080" name="AutoShape 8" descr="Full-color reverse Microsoft logo">
          <a:extLst>
            <a:ext uri="{FF2B5EF4-FFF2-40B4-BE49-F238E27FC236}">
              <a16:creationId xmlns:a16="http://schemas.microsoft.com/office/drawing/2014/main" id="{00000000-0008-0000-0100-0000080C0000}"/>
            </a:ext>
          </a:extLst>
        </xdr:cNvPr>
        <xdr:cNvSpPr>
          <a:spLocks noChangeAspect="1" noChangeArrowheads="1"/>
        </xdr:cNvSpPr>
      </xdr:nvSpPr>
      <xdr:spPr bwMode="auto">
        <a:xfrm>
          <a:off x="0" y="214313"/>
          <a:ext cx="304800" cy="3054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0</xdr:col>
      <xdr:colOff>0</xdr:colOff>
      <xdr:row>0</xdr:row>
      <xdr:rowOff>0</xdr:rowOff>
    </xdr:from>
    <xdr:to>
      <xdr:col>2</xdr:col>
      <xdr:colOff>1124901</xdr:colOff>
      <xdr:row>2</xdr:row>
      <xdr:rowOff>91603</xdr:rowOff>
    </xdr:to>
    <xdr:pic>
      <xdr:nvPicPr>
        <xdr:cNvPr id="7" name="Picture 6" descr="Azure logo stacked">
          <a:extLst>
            <a:ext uri="{FF2B5EF4-FFF2-40B4-BE49-F238E27FC236}">
              <a16:creationId xmlns:a16="http://schemas.microsoft.com/office/drawing/2014/main" id="{00000000-0008-0000-0100-000007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5928" r="6486" b="20739"/>
        <a:stretch/>
      </xdr:blipFill>
      <xdr:spPr bwMode="auto">
        <a:xfrm>
          <a:off x="0" y="0"/>
          <a:ext cx="3088480" cy="1015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11</xdr:col>
          <xdr:colOff>609600</xdr:colOff>
          <xdr:row>1</xdr:row>
          <xdr:rowOff>622300</xdr:rowOff>
        </xdr:from>
        <xdr:to>
          <xdr:col>13</xdr:col>
          <xdr:colOff>520700</xdr:colOff>
          <xdr:row>2</xdr:row>
          <xdr:rowOff>190500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Export checklist to JSON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11</xdr:col>
          <xdr:colOff>609600</xdr:colOff>
          <xdr:row>1</xdr:row>
          <xdr:rowOff>317500</xdr:rowOff>
        </xdr:from>
        <xdr:to>
          <xdr:col>13</xdr:col>
          <xdr:colOff>520700</xdr:colOff>
          <xdr:row>1</xdr:row>
          <xdr:rowOff>590550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Import checklist from JSON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76200</xdr:colOff>
          <xdr:row>1</xdr:row>
          <xdr:rowOff>165100</xdr:rowOff>
        </xdr:from>
        <xdr:to>
          <xdr:col>6</xdr:col>
          <xdr:colOff>2019300</xdr:colOff>
          <xdr:row>1</xdr:row>
          <xdr:rowOff>476250</xdr:rowOff>
        </xdr:to>
        <xdr:sp macro="" textlink="">
          <xdr:nvSpPr>
            <xdr:cNvPr id="1028" name="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Import latest checklist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11</xdr:col>
          <xdr:colOff>419100</xdr:colOff>
          <xdr:row>1</xdr:row>
          <xdr:rowOff>127000</xdr:rowOff>
        </xdr:from>
        <xdr:to>
          <xdr:col>14</xdr:col>
          <xdr:colOff>2247900</xdr:colOff>
          <xdr:row>6</xdr:row>
          <xdr:rowOff>88900</xdr:rowOff>
        </xdr:to>
        <xdr:sp macro="" textlink="">
          <xdr:nvSpPr>
            <xdr:cNvPr id="1029" name="Group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Advanced</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11</xdr:col>
          <xdr:colOff>609600</xdr:colOff>
          <xdr:row>3</xdr:row>
          <xdr:rowOff>0</xdr:rowOff>
        </xdr:from>
        <xdr:to>
          <xdr:col>13</xdr:col>
          <xdr:colOff>520700</xdr:colOff>
          <xdr:row>4</xdr:row>
          <xdr:rowOff>38100</xdr:rowOff>
        </xdr:to>
        <xdr:sp macro="" textlink="">
          <xdr:nvSpPr>
            <xdr:cNvPr id="1043" name="Button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Import Graph results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13</xdr:col>
          <xdr:colOff>577850</xdr:colOff>
          <xdr:row>1</xdr:row>
          <xdr:rowOff>323850</xdr:rowOff>
        </xdr:from>
        <xdr:to>
          <xdr:col>14</xdr:col>
          <xdr:colOff>2032000</xdr:colOff>
          <xdr:row>1</xdr:row>
          <xdr:rowOff>590550</xdr:rowOff>
        </xdr:to>
        <xdr:sp macro="" textlink="">
          <xdr:nvSpPr>
            <xdr:cNvPr id="1055" name="Button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Run Resource Graph queries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13</xdr:col>
          <xdr:colOff>577850</xdr:colOff>
          <xdr:row>1</xdr:row>
          <xdr:rowOff>609600</xdr:rowOff>
        </xdr:from>
        <xdr:to>
          <xdr:col>14</xdr:col>
          <xdr:colOff>2032000</xdr:colOff>
          <xdr:row>2</xdr:row>
          <xdr:rowOff>171450</xdr:rowOff>
        </xdr:to>
        <xdr:sp macro="" textlink="">
          <xdr:nvSpPr>
            <xdr:cNvPr id="1056" name="Button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Show all columns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7</xdr:col>
      <xdr:colOff>419100</xdr:colOff>
      <xdr:row>31</xdr:row>
      <xdr:rowOff>180974</xdr:rowOff>
    </xdr:from>
    <xdr:to>
      <xdr:col>12</xdr:col>
      <xdr:colOff>457199</xdr:colOff>
      <xdr:row>45</xdr:row>
      <xdr:rowOff>76199</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238125</xdr:colOff>
      <xdr:row>0</xdr:row>
      <xdr:rowOff>114300</xdr:rowOff>
    </xdr:from>
    <xdr:to>
      <xdr:col>23</xdr:col>
      <xdr:colOff>66675</xdr:colOff>
      <xdr:row>15</xdr:row>
      <xdr:rowOff>142875</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171450</xdr:colOff>
      <xdr:row>8</xdr:row>
      <xdr:rowOff>19050</xdr:rowOff>
    </xdr:from>
    <xdr:to>
      <xdr:col>28</xdr:col>
      <xdr:colOff>576263</xdr:colOff>
      <xdr:row>17</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166686</xdr:colOff>
      <xdr:row>17</xdr:row>
      <xdr:rowOff>57150</xdr:rowOff>
    </xdr:from>
    <xdr:to>
      <xdr:col>28</xdr:col>
      <xdr:colOff>542925</xdr:colOff>
      <xdr:row>26</xdr:row>
      <xdr:rowOff>100013</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200024</xdr:colOff>
      <xdr:row>31</xdr:row>
      <xdr:rowOff>180975</xdr:rowOff>
    </xdr:from>
    <xdr:to>
      <xdr:col>7</xdr:col>
      <xdr:colOff>285749</xdr:colOff>
      <xdr:row>45</xdr:row>
      <xdr:rowOff>95250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238123</xdr:colOff>
      <xdr:row>15</xdr:row>
      <xdr:rowOff>28574</xdr:rowOff>
    </xdr:from>
    <xdr:to>
      <xdr:col>12</xdr:col>
      <xdr:colOff>466724</xdr:colOff>
      <xdr:row>31</xdr:row>
      <xdr:rowOff>47625</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576263</xdr:colOff>
      <xdr:row>29</xdr:row>
      <xdr:rowOff>150019</xdr:rowOff>
    </xdr:from>
    <xdr:to>
      <xdr:col>22</xdr:col>
      <xdr:colOff>42863</xdr:colOff>
      <xdr:row>44</xdr:row>
      <xdr:rowOff>178594</xdr:rowOff>
    </xdr:to>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166688</xdr:colOff>
      <xdr:row>0</xdr:row>
      <xdr:rowOff>247650</xdr:rowOff>
    </xdr:from>
    <xdr:to>
      <xdr:col>28</xdr:col>
      <xdr:colOff>571501</xdr:colOff>
      <xdr:row>7</xdr:row>
      <xdr:rowOff>95250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591263</xdr:colOff>
      <xdr:row>49</xdr:row>
      <xdr:rowOff>63341</xdr:rowOff>
    </xdr:from>
    <xdr:to>
      <xdr:col>29</xdr:col>
      <xdr:colOff>591026</xdr:colOff>
      <xdr:row>69</xdr:row>
      <xdr:rowOff>166688</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17859</xdr:colOff>
      <xdr:row>71</xdr:row>
      <xdr:rowOff>9524</xdr:rowOff>
    </xdr:from>
    <xdr:to>
      <xdr:col>22</xdr:col>
      <xdr:colOff>339328</xdr:colOff>
      <xdr:row>85</xdr:row>
      <xdr:rowOff>85724</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learn.microsoft.com/azure/cloud-adoption-framework/ready/landing-zone/design-area/multi-tenant/considerations-recommendations" TargetMode="External"/><Relationship Id="rId170" Type="http://schemas.openxmlformats.org/officeDocument/2006/relationships/hyperlink" Target="https://learn.microsoft.com/azure/cloud-adoption-framework/ready/landing-zone/design-area/multi-tenant/considerations-recommendations" TargetMode="External"/><Relationship Id="rId987" Type="http://schemas.openxmlformats.org/officeDocument/2006/relationships/hyperlink" Target="https://learn.microsoft.com/azure/cloud-adoption-framework/ready/landing-zone/design-area/multi-tenant/considerations-recommendations" TargetMode="External"/><Relationship Id="rId2668" Type="http://schemas.openxmlformats.org/officeDocument/2006/relationships/hyperlink" Target="https://learn.microsoft.com/azure/ai-services/openai/how-to/quota?tabs=rest" TargetMode="External"/><Relationship Id="rId847" Type="http://schemas.openxmlformats.org/officeDocument/2006/relationships/hyperlink" Target="https://learn.microsoft.com/azure/cloud-adoption-framework/ready/landing-zone/design-area/multi-tenant/considerations-recommendations" TargetMode="External"/><Relationship Id="rId1477" Type="http://schemas.openxmlformats.org/officeDocument/2006/relationships/hyperlink" Target="https://learn.microsoft.com/azure/cloud-adoption-framework/ready/landing-zone/design-area/multi-tenant/considerations-recommendations" TargetMode="External"/><Relationship Id="rId1684" Type="http://schemas.openxmlformats.org/officeDocument/2006/relationships/hyperlink" Target="https://learn.microsoft.com/azure/cloud-adoption-framework/ready/landing-zone/design-area/multi-tenant/considerations-recommendations" TargetMode="External"/><Relationship Id="rId1891" Type="http://schemas.openxmlformats.org/officeDocument/2006/relationships/hyperlink" Target="https://learn.microsoft.com/azure/cloud-adoption-framework/ready/landing-zone/design-area/multi-tenant/considerations-recommendations" TargetMode="External"/><Relationship Id="rId2528" Type="http://schemas.openxmlformats.org/officeDocument/2006/relationships/hyperlink" Target="https://learn.microsoft.com/azure/event-hubs/authenticate-managed-identity?tabs=latest" TargetMode="External"/><Relationship Id="rId2735" Type="http://schemas.openxmlformats.org/officeDocument/2006/relationships/hyperlink" Target="https://learn.microsoft.com/azure/ai-services/openai/how-to/use-your-data-securely" TargetMode="External"/><Relationship Id="rId707" Type="http://schemas.openxmlformats.org/officeDocument/2006/relationships/hyperlink" Target="https://learn.microsoft.com/azure/cloud-adoption-framework/ready/landing-zone/design-area/multi-tenant/considerations-recommendations" TargetMode="External"/><Relationship Id="rId914" Type="http://schemas.openxmlformats.org/officeDocument/2006/relationships/hyperlink" Target="https://learn.microsoft.com/azure/cloud-adoption-framework/ready/landing-zone/design-area/multi-tenant/considerations-recommendations" TargetMode="External"/><Relationship Id="rId1337" Type="http://schemas.openxmlformats.org/officeDocument/2006/relationships/hyperlink" Target="https://learn.microsoft.com/azure/cloud-adoption-framework/ready/landing-zone/design-area/multi-tenant/considerations-recommendations" TargetMode="External"/><Relationship Id="rId1544" Type="http://schemas.openxmlformats.org/officeDocument/2006/relationships/hyperlink" Target="https://learn.microsoft.com/azure/cloud-adoption-framework/ready/landing-zone/design-area/multi-tenant/considerations-recommendations" TargetMode="External"/><Relationship Id="rId1751" Type="http://schemas.openxmlformats.org/officeDocument/2006/relationships/hyperlink" Target="https://learn.microsoft.com/azure/cloud-adoption-framework/ready/landing-zone/design-area/multi-tenant/considerations-recommendations" TargetMode="External"/><Relationship Id="rId43" Type="http://schemas.openxmlformats.org/officeDocument/2006/relationships/hyperlink" Target="https://learn.microsoft.com/azure/cloud-adoption-framework/ready/landing-zone/design-area/multi-tenant/considerations-recommendations" TargetMode="External"/><Relationship Id="rId1404" Type="http://schemas.openxmlformats.org/officeDocument/2006/relationships/hyperlink" Target="https://learn.microsoft.com/azure/cloud-adoption-framework/ready/landing-zone/design-area/multi-tenant/considerations-recommendations" TargetMode="External"/><Relationship Id="rId1611" Type="http://schemas.openxmlformats.org/officeDocument/2006/relationships/hyperlink" Target="https://learn.microsoft.com/azure/cloud-adoption-framework/ready/landing-zone/design-area/multi-tenant/considerations-recommendations" TargetMode="External"/><Relationship Id="rId497" Type="http://schemas.openxmlformats.org/officeDocument/2006/relationships/hyperlink" Target="https://learn.microsoft.com/azure/cloud-adoption-framework/ready/landing-zone/design-area/multi-tenant/considerations-recommendations" TargetMode="External"/><Relationship Id="rId2178" Type="http://schemas.openxmlformats.org/officeDocument/2006/relationships/hyperlink" Target="https://learn.microsoft.com/azure/cloud-adoption-framework/ready/landing-zone/design-area/multi-tenant/considerations-recommendations" TargetMode="External"/><Relationship Id="rId2385" Type="http://schemas.openxmlformats.org/officeDocument/2006/relationships/hyperlink" Target="https://learn.microsoft.com/azure/api-management/policy-fragments" TargetMode="External"/><Relationship Id="rId357" Type="http://schemas.openxmlformats.org/officeDocument/2006/relationships/hyperlink" Target="https://learn.microsoft.com/azure/cloud-adoption-framework/ready/landing-zone/design-area/multi-tenant/considerations-recommendations" TargetMode="External"/><Relationship Id="rId1194" Type="http://schemas.openxmlformats.org/officeDocument/2006/relationships/hyperlink" Target="https://learn.microsoft.com/azure/cloud-adoption-framework/ready/landing-zone/design-area/multi-tenant/considerations-recommendations" TargetMode="External"/><Relationship Id="rId2038" Type="http://schemas.openxmlformats.org/officeDocument/2006/relationships/hyperlink" Target="https://learn.microsoft.com/azure/cloud-adoption-framework/ready/landing-zone/design-area/multi-tenant/considerations-recommendations" TargetMode="External"/><Relationship Id="rId2592" Type="http://schemas.openxmlformats.org/officeDocument/2006/relationships/hyperlink" Target="https://learn.microsoft.com/azure/virtual-machines/managed-disks-overview" TargetMode="External"/><Relationship Id="rId217" Type="http://schemas.openxmlformats.org/officeDocument/2006/relationships/hyperlink" Target="https://learn.microsoft.com/azure/cloud-adoption-framework/ready/landing-zone/design-area/multi-tenant/considerations-recommendations" TargetMode="External"/><Relationship Id="rId564" Type="http://schemas.openxmlformats.org/officeDocument/2006/relationships/hyperlink" Target="https://learn.microsoft.com/azure/cloud-adoption-framework/ready/landing-zone/design-area/multi-tenant/considerations-recommendations" TargetMode="External"/><Relationship Id="rId771" Type="http://schemas.openxmlformats.org/officeDocument/2006/relationships/hyperlink" Target="https://learn.microsoft.com/azure/cloud-adoption-framework/ready/landing-zone/design-area/multi-tenant/considerations-recommendations" TargetMode="External"/><Relationship Id="rId2245" Type="http://schemas.openxmlformats.org/officeDocument/2006/relationships/hyperlink" Target="https://learn.microsoft.com/azure/cloud-adoption-framework/ready/landing-zone/design-area/multi-tenant/considerations-recommendations" TargetMode="External"/><Relationship Id="rId2452" Type="http://schemas.openxmlformats.org/officeDocument/2006/relationships/hyperlink" Target="https://learn.microsoft.com/azure/app-service/overview-patch-os-runtime" TargetMode="External"/><Relationship Id="rId424" Type="http://schemas.openxmlformats.org/officeDocument/2006/relationships/hyperlink" Target="https://learn.microsoft.com/azure/cloud-adoption-framework/ready/landing-zone/design-area/multi-tenant/considerations-recommendations" TargetMode="External"/><Relationship Id="rId631" Type="http://schemas.openxmlformats.org/officeDocument/2006/relationships/hyperlink" Target="https://learn.microsoft.com/azure/cloud-adoption-framework/ready/landing-zone/design-area/multi-tenant/considerations-recommendations" TargetMode="External"/><Relationship Id="rId1054" Type="http://schemas.openxmlformats.org/officeDocument/2006/relationships/hyperlink" Target="https://learn.microsoft.com/azure/cloud-adoption-framework/ready/landing-zone/design-area/multi-tenant/considerations-recommendations" TargetMode="External"/><Relationship Id="rId1261" Type="http://schemas.openxmlformats.org/officeDocument/2006/relationships/hyperlink" Target="https://learn.microsoft.com/azure/cloud-adoption-framework/ready/landing-zone/design-area/multi-tenant/considerations-recommendations" TargetMode="External"/><Relationship Id="rId2105" Type="http://schemas.openxmlformats.org/officeDocument/2006/relationships/hyperlink" Target="https://learn.microsoft.com/azure/cloud-adoption-framework/ready/landing-zone/design-area/multi-tenant/considerations-recommendations" TargetMode="External"/><Relationship Id="rId2312" Type="http://schemas.openxmlformats.org/officeDocument/2006/relationships/hyperlink" Target="https://learn.microsoft.com/azure/cloud-adoption-framework/ready/landing-zone/design-area/multi-tenant/considerations-recommendations" TargetMode="External"/><Relationship Id="rId1121" Type="http://schemas.openxmlformats.org/officeDocument/2006/relationships/hyperlink" Target="https://learn.microsoft.com/azure/cloud-adoption-framework/ready/landing-zone/design-area/multi-tenant/considerations-recommendations" TargetMode="External"/><Relationship Id="rId1938" Type="http://schemas.openxmlformats.org/officeDocument/2006/relationships/hyperlink" Target="https://learn.microsoft.com/azure/cloud-adoption-framework/ready/landing-zone/design-area/multi-tenant/considerations-recommendations" TargetMode="External"/><Relationship Id="rId281" Type="http://schemas.openxmlformats.org/officeDocument/2006/relationships/hyperlink" Target="https://learn.microsoft.com/azure/cloud-adoption-framework/ready/landing-zone/design-area/multi-tenant/considerations-recommendations" TargetMode="External"/><Relationship Id="rId141" Type="http://schemas.openxmlformats.org/officeDocument/2006/relationships/hyperlink" Target="https://learn.microsoft.com/azure/cloud-adoption-framework/ready/landing-zone/design-area/multi-tenant/considerations-recommendations" TargetMode="External"/><Relationship Id="rId7" Type="http://schemas.openxmlformats.org/officeDocument/2006/relationships/hyperlink" Target="https://learn.microsoft.com/azure/cloud-adoption-framework/ready/landing-zone/design-area/multi-tenant/considerations-recommendations" TargetMode="External"/><Relationship Id="rId958" Type="http://schemas.openxmlformats.org/officeDocument/2006/relationships/hyperlink" Target="https://learn.microsoft.com/azure/cloud-adoption-framework/ready/landing-zone/design-area/multi-tenant/considerations-recommendations" TargetMode="External"/><Relationship Id="rId1588" Type="http://schemas.openxmlformats.org/officeDocument/2006/relationships/hyperlink" Target="https://learn.microsoft.com/azure/cloud-adoption-framework/ready/landing-zone/design-area/multi-tenant/considerations-recommendations" TargetMode="External"/><Relationship Id="rId1795" Type="http://schemas.openxmlformats.org/officeDocument/2006/relationships/hyperlink" Target="https://learn.microsoft.com/azure/cloud-adoption-framework/ready/landing-zone/design-area/multi-tenant/considerations-recommendations" TargetMode="External"/><Relationship Id="rId2639" Type="http://schemas.openxmlformats.org/officeDocument/2006/relationships/hyperlink" Target="https://learn.microsoft.com/azure/architecture/ai-ml/guide/rag/rag-solution-design-and-evaluation-guide" TargetMode="External"/><Relationship Id="rId87" Type="http://schemas.openxmlformats.org/officeDocument/2006/relationships/hyperlink" Target="https://learn.microsoft.com/azure/cloud-adoption-framework/ready/landing-zone/design-area/multi-tenant/considerations-recommendations" TargetMode="External"/><Relationship Id="rId818" Type="http://schemas.openxmlformats.org/officeDocument/2006/relationships/hyperlink" Target="https://learn.microsoft.com/azure/cloud-adoption-framework/ready/landing-zone/design-area/multi-tenant/considerations-recommendations" TargetMode="External"/><Relationship Id="rId1448" Type="http://schemas.openxmlformats.org/officeDocument/2006/relationships/hyperlink" Target="https://learn.microsoft.com/azure/cloud-adoption-framework/ready/landing-zone/design-area/multi-tenant/considerations-recommendations" TargetMode="External"/><Relationship Id="rId1655" Type="http://schemas.openxmlformats.org/officeDocument/2006/relationships/hyperlink" Target="https://learn.microsoft.com/azure/cloud-adoption-framework/ready/landing-zone/design-area/multi-tenant/considerations-recommendations" TargetMode="External"/><Relationship Id="rId2706" Type="http://schemas.openxmlformats.org/officeDocument/2006/relationships/hyperlink" Target="https://learn.microsoft.com/azure/cloud-adoption-framework/ready/considerations/development-strategy-development-lifecycle" TargetMode="External"/><Relationship Id="rId1308" Type="http://schemas.openxmlformats.org/officeDocument/2006/relationships/hyperlink" Target="https://learn.microsoft.com/azure/cloud-adoption-framework/ready/landing-zone/design-area/multi-tenant/considerations-recommendations" TargetMode="External"/><Relationship Id="rId1862" Type="http://schemas.openxmlformats.org/officeDocument/2006/relationships/hyperlink" Target="https://learn.microsoft.com/azure/cloud-adoption-framework/ready/landing-zone/design-area/multi-tenant/considerations-recommendations" TargetMode="External"/><Relationship Id="rId1515" Type="http://schemas.openxmlformats.org/officeDocument/2006/relationships/hyperlink" Target="https://learn.microsoft.com/azure/cloud-adoption-framework/ready/landing-zone/design-area/multi-tenant/considerations-recommendations" TargetMode="External"/><Relationship Id="rId1722" Type="http://schemas.openxmlformats.org/officeDocument/2006/relationships/hyperlink" Target="https://learn.microsoft.com/azure/cloud-adoption-framework/ready/landing-zone/design-area/multi-tenant/considerations-recommendations" TargetMode="External"/><Relationship Id="rId14" Type="http://schemas.openxmlformats.org/officeDocument/2006/relationships/hyperlink" Target="https://learn.microsoft.com/azure/cloud-adoption-framework/ready/landing-zone/design-area/multi-tenant/considerations-recommendations" TargetMode="External"/><Relationship Id="rId2289" Type="http://schemas.openxmlformats.org/officeDocument/2006/relationships/hyperlink" Target="https://learn.microsoft.com/azure/cloud-adoption-framework/ready/landing-zone/design-area/multi-tenant/considerations-recommendations" TargetMode="External"/><Relationship Id="rId2496" Type="http://schemas.openxmlformats.org/officeDocument/2006/relationships/hyperlink" Target="https://learn.microsoft.com/azure/storage/blobs/soft-delete-container-overview" TargetMode="External"/><Relationship Id="rId468" Type="http://schemas.openxmlformats.org/officeDocument/2006/relationships/hyperlink" Target="https://learn.microsoft.com/azure/cloud-adoption-framework/ready/landing-zone/design-area/multi-tenant/considerations-recommendations" TargetMode="External"/><Relationship Id="rId675" Type="http://schemas.openxmlformats.org/officeDocument/2006/relationships/hyperlink" Target="https://learn.microsoft.com/azure/cloud-adoption-framework/ready/landing-zone/design-area/multi-tenant/considerations-recommendations" TargetMode="External"/><Relationship Id="rId882" Type="http://schemas.openxmlformats.org/officeDocument/2006/relationships/hyperlink" Target="https://learn.microsoft.com/azure/cloud-adoption-framework/ready/landing-zone/design-area/multi-tenant/considerations-recommendations" TargetMode="External"/><Relationship Id="rId1098" Type="http://schemas.openxmlformats.org/officeDocument/2006/relationships/hyperlink" Target="https://learn.microsoft.com/azure/cloud-adoption-framework/ready/landing-zone/design-area/multi-tenant/considerations-recommendations" TargetMode="External"/><Relationship Id="rId2149" Type="http://schemas.openxmlformats.org/officeDocument/2006/relationships/hyperlink" Target="https://learn.microsoft.com/azure/cloud-adoption-framework/ready/landing-zone/design-area/multi-tenant/considerations-recommendations" TargetMode="External"/><Relationship Id="rId2356" Type="http://schemas.openxmlformats.org/officeDocument/2006/relationships/hyperlink" Target="https://github.com/Azure/review-checklists/issues/new" TargetMode="External"/><Relationship Id="rId2563" Type="http://schemas.openxmlformats.org/officeDocument/2006/relationships/hyperlink" Target="https://learn.microsoft.com/azure/web-application-firewall/afds/waf-front-door-policy-settings" TargetMode="External"/><Relationship Id="rId2770" Type="http://schemas.openxmlformats.org/officeDocument/2006/relationships/ctrlProp" Target="../ctrlProps/ctrlProp3.xml"/><Relationship Id="rId328" Type="http://schemas.openxmlformats.org/officeDocument/2006/relationships/hyperlink" Target="https://learn.microsoft.com/azure/cloud-adoption-framework/ready/landing-zone/design-area/multi-tenant/considerations-recommendations" TargetMode="External"/><Relationship Id="rId535" Type="http://schemas.openxmlformats.org/officeDocument/2006/relationships/hyperlink" Target="https://learn.microsoft.com/azure/cloud-adoption-framework/ready/landing-zone/design-area/multi-tenant/considerations-recommendations" TargetMode="External"/><Relationship Id="rId742" Type="http://schemas.openxmlformats.org/officeDocument/2006/relationships/hyperlink" Target="https://learn.microsoft.com/azure/cloud-adoption-framework/ready/landing-zone/design-area/multi-tenant/considerations-recommendations" TargetMode="External"/><Relationship Id="rId1165" Type="http://schemas.openxmlformats.org/officeDocument/2006/relationships/hyperlink" Target="https://learn.microsoft.com/azure/cloud-adoption-framework/ready/landing-zone/design-area/multi-tenant/considerations-recommendations" TargetMode="External"/><Relationship Id="rId1372" Type="http://schemas.openxmlformats.org/officeDocument/2006/relationships/hyperlink" Target="https://learn.microsoft.com/azure/cloud-adoption-framework/ready/landing-zone/design-area/multi-tenant/considerations-recommendations" TargetMode="External"/><Relationship Id="rId2009" Type="http://schemas.openxmlformats.org/officeDocument/2006/relationships/hyperlink" Target="https://learn.microsoft.com/azure/cloud-adoption-framework/ready/landing-zone/design-area/multi-tenant/considerations-recommendations" TargetMode="External"/><Relationship Id="rId2216" Type="http://schemas.openxmlformats.org/officeDocument/2006/relationships/hyperlink" Target="https://learn.microsoft.com/azure/cloud-adoption-framework/ready/landing-zone/design-area/multi-tenant/considerations-recommendations" TargetMode="External"/><Relationship Id="rId2423" Type="http://schemas.openxmlformats.org/officeDocument/2006/relationships/hyperlink" Target="https://learn.microsoft.com/security/benchmark/azure/baselines/api-management-security-baseline?toc=%2Fazure%2Fapi-management%2F&amp;bc=%2Fazure%2Fapi-management%2Fbreadcrumb%2Ftoc.json" TargetMode="External"/><Relationship Id="rId2630" Type="http://schemas.openxmlformats.org/officeDocument/2006/relationships/hyperlink" Target="https://learn.microsoft.com/azure/ai-services/openai/how-to/fine-tuning-deploy?tabs=portal" TargetMode="External"/><Relationship Id="rId602" Type="http://schemas.openxmlformats.org/officeDocument/2006/relationships/hyperlink" Target="https://learn.microsoft.com/azure/cloud-adoption-framework/ready/landing-zone/design-area/multi-tenant/considerations-recommendations" TargetMode="External"/><Relationship Id="rId1025" Type="http://schemas.openxmlformats.org/officeDocument/2006/relationships/hyperlink" Target="https://learn.microsoft.com/azure/cloud-adoption-framework/ready/landing-zone/design-area/multi-tenant/considerations-recommendations" TargetMode="External"/><Relationship Id="rId1232" Type="http://schemas.openxmlformats.org/officeDocument/2006/relationships/hyperlink" Target="https://learn.microsoft.com/azure/cloud-adoption-framework/ready/landing-zone/design-area/multi-tenant/considerations-recommendations" TargetMode="External"/><Relationship Id="rId185" Type="http://schemas.openxmlformats.org/officeDocument/2006/relationships/hyperlink" Target="https://learn.microsoft.com/azure/cloud-adoption-framework/ready/landing-zone/design-area/multi-tenant/considerations-recommendations" TargetMode="External"/><Relationship Id="rId1909" Type="http://schemas.openxmlformats.org/officeDocument/2006/relationships/hyperlink" Target="https://learn.microsoft.com/azure/cloud-adoption-framework/ready/landing-zone/design-area/multi-tenant/considerations-recommendations" TargetMode="External"/><Relationship Id="rId392" Type="http://schemas.openxmlformats.org/officeDocument/2006/relationships/hyperlink" Target="https://learn.microsoft.com/azure/cloud-adoption-framework/ready/landing-zone/design-area/multi-tenant/considerations-recommendations" TargetMode="External"/><Relationship Id="rId2073" Type="http://schemas.openxmlformats.org/officeDocument/2006/relationships/hyperlink" Target="https://learn.microsoft.com/azure/cloud-adoption-framework/ready/landing-zone/design-area/multi-tenant/considerations-recommendations" TargetMode="External"/><Relationship Id="rId2280" Type="http://schemas.openxmlformats.org/officeDocument/2006/relationships/hyperlink" Target="https://learn.microsoft.com/azure/cloud-adoption-framework/ready/landing-zone/design-area/multi-tenant/considerations-recommendations" TargetMode="External"/><Relationship Id="rId252" Type="http://schemas.openxmlformats.org/officeDocument/2006/relationships/hyperlink" Target="https://learn.microsoft.com/azure/cloud-adoption-framework/ready/landing-zone/design-area/multi-tenant/considerations-recommendations" TargetMode="External"/><Relationship Id="rId2140" Type="http://schemas.openxmlformats.org/officeDocument/2006/relationships/hyperlink" Target="https://learn.microsoft.com/azure/cloud-adoption-framework/ready/landing-zone/design-area/multi-tenant/considerations-recommendations" TargetMode="External"/><Relationship Id="rId112" Type="http://schemas.openxmlformats.org/officeDocument/2006/relationships/hyperlink" Target="https://learn.microsoft.com/azure/cloud-adoption-framework/ready/landing-zone/design-area/multi-tenant/considerations-recommendations" TargetMode="External"/><Relationship Id="rId1699" Type="http://schemas.openxmlformats.org/officeDocument/2006/relationships/hyperlink" Target="https://learn.microsoft.com/azure/cloud-adoption-framework/ready/landing-zone/design-area/multi-tenant/considerations-recommendations" TargetMode="External"/><Relationship Id="rId2000" Type="http://schemas.openxmlformats.org/officeDocument/2006/relationships/hyperlink" Target="https://learn.microsoft.com/azure/cloud-adoption-framework/ready/landing-zone/design-area/multi-tenant/considerations-recommendations" TargetMode="External"/><Relationship Id="rId929" Type="http://schemas.openxmlformats.org/officeDocument/2006/relationships/hyperlink" Target="https://learn.microsoft.com/azure/cloud-adoption-framework/ready/landing-zone/design-area/multi-tenant/considerations-recommendations" TargetMode="External"/><Relationship Id="rId1559" Type="http://schemas.openxmlformats.org/officeDocument/2006/relationships/hyperlink" Target="https://learn.microsoft.com/azure/cloud-adoption-framework/ready/landing-zone/design-area/multi-tenant/considerations-recommendations" TargetMode="External"/><Relationship Id="rId1766" Type="http://schemas.openxmlformats.org/officeDocument/2006/relationships/hyperlink" Target="https://learn.microsoft.com/azure/cloud-adoption-framework/ready/landing-zone/design-area/multi-tenant/considerations-recommendations" TargetMode="External"/><Relationship Id="rId1973" Type="http://schemas.openxmlformats.org/officeDocument/2006/relationships/hyperlink" Target="https://learn.microsoft.com/azure/cloud-adoption-framework/ready/landing-zone/design-area/multi-tenant/considerations-recommendations" TargetMode="External"/><Relationship Id="rId58" Type="http://schemas.openxmlformats.org/officeDocument/2006/relationships/hyperlink" Target="https://learn.microsoft.com/azure/cloud-adoption-framework/ready/landing-zone/design-area/multi-tenant/considerations-recommendations" TargetMode="External"/><Relationship Id="rId1419" Type="http://schemas.openxmlformats.org/officeDocument/2006/relationships/hyperlink" Target="https://learn.microsoft.com/azure/cloud-adoption-framework/ready/landing-zone/design-area/multi-tenant/considerations-recommendations" TargetMode="External"/><Relationship Id="rId1626" Type="http://schemas.openxmlformats.org/officeDocument/2006/relationships/hyperlink" Target="https://learn.microsoft.com/azure/cloud-adoption-framework/ready/landing-zone/design-area/multi-tenant/considerations-recommendations" TargetMode="External"/><Relationship Id="rId1833" Type="http://schemas.openxmlformats.org/officeDocument/2006/relationships/hyperlink" Target="https://learn.microsoft.com/azure/cloud-adoption-framework/ready/landing-zone/design-area/multi-tenant/considerations-recommendations" TargetMode="External"/><Relationship Id="rId1900" Type="http://schemas.openxmlformats.org/officeDocument/2006/relationships/hyperlink" Target="https://learn.microsoft.com/azure/cloud-adoption-framework/ready/landing-zone/design-area/multi-tenant/considerations-recommendations" TargetMode="External"/><Relationship Id="rId579" Type="http://schemas.openxmlformats.org/officeDocument/2006/relationships/hyperlink" Target="https://learn.microsoft.com/azure/cloud-adoption-framework/ready/landing-zone/design-area/multi-tenant/considerations-recommendations" TargetMode="External"/><Relationship Id="rId786" Type="http://schemas.openxmlformats.org/officeDocument/2006/relationships/hyperlink" Target="https://learn.microsoft.com/azure/cloud-adoption-framework/ready/landing-zone/design-area/multi-tenant/considerations-recommendations" TargetMode="External"/><Relationship Id="rId993" Type="http://schemas.openxmlformats.org/officeDocument/2006/relationships/hyperlink" Target="https://learn.microsoft.com/azure/cloud-adoption-framework/ready/landing-zone/design-area/multi-tenant/considerations-recommendations" TargetMode="External"/><Relationship Id="rId2467" Type="http://schemas.openxmlformats.org/officeDocument/2006/relationships/hyperlink" Target="https://learn.microsoft.com/azure/service-bus-messaging/service-bus-ip-filtering" TargetMode="External"/><Relationship Id="rId2674" Type="http://schemas.openxmlformats.org/officeDocument/2006/relationships/hyperlink" Target="https://learn.microsoft.com/azure/ai-services/openai/how-to/quota?tabs=rest&amp;branch=main" TargetMode="External"/><Relationship Id="rId439" Type="http://schemas.openxmlformats.org/officeDocument/2006/relationships/hyperlink" Target="https://learn.microsoft.com/azure/cloud-adoption-framework/ready/landing-zone/design-area/multi-tenant/considerations-recommendations" TargetMode="External"/><Relationship Id="rId646" Type="http://schemas.openxmlformats.org/officeDocument/2006/relationships/hyperlink" Target="https://learn.microsoft.com/azure/cloud-adoption-framework/ready/landing-zone/design-area/multi-tenant/considerations-recommendations" TargetMode="External"/><Relationship Id="rId1069" Type="http://schemas.openxmlformats.org/officeDocument/2006/relationships/hyperlink" Target="https://learn.microsoft.com/azure/cloud-adoption-framework/ready/landing-zone/design-area/multi-tenant/considerations-recommendations" TargetMode="External"/><Relationship Id="rId1276" Type="http://schemas.openxmlformats.org/officeDocument/2006/relationships/hyperlink" Target="https://learn.microsoft.com/azure/cloud-adoption-framework/ready/landing-zone/design-area/multi-tenant/considerations-recommendations" TargetMode="External"/><Relationship Id="rId1483" Type="http://schemas.openxmlformats.org/officeDocument/2006/relationships/hyperlink" Target="https://learn.microsoft.com/azure/cloud-adoption-framework/ready/landing-zone/design-area/multi-tenant/considerations-recommendations" TargetMode="External"/><Relationship Id="rId2327" Type="http://schemas.openxmlformats.org/officeDocument/2006/relationships/hyperlink" Target="https://learn.microsoft.com/azure/cloud-adoption-framework/ready/landing-zone/design-area/multi-tenant/considerations-recommendations" TargetMode="External"/><Relationship Id="rId506" Type="http://schemas.openxmlformats.org/officeDocument/2006/relationships/hyperlink" Target="https://learn.microsoft.com/azure/cloud-adoption-framework/ready/landing-zone/design-area/multi-tenant/considerations-recommendations" TargetMode="External"/><Relationship Id="rId853" Type="http://schemas.openxmlformats.org/officeDocument/2006/relationships/hyperlink" Target="https://learn.microsoft.com/azure/cloud-adoption-framework/ready/landing-zone/design-area/multi-tenant/considerations-recommendations" TargetMode="External"/><Relationship Id="rId1136" Type="http://schemas.openxmlformats.org/officeDocument/2006/relationships/hyperlink" Target="https://learn.microsoft.com/azure/cloud-adoption-framework/ready/landing-zone/design-area/multi-tenant/considerations-recommendations" TargetMode="External"/><Relationship Id="rId1690" Type="http://schemas.openxmlformats.org/officeDocument/2006/relationships/hyperlink" Target="https://learn.microsoft.com/azure/cloud-adoption-framework/ready/landing-zone/design-area/multi-tenant/considerations-recommendations" TargetMode="External"/><Relationship Id="rId2534" Type="http://schemas.openxmlformats.org/officeDocument/2006/relationships/hyperlink" Target="https://learn.microsoft.com/azure/event-hubs/private-link-service" TargetMode="External"/><Relationship Id="rId2741" Type="http://schemas.openxmlformats.org/officeDocument/2006/relationships/hyperlink" Target="https://learn.microsoft.com/azure/ai-services/openai/how-to/business-continuity-disaster-recovery" TargetMode="External"/><Relationship Id="rId713" Type="http://schemas.openxmlformats.org/officeDocument/2006/relationships/hyperlink" Target="https://learn.microsoft.com/azure/cloud-adoption-framework/ready/landing-zone/design-area/multi-tenant/considerations-recommendations" TargetMode="External"/><Relationship Id="rId920" Type="http://schemas.openxmlformats.org/officeDocument/2006/relationships/hyperlink" Target="https://learn.microsoft.com/azure/cloud-adoption-framework/ready/landing-zone/design-area/multi-tenant/considerations-recommendations" TargetMode="External"/><Relationship Id="rId1343" Type="http://schemas.openxmlformats.org/officeDocument/2006/relationships/hyperlink" Target="https://learn.microsoft.com/azure/cloud-adoption-framework/ready/landing-zone/design-area/multi-tenant/considerations-recommendations" TargetMode="External"/><Relationship Id="rId1550" Type="http://schemas.openxmlformats.org/officeDocument/2006/relationships/hyperlink" Target="https://learn.microsoft.com/azure/cloud-adoption-framework/ready/landing-zone/design-area/multi-tenant/considerations-recommendations" TargetMode="External"/><Relationship Id="rId2601" Type="http://schemas.openxmlformats.org/officeDocument/2006/relationships/hyperlink" Target="https://learn.microsoft.com/azure/storage/common/lock-account-resource" TargetMode="External"/><Relationship Id="rId1203" Type="http://schemas.openxmlformats.org/officeDocument/2006/relationships/hyperlink" Target="https://learn.microsoft.com/azure/cloud-adoption-framework/ready/landing-zone/design-area/multi-tenant/considerations-recommendations" TargetMode="External"/><Relationship Id="rId1410" Type="http://schemas.openxmlformats.org/officeDocument/2006/relationships/hyperlink" Target="https://learn.microsoft.com/azure/cloud-adoption-framework/ready/landing-zone/design-area/multi-tenant/considerations-recommendations" TargetMode="External"/><Relationship Id="rId296" Type="http://schemas.openxmlformats.org/officeDocument/2006/relationships/hyperlink" Target="https://learn.microsoft.com/azure/cloud-adoption-framework/ready/landing-zone/design-area/multi-tenant/considerations-recommendations" TargetMode="External"/><Relationship Id="rId2184" Type="http://schemas.openxmlformats.org/officeDocument/2006/relationships/hyperlink" Target="https://learn.microsoft.com/azure/cloud-adoption-framework/ready/landing-zone/design-area/multi-tenant/considerations-recommendations" TargetMode="External"/><Relationship Id="rId2391" Type="http://schemas.openxmlformats.org/officeDocument/2006/relationships/hyperlink" Target="https://learn.microsoft.com/security/benchmark/azure/baselines/api-management-security-baseline?toc=%2Fazure%2Fapi-management%2F&amp;bc=%2Fazure%2Fapi-management%2Fbreadcrumb%2Ftoc.json" TargetMode="External"/><Relationship Id="rId156" Type="http://schemas.openxmlformats.org/officeDocument/2006/relationships/hyperlink" Target="https://learn.microsoft.com/azure/cloud-adoption-framework/ready/landing-zone/design-area/multi-tenant/considerations-recommendations" TargetMode="External"/><Relationship Id="rId363" Type="http://schemas.openxmlformats.org/officeDocument/2006/relationships/hyperlink" Target="https://learn.microsoft.com/azure/cloud-adoption-framework/ready/landing-zone/design-area/multi-tenant/considerations-recommendations" TargetMode="External"/><Relationship Id="rId570" Type="http://schemas.openxmlformats.org/officeDocument/2006/relationships/hyperlink" Target="https://learn.microsoft.com/azure/cloud-adoption-framework/ready/landing-zone/design-area/multi-tenant/considerations-recommendations" TargetMode="External"/><Relationship Id="rId2044" Type="http://schemas.openxmlformats.org/officeDocument/2006/relationships/hyperlink" Target="https://learn.microsoft.com/azure/cloud-adoption-framework/ready/landing-zone/design-area/multi-tenant/considerations-recommendations" TargetMode="External"/><Relationship Id="rId2251" Type="http://schemas.openxmlformats.org/officeDocument/2006/relationships/hyperlink" Target="https://learn.microsoft.com/azure/cloud-adoption-framework/ready/landing-zone/design-area/multi-tenant/considerations-recommendations" TargetMode="External"/><Relationship Id="rId223" Type="http://schemas.openxmlformats.org/officeDocument/2006/relationships/hyperlink" Target="https://learn.microsoft.com/azure/cloud-adoption-framework/ready/landing-zone/design-area/multi-tenant/considerations-recommendations" TargetMode="External"/><Relationship Id="rId430" Type="http://schemas.openxmlformats.org/officeDocument/2006/relationships/hyperlink" Target="https://learn.microsoft.com/azure/cloud-adoption-framework/ready/landing-zone/design-area/multi-tenant/considerations-recommendations" TargetMode="External"/><Relationship Id="rId1060" Type="http://schemas.openxmlformats.org/officeDocument/2006/relationships/hyperlink" Target="https://learn.microsoft.com/azure/cloud-adoption-framework/ready/landing-zone/design-area/multi-tenant/considerations-recommendations" TargetMode="External"/><Relationship Id="rId2111" Type="http://schemas.openxmlformats.org/officeDocument/2006/relationships/hyperlink" Target="https://learn.microsoft.com/azure/cloud-adoption-framework/ready/landing-zone/design-area/multi-tenant/considerations-recommendations" TargetMode="External"/><Relationship Id="rId1877" Type="http://schemas.openxmlformats.org/officeDocument/2006/relationships/hyperlink" Target="https://learn.microsoft.com/azure/cloud-adoption-framework/ready/landing-zone/design-area/multi-tenant/considerations-recommendations" TargetMode="External"/><Relationship Id="rId1737" Type="http://schemas.openxmlformats.org/officeDocument/2006/relationships/hyperlink" Target="https://learn.microsoft.com/azure/cloud-adoption-framework/ready/landing-zone/design-area/multi-tenant/considerations-recommendations" TargetMode="External"/><Relationship Id="rId1944" Type="http://schemas.openxmlformats.org/officeDocument/2006/relationships/hyperlink" Target="https://learn.microsoft.com/azure/cloud-adoption-framework/ready/landing-zone/design-area/multi-tenant/considerations-recommendations" TargetMode="External"/><Relationship Id="rId29" Type="http://schemas.openxmlformats.org/officeDocument/2006/relationships/hyperlink" Target="https://learn.microsoft.com/azure/cloud-adoption-framework/ready/landing-zone/design-area/multi-tenant/considerations-recommendations" TargetMode="External"/><Relationship Id="rId1804" Type="http://schemas.openxmlformats.org/officeDocument/2006/relationships/hyperlink" Target="https://learn.microsoft.com/azure/cloud-adoption-framework/ready/landing-zone/design-area/multi-tenant/considerations-recommendations" TargetMode="External"/><Relationship Id="rId897" Type="http://schemas.openxmlformats.org/officeDocument/2006/relationships/hyperlink" Target="https://learn.microsoft.com/azure/cloud-adoption-framework/ready/landing-zone/design-area/multi-tenant/considerations-recommendations" TargetMode="External"/><Relationship Id="rId2578" Type="http://schemas.openxmlformats.org/officeDocument/2006/relationships/hyperlink" Target="https://learn.microsoft.com/azure/web-application-firewall/afds/waf-front-door-best-practices" TargetMode="External"/><Relationship Id="rId757" Type="http://schemas.openxmlformats.org/officeDocument/2006/relationships/hyperlink" Target="https://learn.microsoft.com/azure/cloud-adoption-framework/ready/landing-zone/design-area/multi-tenant/considerations-recommendations" TargetMode="External"/><Relationship Id="rId964" Type="http://schemas.openxmlformats.org/officeDocument/2006/relationships/hyperlink" Target="https://learn.microsoft.com/azure/cloud-adoption-framework/ready/landing-zone/design-area/multi-tenant/considerations-recommendations" TargetMode="External"/><Relationship Id="rId1387" Type="http://schemas.openxmlformats.org/officeDocument/2006/relationships/hyperlink" Target="https://learn.microsoft.com/azure/cloud-adoption-framework/ready/landing-zone/design-area/multi-tenant/considerations-recommendations" TargetMode="External"/><Relationship Id="rId1594" Type="http://schemas.openxmlformats.org/officeDocument/2006/relationships/hyperlink" Target="https://learn.microsoft.com/azure/cloud-adoption-framework/ready/landing-zone/design-area/multi-tenant/considerations-recommendations" TargetMode="External"/><Relationship Id="rId2438" Type="http://schemas.openxmlformats.org/officeDocument/2006/relationships/hyperlink" Target="https://learn.microsoft.com/azure/app-service/overview-vnet-integration" TargetMode="External"/><Relationship Id="rId2645" Type="http://schemas.openxmlformats.org/officeDocument/2006/relationships/hyperlink" Target="https://learn.microsoft.com/azure/ai-services/openai/how-to/monitoring" TargetMode="External"/><Relationship Id="rId93" Type="http://schemas.openxmlformats.org/officeDocument/2006/relationships/hyperlink" Target="https://learn.microsoft.com/azure/cloud-adoption-framework/ready/landing-zone/design-area/multi-tenant/considerations-recommendations" TargetMode="External"/><Relationship Id="rId617" Type="http://schemas.openxmlformats.org/officeDocument/2006/relationships/hyperlink" Target="https://learn.microsoft.com/azure/cloud-adoption-framework/ready/landing-zone/design-area/multi-tenant/considerations-recommendations" TargetMode="External"/><Relationship Id="rId824" Type="http://schemas.openxmlformats.org/officeDocument/2006/relationships/hyperlink" Target="https://learn.microsoft.com/azure/cloud-adoption-framework/ready/landing-zone/design-area/multi-tenant/considerations-recommendations" TargetMode="External"/><Relationship Id="rId1247" Type="http://schemas.openxmlformats.org/officeDocument/2006/relationships/hyperlink" Target="https://learn.microsoft.com/azure/cloud-adoption-framework/ready/landing-zone/design-area/multi-tenant/considerations-recommendations" TargetMode="External"/><Relationship Id="rId1454" Type="http://schemas.openxmlformats.org/officeDocument/2006/relationships/hyperlink" Target="https://learn.microsoft.com/azure/cloud-adoption-framework/ready/landing-zone/design-area/multi-tenant/considerations-recommendations" TargetMode="External"/><Relationship Id="rId1661" Type="http://schemas.openxmlformats.org/officeDocument/2006/relationships/hyperlink" Target="https://learn.microsoft.com/azure/cloud-adoption-framework/ready/landing-zone/design-area/multi-tenant/considerations-recommendations" TargetMode="External"/><Relationship Id="rId2505" Type="http://schemas.openxmlformats.org/officeDocument/2006/relationships/hyperlink" Target="https://learn.microsoft.com/rest/api/storageservices/authorize-with-shared-key" TargetMode="External"/><Relationship Id="rId2712" Type="http://schemas.openxmlformats.org/officeDocument/2006/relationships/hyperlink" Target="https://learn.microsoft.com/azure/ai-services/content-safety/concepts/jailbreak-detection" TargetMode="External"/><Relationship Id="rId1107" Type="http://schemas.openxmlformats.org/officeDocument/2006/relationships/hyperlink" Target="https://learn.microsoft.com/azure/cloud-adoption-framework/ready/landing-zone/design-area/multi-tenant/considerations-recommendations" TargetMode="External"/><Relationship Id="rId1314" Type="http://schemas.openxmlformats.org/officeDocument/2006/relationships/hyperlink" Target="https://learn.microsoft.com/azure/cloud-adoption-framework/ready/landing-zone/design-area/multi-tenant/considerations-recommendations" TargetMode="External"/><Relationship Id="rId1521" Type="http://schemas.openxmlformats.org/officeDocument/2006/relationships/hyperlink" Target="https://learn.microsoft.com/azure/cloud-adoption-framework/ready/landing-zone/design-area/multi-tenant/considerations-recommendations" TargetMode="External"/><Relationship Id="rId20" Type="http://schemas.openxmlformats.org/officeDocument/2006/relationships/hyperlink" Target="https://learn.microsoft.com/azure/cloud-adoption-framework/ready/landing-zone/design-area/multi-tenant/considerations-recommendations" TargetMode="External"/><Relationship Id="rId2088" Type="http://schemas.openxmlformats.org/officeDocument/2006/relationships/hyperlink" Target="https://learn.microsoft.com/azure/cloud-adoption-framework/ready/landing-zone/design-area/multi-tenant/considerations-recommendations" TargetMode="External"/><Relationship Id="rId2295" Type="http://schemas.openxmlformats.org/officeDocument/2006/relationships/hyperlink" Target="https://learn.microsoft.com/azure/cloud-adoption-framework/ready/landing-zone/design-area/multi-tenant/considerations-recommendations" TargetMode="External"/><Relationship Id="rId267" Type="http://schemas.openxmlformats.org/officeDocument/2006/relationships/hyperlink" Target="https://learn.microsoft.com/azure/cloud-adoption-framework/ready/landing-zone/design-area/multi-tenant/considerations-recommendations" TargetMode="External"/><Relationship Id="rId474" Type="http://schemas.openxmlformats.org/officeDocument/2006/relationships/hyperlink" Target="https://learn.microsoft.com/azure/cloud-adoption-framework/ready/landing-zone/design-area/multi-tenant/considerations-recommendations" TargetMode="External"/><Relationship Id="rId2155" Type="http://schemas.openxmlformats.org/officeDocument/2006/relationships/hyperlink" Target="https://learn.microsoft.com/azure/cloud-adoption-framework/ready/landing-zone/design-area/multi-tenant/considerations-recommendations" TargetMode="External"/><Relationship Id="rId127" Type="http://schemas.openxmlformats.org/officeDocument/2006/relationships/hyperlink" Target="https://learn.microsoft.com/azure/cloud-adoption-framework/ready/landing-zone/design-area/multi-tenant/considerations-recommendations" TargetMode="External"/><Relationship Id="rId681" Type="http://schemas.openxmlformats.org/officeDocument/2006/relationships/hyperlink" Target="https://learn.microsoft.com/azure/cloud-adoption-framework/ready/landing-zone/design-area/multi-tenant/considerations-recommendations" TargetMode="External"/><Relationship Id="rId2362" Type="http://schemas.openxmlformats.org/officeDocument/2006/relationships/hyperlink" Target="https://learn.microsoft.com/azure/key-vault/general/best-practices" TargetMode="External"/><Relationship Id="rId334" Type="http://schemas.openxmlformats.org/officeDocument/2006/relationships/hyperlink" Target="https://learn.microsoft.com/azure/cloud-adoption-framework/ready/landing-zone/design-area/multi-tenant/considerations-recommendations" TargetMode="External"/><Relationship Id="rId541" Type="http://schemas.openxmlformats.org/officeDocument/2006/relationships/hyperlink" Target="https://learn.microsoft.com/azure/cloud-adoption-framework/ready/landing-zone/design-area/multi-tenant/considerations-recommendations" TargetMode="External"/><Relationship Id="rId1171" Type="http://schemas.openxmlformats.org/officeDocument/2006/relationships/hyperlink" Target="https://learn.microsoft.com/azure/cloud-adoption-framework/ready/landing-zone/design-area/multi-tenant/considerations-recommendations" TargetMode="External"/><Relationship Id="rId2015" Type="http://schemas.openxmlformats.org/officeDocument/2006/relationships/hyperlink" Target="https://learn.microsoft.com/azure/cloud-adoption-framework/ready/landing-zone/design-area/multi-tenant/considerations-recommendations" TargetMode="External"/><Relationship Id="rId2222" Type="http://schemas.openxmlformats.org/officeDocument/2006/relationships/hyperlink" Target="https://learn.microsoft.com/azure/cloud-adoption-framework/ready/landing-zone/design-area/multi-tenant/considerations-recommendations" TargetMode="External"/><Relationship Id="rId401" Type="http://schemas.openxmlformats.org/officeDocument/2006/relationships/hyperlink" Target="https://learn.microsoft.com/azure/cloud-adoption-framework/ready/landing-zone/design-area/multi-tenant/considerations-recommendations" TargetMode="External"/><Relationship Id="rId1031" Type="http://schemas.openxmlformats.org/officeDocument/2006/relationships/hyperlink" Target="https://learn.microsoft.com/azure/cloud-adoption-framework/ready/landing-zone/design-area/multi-tenant/considerations-recommendations" TargetMode="External"/><Relationship Id="rId1988" Type="http://schemas.openxmlformats.org/officeDocument/2006/relationships/hyperlink" Target="https://learn.microsoft.com/azure/cloud-adoption-framework/ready/landing-zone/design-area/multi-tenant/considerations-recommendations" TargetMode="External"/><Relationship Id="rId1848" Type="http://schemas.openxmlformats.org/officeDocument/2006/relationships/hyperlink" Target="https://learn.microsoft.com/azure/cloud-adoption-framework/ready/landing-zone/design-area/multi-tenant/considerations-recommendations" TargetMode="External"/><Relationship Id="rId191" Type="http://schemas.openxmlformats.org/officeDocument/2006/relationships/hyperlink" Target="https://learn.microsoft.com/azure/cloud-adoption-framework/ready/landing-zone/design-area/multi-tenant/considerations-recommendations" TargetMode="External"/><Relationship Id="rId1708" Type="http://schemas.openxmlformats.org/officeDocument/2006/relationships/hyperlink" Target="https://learn.microsoft.com/azure/cloud-adoption-framework/ready/landing-zone/design-area/multi-tenant/considerations-recommendations" TargetMode="External"/><Relationship Id="rId1915" Type="http://schemas.openxmlformats.org/officeDocument/2006/relationships/hyperlink" Target="https://learn.microsoft.com/azure/cloud-adoption-framework/ready/landing-zone/design-area/multi-tenant/considerations-recommendations" TargetMode="External"/><Relationship Id="rId2689" Type="http://schemas.openxmlformats.org/officeDocument/2006/relationships/hyperlink" Target="https://learn.microsoft.com/azure/ai-services/content-safety/overview" TargetMode="External"/><Relationship Id="rId868" Type="http://schemas.openxmlformats.org/officeDocument/2006/relationships/hyperlink" Target="https://learn.microsoft.com/azure/cloud-adoption-framework/ready/landing-zone/design-area/multi-tenant/considerations-recommendations" TargetMode="External"/><Relationship Id="rId1498" Type="http://schemas.openxmlformats.org/officeDocument/2006/relationships/hyperlink" Target="https://learn.microsoft.com/azure/cloud-adoption-framework/ready/landing-zone/design-area/multi-tenant/considerations-recommendations" TargetMode="External"/><Relationship Id="rId2549" Type="http://schemas.openxmlformats.org/officeDocument/2006/relationships/hyperlink" Target="https://learn.microsoft.com/azure/application-gateway/application-gateway-autoscaling-zone-redundant" TargetMode="External"/><Relationship Id="rId2756" Type="http://schemas.openxmlformats.org/officeDocument/2006/relationships/hyperlink" Target="https://learn.microsoft.com/azure/ai-services/openai/concepts/red-teaming" TargetMode="External"/><Relationship Id="rId728" Type="http://schemas.openxmlformats.org/officeDocument/2006/relationships/hyperlink" Target="https://learn.microsoft.com/azure/cloud-adoption-framework/ready/landing-zone/design-area/multi-tenant/considerations-recommendations" TargetMode="External"/><Relationship Id="rId935" Type="http://schemas.openxmlformats.org/officeDocument/2006/relationships/hyperlink" Target="https://learn.microsoft.com/azure/cloud-adoption-framework/ready/landing-zone/design-area/multi-tenant/considerations-recommendations" TargetMode="External"/><Relationship Id="rId1358" Type="http://schemas.openxmlformats.org/officeDocument/2006/relationships/hyperlink" Target="https://learn.microsoft.com/azure/cloud-adoption-framework/ready/landing-zone/design-area/multi-tenant/considerations-recommendations" TargetMode="External"/><Relationship Id="rId1565" Type="http://schemas.openxmlformats.org/officeDocument/2006/relationships/hyperlink" Target="https://learn.microsoft.com/azure/cloud-adoption-framework/ready/landing-zone/design-area/multi-tenant/considerations-recommendations" TargetMode="External"/><Relationship Id="rId1772" Type="http://schemas.openxmlformats.org/officeDocument/2006/relationships/hyperlink" Target="https://learn.microsoft.com/azure/cloud-adoption-framework/ready/landing-zone/design-area/multi-tenant/considerations-recommendations" TargetMode="External"/><Relationship Id="rId2409" Type="http://schemas.openxmlformats.org/officeDocument/2006/relationships/hyperlink" Target="https://learn.microsoft.com/azure/api-management/front-door-api-management" TargetMode="External"/><Relationship Id="rId2616" Type="http://schemas.openxmlformats.org/officeDocument/2006/relationships/hyperlink" Target="https://learn.microsoft.com/azure/machine-learning/concept-network-isolation-configurations" TargetMode="External"/><Relationship Id="rId64" Type="http://schemas.openxmlformats.org/officeDocument/2006/relationships/hyperlink" Target="https://learn.microsoft.com/azure/cloud-adoption-framework/ready/landing-zone/design-area/multi-tenant/considerations-recommendations" TargetMode="External"/><Relationship Id="rId1218" Type="http://schemas.openxmlformats.org/officeDocument/2006/relationships/hyperlink" Target="https://learn.microsoft.com/azure/cloud-adoption-framework/ready/landing-zone/design-area/multi-tenant/considerations-recommendations" TargetMode="External"/><Relationship Id="rId1425" Type="http://schemas.openxmlformats.org/officeDocument/2006/relationships/hyperlink" Target="https://learn.microsoft.com/azure/cloud-adoption-framework/ready/landing-zone/design-area/multi-tenant/considerations-recommendations" TargetMode="External"/><Relationship Id="rId1632" Type="http://schemas.openxmlformats.org/officeDocument/2006/relationships/hyperlink" Target="https://learn.microsoft.com/azure/cloud-adoption-framework/ready/landing-zone/design-area/multi-tenant/considerations-recommendations" TargetMode="External"/><Relationship Id="rId2199" Type="http://schemas.openxmlformats.org/officeDocument/2006/relationships/hyperlink" Target="https://learn.microsoft.com/azure/cloud-adoption-framework/ready/landing-zone/design-area/multi-tenant/considerations-recommendations" TargetMode="External"/><Relationship Id="rId378" Type="http://schemas.openxmlformats.org/officeDocument/2006/relationships/hyperlink" Target="https://learn.microsoft.com/azure/cloud-adoption-framework/ready/landing-zone/design-area/multi-tenant/considerations-recommendations" TargetMode="External"/><Relationship Id="rId585" Type="http://schemas.openxmlformats.org/officeDocument/2006/relationships/hyperlink" Target="https://learn.microsoft.com/azure/cloud-adoption-framework/ready/landing-zone/design-area/multi-tenant/considerations-recommendations" TargetMode="External"/><Relationship Id="rId792" Type="http://schemas.openxmlformats.org/officeDocument/2006/relationships/hyperlink" Target="https://learn.microsoft.com/azure/cloud-adoption-framework/ready/landing-zone/design-area/multi-tenant/considerations-recommendations" TargetMode="External"/><Relationship Id="rId2059" Type="http://schemas.openxmlformats.org/officeDocument/2006/relationships/hyperlink" Target="https://learn.microsoft.com/azure/cloud-adoption-framework/ready/landing-zone/design-area/multi-tenant/considerations-recommendations" TargetMode="External"/><Relationship Id="rId2266" Type="http://schemas.openxmlformats.org/officeDocument/2006/relationships/hyperlink" Target="https://learn.microsoft.com/azure/cloud-adoption-framework/ready/landing-zone/design-area/multi-tenant/considerations-recommendations" TargetMode="External"/><Relationship Id="rId2473" Type="http://schemas.openxmlformats.org/officeDocument/2006/relationships/hyperlink" Target="https://learn.microsoft.com/learn/paths/implement-applications-external-access-azure-ad/" TargetMode="External"/><Relationship Id="rId2680" Type="http://schemas.openxmlformats.org/officeDocument/2006/relationships/hyperlink" Target="https://github.com/Azure/fta-resiliencyplaybooks/blob/main/paas-foundations-playbooks-cog_svcs_v1.docx" TargetMode="External"/><Relationship Id="rId238" Type="http://schemas.openxmlformats.org/officeDocument/2006/relationships/hyperlink" Target="https://learn.microsoft.com/azure/cloud-adoption-framework/ready/landing-zone/design-area/multi-tenant/considerations-recommendations" TargetMode="External"/><Relationship Id="rId445" Type="http://schemas.openxmlformats.org/officeDocument/2006/relationships/hyperlink" Target="https://learn.microsoft.com/azure/cloud-adoption-framework/ready/landing-zone/design-area/multi-tenant/considerations-recommendations" TargetMode="External"/><Relationship Id="rId652" Type="http://schemas.openxmlformats.org/officeDocument/2006/relationships/hyperlink" Target="https://learn.microsoft.com/azure/cloud-adoption-framework/ready/landing-zone/design-area/multi-tenant/considerations-recommendations" TargetMode="External"/><Relationship Id="rId1075" Type="http://schemas.openxmlformats.org/officeDocument/2006/relationships/hyperlink" Target="https://learn.microsoft.com/azure/cloud-adoption-framework/ready/landing-zone/design-area/multi-tenant/considerations-recommendations" TargetMode="External"/><Relationship Id="rId1282" Type="http://schemas.openxmlformats.org/officeDocument/2006/relationships/hyperlink" Target="https://learn.microsoft.com/azure/cloud-adoption-framework/ready/landing-zone/design-area/multi-tenant/considerations-recommendations" TargetMode="External"/><Relationship Id="rId2126" Type="http://schemas.openxmlformats.org/officeDocument/2006/relationships/hyperlink" Target="https://learn.microsoft.com/azure/cloud-adoption-framework/ready/landing-zone/design-area/multi-tenant/considerations-recommendations" TargetMode="External"/><Relationship Id="rId2333" Type="http://schemas.openxmlformats.org/officeDocument/2006/relationships/hyperlink" Target="https://learn.microsoft.com/azure/cloud-adoption-framework/ready/landing-zone/design-area/multi-tenant/considerations-recommendations" TargetMode="External"/><Relationship Id="rId2540" Type="http://schemas.openxmlformats.org/officeDocument/2006/relationships/hyperlink" Target="https://learn.microsoft.com/learn/paths/secure-application-delivery/" TargetMode="External"/><Relationship Id="rId305" Type="http://schemas.openxmlformats.org/officeDocument/2006/relationships/hyperlink" Target="https://learn.microsoft.com/azure/cloud-adoption-framework/ready/landing-zone/design-area/multi-tenant/considerations-recommendations" TargetMode="External"/><Relationship Id="rId512" Type="http://schemas.openxmlformats.org/officeDocument/2006/relationships/hyperlink" Target="https://learn.microsoft.com/azure/cloud-adoption-framework/ready/landing-zone/design-area/multi-tenant/considerations-recommendations" TargetMode="External"/><Relationship Id="rId1142" Type="http://schemas.openxmlformats.org/officeDocument/2006/relationships/hyperlink" Target="https://learn.microsoft.com/azure/cloud-adoption-framework/ready/landing-zone/design-area/multi-tenant/considerations-recommendations" TargetMode="External"/><Relationship Id="rId2400" Type="http://schemas.openxmlformats.org/officeDocument/2006/relationships/hyperlink" Target="https://learn.microsoft.com/azure/api-management/high-availability" TargetMode="External"/><Relationship Id="rId1002" Type="http://schemas.openxmlformats.org/officeDocument/2006/relationships/hyperlink" Target="https://learn.microsoft.com/azure/cloud-adoption-framework/ready/landing-zone/design-area/multi-tenant/considerations-recommendations" TargetMode="External"/><Relationship Id="rId1959" Type="http://schemas.openxmlformats.org/officeDocument/2006/relationships/hyperlink" Target="https://learn.microsoft.com/azure/cloud-adoption-framework/ready/landing-zone/design-area/multi-tenant/considerations-recommendations" TargetMode="External"/><Relationship Id="rId1819" Type="http://schemas.openxmlformats.org/officeDocument/2006/relationships/hyperlink" Target="https://learn.microsoft.com/azure/cloud-adoption-framework/ready/landing-zone/design-area/multi-tenant/considerations-recommendations" TargetMode="External"/><Relationship Id="rId2190" Type="http://schemas.openxmlformats.org/officeDocument/2006/relationships/hyperlink" Target="https://learn.microsoft.com/azure/cloud-adoption-framework/ready/landing-zone/design-area/multi-tenant/considerations-recommendations" TargetMode="External"/><Relationship Id="rId162" Type="http://schemas.openxmlformats.org/officeDocument/2006/relationships/hyperlink" Target="https://learn.microsoft.com/azure/cloud-adoption-framework/ready/landing-zone/design-area/multi-tenant/considerations-recommendations" TargetMode="External"/><Relationship Id="rId2050" Type="http://schemas.openxmlformats.org/officeDocument/2006/relationships/hyperlink" Target="https://learn.microsoft.com/azure/cloud-adoption-framework/ready/landing-zone/design-area/multi-tenant/considerations-recommendations" TargetMode="External"/><Relationship Id="rId979" Type="http://schemas.openxmlformats.org/officeDocument/2006/relationships/hyperlink" Target="https://learn.microsoft.com/azure/cloud-adoption-framework/ready/landing-zone/design-area/multi-tenant/considerations-recommendations" TargetMode="External"/><Relationship Id="rId839" Type="http://schemas.openxmlformats.org/officeDocument/2006/relationships/hyperlink" Target="https://learn.microsoft.com/azure/cloud-adoption-framework/ready/landing-zone/design-area/multi-tenant/considerations-recommendations" TargetMode="External"/><Relationship Id="rId1469" Type="http://schemas.openxmlformats.org/officeDocument/2006/relationships/hyperlink" Target="https://learn.microsoft.com/azure/cloud-adoption-framework/ready/landing-zone/design-area/multi-tenant/considerations-recommendations" TargetMode="External"/><Relationship Id="rId1676" Type="http://schemas.openxmlformats.org/officeDocument/2006/relationships/hyperlink" Target="https://learn.microsoft.com/azure/cloud-adoption-framework/ready/landing-zone/design-area/multi-tenant/considerations-recommendations" TargetMode="External"/><Relationship Id="rId1883" Type="http://schemas.openxmlformats.org/officeDocument/2006/relationships/hyperlink" Target="https://learn.microsoft.com/azure/cloud-adoption-framework/ready/landing-zone/design-area/multi-tenant/considerations-recommendations" TargetMode="External"/><Relationship Id="rId2727" Type="http://schemas.openxmlformats.org/officeDocument/2006/relationships/hyperlink" Target="https://learn.microsoft.com/security/benchmark/azure/mcsb-asset-management" TargetMode="External"/><Relationship Id="rId906" Type="http://schemas.openxmlformats.org/officeDocument/2006/relationships/hyperlink" Target="https://learn.microsoft.com/azure/cloud-adoption-framework/ready/landing-zone/design-area/multi-tenant/considerations-recommendations" TargetMode="External"/><Relationship Id="rId1329" Type="http://schemas.openxmlformats.org/officeDocument/2006/relationships/hyperlink" Target="https://learn.microsoft.com/azure/cloud-adoption-framework/ready/landing-zone/design-area/multi-tenant/considerations-recommendations" TargetMode="External"/><Relationship Id="rId1536" Type="http://schemas.openxmlformats.org/officeDocument/2006/relationships/hyperlink" Target="https://learn.microsoft.com/azure/cloud-adoption-framework/ready/landing-zone/design-area/multi-tenant/considerations-recommendations" TargetMode="External"/><Relationship Id="rId1743" Type="http://schemas.openxmlformats.org/officeDocument/2006/relationships/hyperlink" Target="https://learn.microsoft.com/azure/cloud-adoption-framework/ready/landing-zone/design-area/multi-tenant/considerations-recommendations" TargetMode="External"/><Relationship Id="rId1950" Type="http://schemas.openxmlformats.org/officeDocument/2006/relationships/hyperlink" Target="https://learn.microsoft.com/azure/cloud-adoption-framework/ready/landing-zone/design-area/multi-tenant/considerations-recommendations" TargetMode="External"/><Relationship Id="rId35" Type="http://schemas.openxmlformats.org/officeDocument/2006/relationships/hyperlink" Target="https://learn.microsoft.com/azure/cloud-adoption-framework/ready/landing-zone/design-area/multi-tenant/considerations-recommendations" TargetMode="External"/><Relationship Id="rId1603" Type="http://schemas.openxmlformats.org/officeDocument/2006/relationships/hyperlink" Target="https://learn.microsoft.com/azure/cloud-adoption-framework/ready/landing-zone/design-area/multi-tenant/considerations-recommendations" TargetMode="External"/><Relationship Id="rId1810" Type="http://schemas.openxmlformats.org/officeDocument/2006/relationships/hyperlink" Target="https://learn.microsoft.com/azure/cloud-adoption-framework/ready/landing-zone/design-area/multi-tenant/considerations-recommendations" TargetMode="External"/><Relationship Id="rId489" Type="http://schemas.openxmlformats.org/officeDocument/2006/relationships/hyperlink" Target="https://learn.microsoft.com/azure/cloud-adoption-framework/ready/landing-zone/design-area/multi-tenant/considerations-recommendations" TargetMode="External"/><Relationship Id="rId696" Type="http://schemas.openxmlformats.org/officeDocument/2006/relationships/hyperlink" Target="https://learn.microsoft.com/azure/cloud-adoption-framework/ready/landing-zone/design-area/multi-tenant/considerations-recommendations" TargetMode="External"/><Relationship Id="rId2377" Type="http://schemas.openxmlformats.org/officeDocument/2006/relationships/hyperlink" Target="https://learn.microsoft.com/azure/azure-monitor/logs/design-logs-deployment" TargetMode="External"/><Relationship Id="rId2584" Type="http://schemas.openxmlformats.org/officeDocument/2006/relationships/hyperlink" Target="https://learn.microsoft.com/azure/azure-cache-for-redis/cache-how-to-zone-redundancy" TargetMode="External"/><Relationship Id="rId349" Type="http://schemas.openxmlformats.org/officeDocument/2006/relationships/hyperlink" Target="https://learn.microsoft.com/azure/cloud-adoption-framework/ready/landing-zone/design-area/multi-tenant/considerations-recommendations" TargetMode="External"/><Relationship Id="rId556" Type="http://schemas.openxmlformats.org/officeDocument/2006/relationships/hyperlink" Target="https://learn.microsoft.com/azure/cloud-adoption-framework/ready/landing-zone/design-area/multi-tenant/considerations-recommendations" TargetMode="External"/><Relationship Id="rId763" Type="http://schemas.openxmlformats.org/officeDocument/2006/relationships/hyperlink" Target="https://learn.microsoft.com/azure/cloud-adoption-framework/ready/landing-zone/design-area/multi-tenant/considerations-recommendations" TargetMode="External"/><Relationship Id="rId1186" Type="http://schemas.openxmlformats.org/officeDocument/2006/relationships/hyperlink" Target="https://learn.microsoft.com/azure/cloud-adoption-framework/ready/landing-zone/design-area/multi-tenant/considerations-recommendations" TargetMode="External"/><Relationship Id="rId1393" Type="http://schemas.openxmlformats.org/officeDocument/2006/relationships/hyperlink" Target="https://learn.microsoft.com/azure/cloud-adoption-framework/ready/landing-zone/design-area/multi-tenant/considerations-recommendations" TargetMode="External"/><Relationship Id="rId2237" Type="http://schemas.openxmlformats.org/officeDocument/2006/relationships/hyperlink" Target="https://learn.microsoft.com/azure/cloud-adoption-framework/ready/landing-zone/design-area/multi-tenant/considerations-recommendations" TargetMode="External"/><Relationship Id="rId2444" Type="http://schemas.openxmlformats.org/officeDocument/2006/relationships/hyperlink" Target="https://learn.microsoft.com/azure/app-service/configure-ssl-bindings" TargetMode="External"/><Relationship Id="rId209" Type="http://schemas.openxmlformats.org/officeDocument/2006/relationships/hyperlink" Target="https://learn.microsoft.com/azure/cloud-adoption-framework/ready/landing-zone/design-area/multi-tenant/considerations-recommendations" TargetMode="External"/><Relationship Id="rId416" Type="http://schemas.openxmlformats.org/officeDocument/2006/relationships/hyperlink" Target="https://learn.microsoft.com/azure/cloud-adoption-framework/ready/landing-zone/design-area/multi-tenant/considerations-recommendations" TargetMode="External"/><Relationship Id="rId970" Type="http://schemas.openxmlformats.org/officeDocument/2006/relationships/hyperlink" Target="https://learn.microsoft.com/azure/cloud-adoption-framework/ready/landing-zone/design-area/multi-tenant/considerations-recommendations" TargetMode="External"/><Relationship Id="rId1046" Type="http://schemas.openxmlformats.org/officeDocument/2006/relationships/hyperlink" Target="https://learn.microsoft.com/azure/cloud-adoption-framework/ready/landing-zone/design-area/multi-tenant/considerations-recommendations" TargetMode="External"/><Relationship Id="rId1253" Type="http://schemas.openxmlformats.org/officeDocument/2006/relationships/hyperlink" Target="https://learn.microsoft.com/azure/cloud-adoption-framework/ready/landing-zone/design-area/multi-tenant/considerations-recommendations" TargetMode="External"/><Relationship Id="rId2651" Type="http://schemas.openxmlformats.org/officeDocument/2006/relationships/hyperlink" Target="https://learn.microsoft.com/azure/ai-services/openai/how-to/latency" TargetMode="External"/><Relationship Id="rId623" Type="http://schemas.openxmlformats.org/officeDocument/2006/relationships/hyperlink" Target="https://learn.microsoft.com/azure/cloud-adoption-framework/ready/landing-zone/design-area/multi-tenant/considerations-recommendations" TargetMode="External"/><Relationship Id="rId830" Type="http://schemas.openxmlformats.org/officeDocument/2006/relationships/hyperlink" Target="https://learn.microsoft.com/azure/cloud-adoption-framework/ready/landing-zone/design-area/multi-tenant/considerations-recommendations" TargetMode="External"/><Relationship Id="rId1460" Type="http://schemas.openxmlformats.org/officeDocument/2006/relationships/hyperlink" Target="https://learn.microsoft.com/azure/cloud-adoption-framework/ready/landing-zone/design-area/multi-tenant/considerations-recommendations" TargetMode="External"/><Relationship Id="rId2304" Type="http://schemas.openxmlformats.org/officeDocument/2006/relationships/hyperlink" Target="https://learn.microsoft.com/azure/cloud-adoption-framework/ready/landing-zone/design-area/multi-tenant/considerations-recommendations" TargetMode="External"/><Relationship Id="rId2511" Type="http://schemas.openxmlformats.org/officeDocument/2006/relationships/hyperlink" Target="https://learn.microsoft.com/azure/architecture/framework/security/design-storage-keys" TargetMode="External"/><Relationship Id="rId1113" Type="http://schemas.openxmlformats.org/officeDocument/2006/relationships/hyperlink" Target="https://learn.microsoft.com/azure/cloud-adoption-framework/ready/landing-zone/design-area/multi-tenant/considerations-recommendations" TargetMode="External"/><Relationship Id="rId1320" Type="http://schemas.openxmlformats.org/officeDocument/2006/relationships/hyperlink" Target="https://learn.microsoft.com/azure/cloud-adoption-framework/ready/landing-zone/design-area/multi-tenant/considerations-recommendations" TargetMode="External"/><Relationship Id="rId2094" Type="http://schemas.openxmlformats.org/officeDocument/2006/relationships/hyperlink" Target="https://learn.microsoft.com/azure/cloud-adoption-framework/ready/landing-zone/design-area/multi-tenant/considerations-recommendations" TargetMode="External"/><Relationship Id="rId273" Type="http://schemas.openxmlformats.org/officeDocument/2006/relationships/hyperlink" Target="https://learn.microsoft.com/azure/cloud-adoption-framework/ready/landing-zone/design-area/multi-tenant/considerations-recommendations" TargetMode="External"/><Relationship Id="rId480" Type="http://schemas.openxmlformats.org/officeDocument/2006/relationships/hyperlink" Target="https://learn.microsoft.com/azure/cloud-adoption-framework/ready/landing-zone/design-area/multi-tenant/considerations-recommendations" TargetMode="External"/><Relationship Id="rId2161" Type="http://schemas.openxmlformats.org/officeDocument/2006/relationships/hyperlink" Target="https://learn.microsoft.com/azure/cloud-adoption-framework/ready/landing-zone/design-area/multi-tenant/considerations-recommendations" TargetMode="External"/><Relationship Id="rId133" Type="http://schemas.openxmlformats.org/officeDocument/2006/relationships/hyperlink" Target="https://learn.microsoft.com/azure/cloud-adoption-framework/ready/landing-zone/design-area/multi-tenant/considerations-recommendations" TargetMode="External"/><Relationship Id="rId340" Type="http://schemas.openxmlformats.org/officeDocument/2006/relationships/hyperlink" Target="https://learn.microsoft.com/azure/cloud-adoption-framework/ready/landing-zone/design-area/multi-tenant/considerations-recommendations" TargetMode="External"/><Relationship Id="rId2021" Type="http://schemas.openxmlformats.org/officeDocument/2006/relationships/hyperlink" Target="https://learn.microsoft.com/azure/cloud-adoption-framework/ready/landing-zone/design-area/multi-tenant/considerations-recommendations" TargetMode="External"/><Relationship Id="rId200" Type="http://schemas.openxmlformats.org/officeDocument/2006/relationships/hyperlink" Target="https://learn.microsoft.com/azure/cloud-adoption-framework/ready/landing-zone/design-area/multi-tenant/considerations-recommendations" TargetMode="External"/><Relationship Id="rId1787" Type="http://schemas.openxmlformats.org/officeDocument/2006/relationships/hyperlink" Target="https://learn.microsoft.com/azure/cloud-adoption-framework/ready/landing-zone/design-area/multi-tenant/considerations-recommendations" TargetMode="External"/><Relationship Id="rId1994" Type="http://schemas.openxmlformats.org/officeDocument/2006/relationships/hyperlink" Target="https://learn.microsoft.com/azure/cloud-adoption-framework/ready/landing-zone/design-area/multi-tenant/considerations-recommendations" TargetMode="External"/><Relationship Id="rId79" Type="http://schemas.openxmlformats.org/officeDocument/2006/relationships/hyperlink" Target="https://learn.microsoft.com/azure/cloud-adoption-framework/ready/landing-zone/design-area/multi-tenant/considerations-recommendations" TargetMode="External"/><Relationship Id="rId1647" Type="http://schemas.openxmlformats.org/officeDocument/2006/relationships/hyperlink" Target="https://learn.microsoft.com/azure/cloud-adoption-framework/ready/landing-zone/design-area/multi-tenant/considerations-recommendations" TargetMode="External"/><Relationship Id="rId1854" Type="http://schemas.openxmlformats.org/officeDocument/2006/relationships/hyperlink" Target="https://learn.microsoft.com/azure/cloud-adoption-framework/ready/landing-zone/design-area/multi-tenant/considerations-recommendations" TargetMode="External"/><Relationship Id="rId1507" Type="http://schemas.openxmlformats.org/officeDocument/2006/relationships/hyperlink" Target="https://learn.microsoft.com/azure/cloud-adoption-framework/ready/landing-zone/design-area/multi-tenant/considerations-recommendations" TargetMode="External"/><Relationship Id="rId1714" Type="http://schemas.openxmlformats.org/officeDocument/2006/relationships/hyperlink" Target="https://learn.microsoft.com/azure/cloud-adoption-framework/ready/landing-zone/design-area/multi-tenant/considerations-recommendations" TargetMode="External"/><Relationship Id="rId1921" Type="http://schemas.openxmlformats.org/officeDocument/2006/relationships/hyperlink" Target="https://learn.microsoft.com/azure/cloud-adoption-framework/ready/landing-zone/design-area/multi-tenant/considerations-recommendations" TargetMode="External"/><Relationship Id="rId2488" Type="http://schemas.openxmlformats.org/officeDocument/2006/relationships/hyperlink" Target="https://learn.microsoft.com/azure/spring-apps/how-to-setup-autoscale" TargetMode="External"/><Relationship Id="rId1297" Type="http://schemas.openxmlformats.org/officeDocument/2006/relationships/hyperlink" Target="https://learn.microsoft.com/azure/cloud-adoption-framework/ready/landing-zone/design-area/multi-tenant/considerations-recommendations" TargetMode="External"/><Relationship Id="rId2695" Type="http://schemas.openxmlformats.org/officeDocument/2006/relationships/hyperlink" Target="https://learn.microsoft.com/azure/cloud-adoption-framework/ready/considerations/infrastructure-as-code" TargetMode="External"/><Relationship Id="rId667" Type="http://schemas.openxmlformats.org/officeDocument/2006/relationships/hyperlink" Target="https://learn.microsoft.com/azure/cloud-adoption-framework/ready/landing-zone/design-area/multi-tenant/considerations-recommendations" TargetMode="External"/><Relationship Id="rId874" Type="http://schemas.openxmlformats.org/officeDocument/2006/relationships/hyperlink" Target="https://learn.microsoft.com/azure/cloud-adoption-framework/ready/landing-zone/design-area/multi-tenant/considerations-recommendations" TargetMode="External"/><Relationship Id="rId2348" Type="http://schemas.openxmlformats.org/officeDocument/2006/relationships/hyperlink" Target="https://learn.microsoft.com/azure/cloud-adoption-framework/ready/landing-zone/design-area/multi-tenant/considerations-recommendations" TargetMode="External"/><Relationship Id="rId2555" Type="http://schemas.openxmlformats.org/officeDocument/2006/relationships/hyperlink" Target="https://learn.microsoft.com/azure/ddos-protection/ddos-protection-overview" TargetMode="External"/><Relationship Id="rId2762" Type="http://schemas.openxmlformats.org/officeDocument/2006/relationships/hyperlink" Target="https://learn.microsoft.com/azure/active-directory/privileged-identity-management/pim-configure" TargetMode="External"/><Relationship Id="rId527" Type="http://schemas.openxmlformats.org/officeDocument/2006/relationships/hyperlink" Target="https://learn.microsoft.com/azure/cloud-adoption-framework/ready/landing-zone/design-area/multi-tenant/considerations-recommendations" TargetMode="External"/><Relationship Id="rId734" Type="http://schemas.openxmlformats.org/officeDocument/2006/relationships/hyperlink" Target="https://learn.microsoft.com/azure/cloud-adoption-framework/ready/landing-zone/design-area/multi-tenant/considerations-recommendations" TargetMode="External"/><Relationship Id="rId941" Type="http://schemas.openxmlformats.org/officeDocument/2006/relationships/hyperlink" Target="https://learn.microsoft.com/azure/cloud-adoption-framework/ready/landing-zone/design-area/multi-tenant/considerations-recommendations" TargetMode="External"/><Relationship Id="rId1157" Type="http://schemas.openxmlformats.org/officeDocument/2006/relationships/hyperlink" Target="https://learn.microsoft.com/azure/cloud-adoption-framework/ready/landing-zone/design-area/multi-tenant/considerations-recommendations" TargetMode="External"/><Relationship Id="rId1364" Type="http://schemas.openxmlformats.org/officeDocument/2006/relationships/hyperlink" Target="https://learn.microsoft.com/azure/cloud-adoption-framework/ready/landing-zone/design-area/multi-tenant/considerations-recommendations" TargetMode="External"/><Relationship Id="rId1571" Type="http://schemas.openxmlformats.org/officeDocument/2006/relationships/hyperlink" Target="https://learn.microsoft.com/azure/cloud-adoption-framework/ready/landing-zone/design-area/multi-tenant/considerations-recommendations" TargetMode="External"/><Relationship Id="rId2208" Type="http://schemas.openxmlformats.org/officeDocument/2006/relationships/hyperlink" Target="https://learn.microsoft.com/azure/cloud-adoption-framework/ready/landing-zone/design-area/multi-tenant/considerations-recommendations" TargetMode="External"/><Relationship Id="rId2415" Type="http://schemas.openxmlformats.org/officeDocument/2006/relationships/hyperlink" Target="https://learn.microsoft.com/azure/cloud-adoption-framework/scenarios/app-platform/api-management/platform-automation-and-devops" TargetMode="External"/><Relationship Id="rId2622" Type="http://schemas.openxmlformats.org/officeDocument/2006/relationships/hyperlink" Target="https://learn.microsoft.com/azure/ai-studio/how-to/configure-managed-network" TargetMode="External"/><Relationship Id="rId70" Type="http://schemas.openxmlformats.org/officeDocument/2006/relationships/hyperlink" Target="https://learn.microsoft.com/azure/cloud-adoption-framework/ready/landing-zone/design-area/multi-tenant/considerations-recommendations" TargetMode="External"/><Relationship Id="rId801" Type="http://schemas.openxmlformats.org/officeDocument/2006/relationships/hyperlink" Target="https://learn.microsoft.com/azure/cloud-adoption-framework/ready/landing-zone/design-area/multi-tenant/considerations-recommendations" TargetMode="External"/><Relationship Id="rId1017" Type="http://schemas.openxmlformats.org/officeDocument/2006/relationships/hyperlink" Target="https://learn.microsoft.com/azure/cloud-adoption-framework/ready/landing-zone/design-area/multi-tenant/considerations-recommendations" TargetMode="External"/><Relationship Id="rId1224" Type="http://schemas.openxmlformats.org/officeDocument/2006/relationships/hyperlink" Target="https://learn.microsoft.com/azure/cloud-adoption-framework/ready/landing-zone/design-area/multi-tenant/considerations-recommendations" TargetMode="External"/><Relationship Id="rId1431" Type="http://schemas.openxmlformats.org/officeDocument/2006/relationships/hyperlink" Target="https://learn.microsoft.com/azure/cloud-adoption-framework/ready/landing-zone/design-area/multi-tenant/considerations-recommendations" TargetMode="External"/><Relationship Id="rId177" Type="http://schemas.openxmlformats.org/officeDocument/2006/relationships/hyperlink" Target="https://learn.microsoft.com/azure/cloud-adoption-framework/ready/landing-zone/design-area/multi-tenant/considerations-recommendations" TargetMode="External"/><Relationship Id="rId384" Type="http://schemas.openxmlformats.org/officeDocument/2006/relationships/hyperlink" Target="https://learn.microsoft.com/azure/cloud-adoption-framework/ready/landing-zone/design-area/multi-tenant/considerations-recommendations" TargetMode="External"/><Relationship Id="rId591" Type="http://schemas.openxmlformats.org/officeDocument/2006/relationships/hyperlink" Target="https://learn.microsoft.com/azure/cloud-adoption-framework/ready/landing-zone/design-area/multi-tenant/considerations-recommendations" TargetMode="External"/><Relationship Id="rId2065" Type="http://schemas.openxmlformats.org/officeDocument/2006/relationships/hyperlink" Target="https://learn.microsoft.com/azure/cloud-adoption-framework/ready/landing-zone/design-area/multi-tenant/considerations-recommendations" TargetMode="External"/><Relationship Id="rId2272" Type="http://schemas.openxmlformats.org/officeDocument/2006/relationships/hyperlink" Target="https://learn.microsoft.com/azure/cloud-adoption-framework/ready/landing-zone/design-area/multi-tenant/considerations-recommendations" TargetMode="External"/><Relationship Id="rId244" Type="http://schemas.openxmlformats.org/officeDocument/2006/relationships/hyperlink" Target="https://learn.microsoft.com/azure/cloud-adoption-framework/ready/landing-zone/design-area/multi-tenant/considerations-recommendations" TargetMode="External"/><Relationship Id="rId1081" Type="http://schemas.openxmlformats.org/officeDocument/2006/relationships/hyperlink" Target="https://learn.microsoft.com/azure/cloud-adoption-framework/ready/landing-zone/design-area/multi-tenant/considerations-recommendations" TargetMode="External"/><Relationship Id="rId451" Type="http://schemas.openxmlformats.org/officeDocument/2006/relationships/hyperlink" Target="https://learn.microsoft.com/azure/cloud-adoption-framework/ready/landing-zone/design-area/multi-tenant/considerations-recommendations" TargetMode="External"/><Relationship Id="rId2132" Type="http://schemas.openxmlformats.org/officeDocument/2006/relationships/hyperlink" Target="https://learn.microsoft.com/azure/cloud-adoption-framework/ready/landing-zone/design-area/multi-tenant/considerations-recommendations" TargetMode="External"/><Relationship Id="rId104" Type="http://schemas.openxmlformats.org/officeDocument/2006/relationships/hyperlink" Target="https://learn.microsoft.com/azure/cloud-adoption-framework/ready/landing-zone/design-area/multi-tenant/considerations-recommendations" TargetMode="External"/><Relationship Id="rId311" Type="http://schemas.openxmlformats.org/officeDocument/2006/relationships/hyperlink" Target="https://learn.microsoft.com/azure/cloud-adoption-framework/ready/landing-zone/design-area/multi-tenant/considerations-recommendations" TargetMode="External"/><Relationship Id="rId1898" Type="http://schemas.openxmlformats.org/officeDocument/2006/relationships/hyperlink" Target="https://learn.microsoft.com/azure/cloud-adoption-framework/ready/landing-zone/design-area/multi-tenant/considerations-recommendations" TargetMode="External"/><Relationship Id="rId1758" Type="http://schemas.openxmlformats.org/officeDocument/2006/relationships/hyperlink" Target="https://learn.microsoft.com/azure/cloud-adoption-framework/ready/landing-zone/design-area/multi-tenant/considerations-recommendations" TargetMode="External"/><Relationship Id="rId1965" Type="http://schemas.openxmlformats.org/officeDocument/2006/relationships/hyperlink" Target="https://learn.microsoft.com/azure/cloud-adoption-framework/ready/landing-zone/design-area/multi-tenant/considerations-recommendations" TargetMode="External"/><Relationship Id="rId1618" Type="http://schemas.openxmlformats.org/officeDocument/2006/relationships/hyperlink" Target="https://learn.microsoft.com/azure/cloud-adoption-framework/ready/landing-zone/design-area/multi-tenant/considerations-recommendations" TargetMode="External"/><Relationship Id="rId1825" Type="http://schemas.openxmlformats.org/officeDocument/2006/relationships/hyperlink" Target="https://learn.microsoft.com/azure/cloud-adoption-framework/ready/landing-zone/design-area/multi-tenant/considerations-recommendations" TargetMode="External"/><Relationship Id="rId2599" Type="http://schemas.openxmlformats.org/officeDocument/2006/relationships/hyperlink" Target="https://learn.microsoft.com/azure/virtual-machines/windows/scheduled-events" TargetMode="External"/><Relationship Id="rId778" Type="http://schemas.openxmlformats.org/officeDocument/2006/relationships/hyperlink" Target="https://learn.microsoft.com/azure/cloud-adoption-framework/ready/landing-zone/design-area/multi-tenant/considerations-recommendations" TargetMode="External"/><Relationship Id="rId985" Type="http://schemas.openxmlformats.org/officeDocument/2006/relationships/hyperlink" Target="https://learn.microsoft.com/azure/cloud-adoption-framework/ready/landing-zone/design-area/multi-tenant/considerations-recommendations" TargetMode="External"/><Relationship Id="rId2459" Type="http://schemas.openxmlformats.org/officeDocument/2006/relationships/hyperlink" Target="https://learn.microsoft.com/azure/service-bus-messaging/service-bus-managed-service-identity" TargetMode="External"/><Relationship Id="rId2666" Type="http://schemas.openxmlformats.org/officeDocument/2006/relationships/hyperlink" Target="https://github.com/Azure/aoai-apim/blob/main/README.md" TargetMode="External"/><Relationship Id="rId638" Type="http://schemas.openxmlformats.org/officeDocument/2006/relationships/hyperlink" Target="https://learn.microsoft.com/azure/cloud-adoption-framework/ready/landing-zone/design-area/multi-tenant/considerations-recommendations" TargetMode="External"/><Relationship Id="rId845" Type="http://schemas.openxmlformats.org/officeDocument/2006/relationships/hyperlink" Target="https://learn.microsoft.com/azure/cloud-adoption-framework/ready/landing-zone/design-area/multi-tenant/considerations-recommendations" TargetMode="External"/><Relationship Id="rId1268" Type="http://schemas.openxmlformats.org/officeDocument/2006/relationships/hyperlink" Target="https://learn.microsoft.com/azure/cloud-adoption-framework/ready/landing-zone/design-area/multi-tenant/considerations-recommendations" TargetMode="External"/><Relationship Id="rId1475" Type="http://schemas.openxmlformats.org/officeDocument/2006/relationships/hyperlink" Target="https://learn.microsoft.com/azure/cloud-adoption-framework/ready/landing-zone/design-area/multi-tenant/considerations-recommendations" TargetMode="External"/><Relationship Id="rId1682" Type="http://schemas.openxmlformats.org/officeDocument/2006/relationships/hyperlink" Target="https://learn.microsoft.com/azure/cloud-adoption-framework/ready/landing-zone/design-area/multi-tenant/considerations-recommendations" TargetMode="External"/><Relationship Id="rId2319" Type="http://schemas.openxmlformats.org/officeDocument/2006/relationships/hyperlink" Target="https://learn.microsoft.com/azure/cloud-adoption-framework/ready/landing-zone/design-area/multi-tenant/considerations-recommendations" TargetMode="External"/><Relationship Id="rId2526" Type="http://schemas.openxmlformats.org/officeDocument/2006/relationships/hyperlink" Target="https://learn.microsoft.com/azure/event-hubs/authorize-access-shared-access-signature" TargetMode="External"/><Relationship Id="rId2733" Type="http://schemas.openxmlformats.org/officeDocument/2006/relationships/hyperlink" Target="https://learn.microsoft.com/azure/ai-services/openai/how-to/managed-identity" TargetMode="External"/><Relationship Id="rId705" Type="http://schemas.openxmlformats.org/officeDocument/2006/relationships/hyperlink" Target="https://learn.microsoft.com/azure/cloud-adoption-framework/ready/landing-zone/design-area/multi-tenant/considerations-recommendations" TargetMode="External"/><Relationship Id="rId1128" Type="http://schemas.openxmlformats.org/officeDocument/2006/relationships/hyperlink" Target="https://learn.microsoft.com/azure/cloud-adoption-framework/ready/landing-zone/design-area/multi-tenant/considerations-recommendations" TargetMode="External"/><Relationship Id="rId1335" Type="http://schemas.openxmlformats.org/officeDocument/2006/relationships/hyperlink" Target="https://learn.microsoft.com/azure/cloud-adoption-framework/ready/landing-zone/design-area/multi-tenant/considerations-recommendations" TargetMode="External"/><Relationship Id="rId1542" Type="http://schemas.openxmlformats.org/officeDocument/2006/relationships/hyperlink" Target="https://learn.microsoft.com/azure/cloud-adoption-framework/ready/landing-zone/design-area/multi-tenant/considerations-recommendations" TargetMode="External"/><Relationship Id="rId912" Type="http://schemas.openxmlformats.org/officeDocument/2006/relationships/hyperlink" Target="https://learn.microsoft.com/azure/cloud-adoption-framework/ready/landing-zone/design-area/multi-tenant/considerations-recommendations" TargetMode="External"/><Relationship Id="rId41" Type="http://schemas.openxmlformats.org/officeDocument/2006/relationships/hyperlink" Target="https://learn.microsoft.com/azure/cloud-adoption-framework/ready/landing-zone/design-area/multi-tenant/considerations-recommendations" TargetMode="External"/><Relationship Id="rId1402" Type="http://schemas.openxmlformats.org/officeDocument/2006/relationships/hyperlink" Target="https://learn.microsoft.com/azure/cloud-adoption-framework/ready/landing-zone/design-area/multi-tenant/considerations-recommendations" TargetMode="External"/><Relationship Id="rId288" Type="http://schemas.openxmlformats.org/officeDocument/2006/relationships/hyperlink" Target="https://learn.microsoft.com/azure/cloud-adoption-framework/ready/landing-zone/design-area/multi-tenant/considerations-recommendations" TargetMode="External"/><Relationship Id="rId495" Type="http://schemas.openxmlformats.org/officeDocument/2006/relationships/hyperlink" Target="https://learn.microsoft.com/azure/cloud-adoption-framework/ready/landing-zone/design-area/multi-tenant/considerations-recommendations" TargetMode="External"/><Relationship Id="rId2176" Type="http://schemas.openxmlformats.org/officeDocument/2006/relationships/hyperlink" Target="https://learn.microsoft.com/azure/cloud-adoption-framework/ready/landing-zone/design-area/multi-tenant/considerations-recommendations" TargetMode="External"/><Relationship Id="rId2383" Type="http://schemas.openxmlformats.org/officeDocument/2006/relationships/hyperlink" Target="https://learn.microsoft.com/azure/api-management/api-management-error-handling-policies" TargetMode="External"/><Relationship Id="rId2590" Type="http://schemas.openxmlformats.org/officeDocument/2006/relationships/hyperlink" Target="https://learn.microsoft.com/azure/virtual-machines/disks-types" TargetMode="External"/><Relationship Id="rId148" Type="http://schemas.openxmlformats.org/officeDocument/2006/relationships/hyperlink" Target="https://learn.microsoft.com/azure/cloud-adoption-framework/ready/landing-zone/design-area/multi-tenant/considerations-recommendations" TargetMode="External"/><Relationship Id="rId355" Type="http://schemas.openxmlformats.org/officeDocument/2006/relationships/hyperlink" Target="https://learn.microsoft.com/azure/cloud-adoption-framework/ready/landing-zone/design-area/multi-tenant/considerations-recommendations" TargetMode="External"/><Relationship Id="rId562" Type="http://schemas.openxmlformats.org/officeDocument/2006/relationships/hyperlink" Target="https://learn.microsoft.com/azure/cloud-adoption-framework/ready/landing-zone/design-area/multi-tenant/considerations-recommendations" TargetMode="External"/><Relationship Id="rId1192" Type="http://schemas.openxmlformats.org/officeDocument/2006/relationships/hyperlink" Target="https://learn.microsoft.com/azure/cloud-adoption-framework/ready/landing-zone/design-area/multi-tenant/considerations-recommendations" TargetMode="External"/><Relationship Id="rId2036" Type="http://schemas.openxmlformats.org/officeDocument/2006/relationships/hyperlink" Target="https://learn.microsoft.com/azure/cloud-adoption-framework/ready/landing-zone/design-area/multi-tenant/considerations-recommendations" TargetMode="External"/><Relationship Id="rId2243" Type="http://schemas.openxmlformats.org/officeDocument/2006/relationships/hyperlink" Target="https://learn.microsoft.com/azure/cloud-adoption-framework/ready/landing-zone/design-area/multi-tenant/considerations-recommendations" TargetMode="External"/><Relationship Id="rId2450" Type="http://schemas.openxmlformats.org/officeDocument/2006/relationships/hyperlink" Target="https://learn.microsoft.com/azure/security/fundamentals/pen-testing" TargetMode="External"/><Relationship Id="rId215" Type="http://schemas.openxmlformats.org/officeDocument/2006/relationships/hyperlink" Target="https://learn.microsoft.com/azure/cloud-adoption-framework/ready/landing-zone/design-area/multi-tenant/considerations-recommendations" TargetMode="External"/><Relationship Id="rId422" Type="http://schemas.openxmlformats.org/officeDocument/2006/relationships/hyperlink" Target="https://learn.microsoft.com/azure/cloud-adoption-framework/ready/landing-zone/design-area/multi-tenant/considerations-recommendations" TargetMode="External"/><Relationship Id="rId1052" Type="http://schemas.openxmlformats.org/officeDocument/2006/relationships/hyperlink" Target="https://learn.microsoft.com/azure/cloud-adoption-framework/ready/landing-zone/design-area/multi-tenant/considerations-recommendations" TargetMode="External"/><Relationship Id="rId2103" Type="http://schemas.openxmlformats.org/officeDocument/2006/relationships/hyperlink" Target="https://learn.microsoft.com/azure/cloud-adoption-framework/ready/landing-zone/design-area/multi-tenant/considerations-recommendations" TargetMode="External"/><Relationship Id="rId2310" Type="http://schemas.openxmlformats.org/officeDocument/2006/relationships/hyperlink" Target="https://learn.microsoft.com/azure/cloud-adoption-framework/ready/landing-zone/design-area/multi-tenant/considerations-recommendations" TargetMode="External"/><Relationship Id="rId1869" Type="http://schemas.openxmlformats.org/officeDocument/2006/relationships/hyperlink" Target="https://learn.microsoft.com/azure/cloud-adoption-framework/ready/landing-zone/design-area/multi-tenant/considerations-recommendations" TargetMode="External"/><Relationship Id="rId1729" Type="http://schemas.openxmlformats.org/officeDocument/2006/relationships/hyperlink" Target="https://learn.microsoft.com/azure/cloud-adoption-framework/ready/landing-zone/design-area/multi-tenant/considerations-recommendations" TargetMode="External"/><Relationship Id="rId1936" Type="http://schemas.openxmlformats.org/officeDocument/2006/relationships/hyperlink" Target="https://learn.microsoft.com/azure/cloud-adoption-framework/ready/landing-zone/design-area/multi-tenant/considerations-recommendations" TargetMode="External"/><Relationship Id="rId5" Type="http://schemas.openxmlformats.org/officeDocument/2006/relationships/hyperlink" Target="https://learn.microsoft.com/azure/cloud-adoption-framework/ready/landing-zone/design-area/multi-tenant/considerations-recommendations" TargetMode="External"/><Relationship Id="rId889" Type="http://schemas.openxmlformats.org/officeDocument/2006/relationships/hyperlink" Target="https://learn.microsoft.com/azure/cloud-adoption-framework/ready/landing-zone/design-area/multi-tenant/considerations-recommendations" TargetMode="External"/><Relationship Id="rId749" Type="http://schemas.openxmlformats.org/officeDocument/2006/relationships/hyperlink" Target="https://learn.microsoft.com/azure/cloud-adoption-framework/ready/landing-zone/design-area/multi-tenant/considerations-recommendations" TargetMode="External"/><Relationship Id="rId1379" Type="http://schemas.openxmlformats.org/officeDocument/2006/relationships/hyperlink" Target="https://learn.microsoft.com/azure/cloud-adoption-framework/ready/landing-zone/design-area/multi-tenant/considerations-recommendations" TargetMode="External"/><Relationship Id="rId1586" Type="http://schemas.openxmlformats.org/officeDocument/2006/relationships/hyperlink" Target="https://learn.microsoft.com/azure/cloud-adoption-framework/ready/landing-zone/design-area/multi-tenant/considerations-recommendations" TargetMode="External"/><Relationship Id="rId609" Type="http://schemas.openxmlformats.org/officeDocument/2006/relationships/hyperlink" Target="https://learn.microsoft.com/azure/cloud-adoption-framework/ready/landing-zone/design-area/multi-tenant/considerations-recommendations" TargetMode="External"/><Relationship Id="rId956" Type="http://schemas.openxmlformats.org/officeDocument/2006/relationships/hyperlink" Target="https://learn.microsoft.com/azure/cloud-adoption-framework/ready/landing-zone/design-area/multi-tenant/considerations-recommendations" TargetMode="External"/><Relationship Id="rId1239" Type="http://schemas.openxmlformats.org/officeDocument/2006/relationships/hyperlink" Target="https://learn.microsoft.com/azure/cloud-adoption-framework/ready/landing-zone/design-area/multi-tenant/considerations-recommendations" TargetMode="External"/><Relationship Id="rId1793" Type="http://schemas.openxmlformats.org/officeDocument/2006/relationships/hyperlink" Target="https://learn.microsoft.com/azure/cloud-adoption-framework/ready/landing-zone/design-area/multi-tenant/considerations-recommendations" TargetMode="External"/><Relationship Id="rId2637" Type="http://schemas.openxmlformats.org/officeDocument/2006/relationships/hyperlink" Target="https://www.azadvertizer.net/azpolicyinitiativesadvertizer/Enforce-Guardrails-CognitiveServices.html" TargetMode="External"/><Relationship Id="rId85" Type="http://schemas.openxmlformats.org/officeDocument/2006/relationships/hyperlink" Target="https://learn.microsoft.com/azure/cloud-adoption-framework/ready/landing-zone/design-area/multi-tenant/considerations-recommendations" TargetMode="External"/><Relationship Id="rId816" Type="http://schemas.openxmlformats.org/officeDocument/2006/relationships/hyperlink" Target="https://learn.microsoft.com/azure/cloud-adoption-framework/ready/landing-zone/design-area/multi-tenant/considerations-recommendations" TargetMode="External"/><Relationship Id="rId1446" Type="http://schemas.openxmlformats.org/officeDocument/2006/relationships/hyperlink" Target="https://learn.microsoft.com/azure/cloud-adoption-framework/ready/landing-zone/design-area/multi-tenant/considerations-recommendations" TargetMode="External"/><Relationship Id="rId1653" Type="http://schemas.openxmlformats.org/officeDocument/2006/relationships/hyperlink" Target="https://learn.microsoft.com/azure/cloud-adoption-framework/ready/landing-zone/design-area/multi-tenant/considerations-recommendations" TargetMode="External"/><Relationship Id="rId1860" Type="http://schemas.openxmlformats.org/officeDocument/2006/relationships/hyperlink" Target="https://learn.microsoft.com/azure/cloud-adoption-framework/ready/landing-zone/design-area/multi-tenant/considerations-recommendations" TargetMode="External"/><Relationship Id="rId2704" Type="http://schemas.openxmlformats.org/officeDocument/2006/relationships/hyperlink" Target="https://techcommunity.microsoft.com/t5/fasttrack-for-azure/optimizing-azure-openai-a-guide-to-limits-quotas-and-best/ba-p/4076268" TargetMode="External"/><Relationship Id="rId1306" Type="http://schemas.openxmlformats.org/officeDocument/2006/relationships/hyperlink" Target="https://learn.microsoft.com/azure/cloud-adoption-framework/ready/landing-zone/design-area/multi-tenant/considerations-recommendations" TargetMode="External"/><Relationship Id="rId1513" Type="http://schemas.openxmlformats.org/officeDocument/2006/relationships/hyperlink" Target="https://learn.microsoft.com/azure/cloud-adoption-framework/ready/landing-zone/design-area/multi-tenant/considerations-recommendations" TargetMode="External"/><Relationship Id="rId1720" Type="http://schemas.openxmlformats.org/officeDocument/2006/relationships/hyperlink" Target="https://learn.microsoft.com/azure/cloud-adoption-framework/ready/landing-zone/design-area/multi-tenant/considerations-recommendations" TargetMode="External"/><Relationship Id="rId12" Type="http://schemas.openxmlformats.org/officeDocument/2006/relationships/hyperlink" Target="https://learn.microsoft.com/azure/cloud-adoption-framework/ready/landing-zone/design-area/multi-tenant/considerations-recommendations" TargetMode="External"/><Relationship Id="rId399" Type="http://schemas.openxmlformats.org/officeDocument/2006/relationships/hyperlink" Target="https://learn.microsoft.com/azure/cloud-adoption-framework/ready/landing-zone/design-area/multi-tenant/considerations-recommendations" TargetMode="External"/><Relationship Id="rId2287" Type="http://schemas.openxmlformats.org/officeDocument/2006/relationships/hyperlink" Target="https://learn.microsoft.com/azure/cloud-adoption-framework/ready/landing-zone/design-area/multi-tenant/considerations-recommendations" TargetMode="External"/><Relationship Id="rId2494" Type="http://schemas.openxmlformats.org/officeDocument/2006/relationships/hyperlink" Target="https://learn.microsoft.com/azure/storage/blobs/soft-delete-blob-overview" TargetMode="External"/><Relationship Id="rId259" Type="http://schemas.openxmlformats.org/officeDocument/2006/relationships/hyperlink" Target="https://learn.microsoft.com/azure/cloud-adoption-framework/ready/landing-zone/design-area/multi-tenant/considerations-recommendations" TargetMode="External"/><Relationship Id="rId466" Type="http://schemas.openxmlformats.org/officeDocument/2006/relationships/hyperlink" Target="https://learn.microsoft.com/azure/cloud-adoption-framework/ready/landing-zone/design-area/multi-tenant/considerations-recommendations" TargetMode="External"/><Relationship Id="rId673" Type="http://schemas.openxmlformats.org/officeDocument/2006/relationships/hyperlink" Target="https://learn.microsoft.com/azure/cloud-adoption-framework/ready/landing-zone/design-area/multi-tenant/considerations-recommendations" TargetMode="External"/><Relationship Id="rId880" Type="http://schemas.openxmlformats.org/officeDocument/2006/relationships/hyperlink" Target="https://learn.microsoft.com/azure/cloud-adoption-framework/ready/landing-zone/design-area/multi-tenant/considerations-recommendations" TargetMode="External"/><Relationship Id="rId1096" Type="http://schemas.openxmlformats.org/officeDocument/2006/relationships/hyperlink" Target="https://learn.microsoft.com/azure/cloud-adoption-framework/ready/landing-zone/design-area/multi-tenant/considerations-recommendations" TargetMode="External"/><Relationship Id="rId2147" Type="http://schemas.openxmlformats.org/officeDocument/2006/relationships/hyperlink" Target="https://learn.microsoft.com/azure/cloud-adoption-framework/ready/landing-zone/design-area/multi-tenant/considerations-recommendations" TargetMode="External"/><Relationship Id="rId2354" Type="http://schemas.openxmlformats.org/officeDocument/2006/relationships/hyperlink" Target="https://learn.microsoft.com/azure/cloud-adoption-framework/ready/landing-zone/design-area/multi-tenant/considerations-recommendations" TargetMode="External"/><Relationship Id="rId2561" Type="http://schemas.openxmlformats.org/officeDocument/2006/relationships/hyperlink" Target="https://learn.microsoft.com/azure/active-directory/app-proxy/application-proxy" TargetMode="External"/><Relationship Id="rId119" Type="http://schemas.openxmlformats.org/officeDocument/2006/relationships/hyperlink" Target="https://learn.microsoft.com/azure/cloud-adoption-framework/ready/landing-zone/design-area/multi-tenant/considerations-recommendations" TargetMode="External"/><Relationship Id="rId326" Type="http://schemas.openxmlformats.org/officeDocument/2006/relationships/hyperlink" Target="https://learn.microsoft.com/azure/cloud-adoption-framework/ready/landing-zone/design-area/multi-tenant/considerations-recommendations" TargetMode="External"/><Relationship Id="rId533" Type="http://schemas.openxmlformats.org/officeDocument/2006/relationships/hyperlink" Target="https://learn.microsoft.com/azure/cloud-adoption-framework/ready/landing-zone/design-area/multi-tenant/considerations-recommendations" TargetMode="External"/><Relationship Id="rId1163" Type="http://schemas.openxmlformats.org/officeDocument/2006/relationships/hyperlink" Target="https://learn.microsoft.com/azure/cloud-adoption-framework/ready/landing-zone/design-area/multi-tenant/considerations-recommendations" TargetMode="External"/><Relationship Id="rId1370" Type="http://schemas.openxmlformats.org/officeDocument/2006/relationships/hyperlink" Target="https://learn.microsoft.com/azure/cloud-adoption-framework/ready/landing-zone/design-area/multi-tenant/considerations-recommendations" TargetMode="External"/><Relationship Id="rId2007" Type="http://schemas.openxmlformats.org/officeDocument/2006/relationships/hyperlink" Target="https://learn.microsoft.com/azure/cloud-adoption-framework/ready/landing-zone/design-area/multi-tenant/considerations-recommendations" TargetMode="External"/><Relationship Id="rId2214" Type="http://schemas.openxmlformats.org/officeDocument/2006/relationships/hyperlink" Target="https://learn.microsoft.com/azure/cloud-adoption-framework/ready/landing-zone/design-area/multi-tenant/considerations-recommendations" TargetMode="External"/><Relationship Id="rId740" Type="http://schemas.openxmlformats.org/officeDocument/2006/relationships/hyperlink" Target="https://learn.microsoft.com/azure/cloud-adoption-framework/ready/landing-zone/design-area/multi-tenant/considerations-recommendations" TargetMode="External"/><Relationship Id="rId1023" Type="http://schemas.openxmlformats.org/officeDocument/2006/relationships/hyperlink" Target="https://learn.microsoft.com/azure/cloud-adoption-framework/ready/landing-zone/design-area/multi-tenant/considerations-recommendations" TargetMode="External"/><Relationship Id="rId2421" Type="http://schemas.openxmlformats.org/officeDocument/2006/relationships/hyperlink" Target="https://learn.microsoft.com/azure/api-management/authorizations-overview" TargetMode="External"/><Relationship Id="rId600" Type="http://schemas.openxmlformats.org/officeDocument/2006/relationships/hyperlink" Target="https://learn.microsoft.com/azure/cloud-adoption-framework/ready/landing-zone/design-area/multi-tenant/considerations-recommendations" TargetMode="External"/><Relationship Id="rId1230" Type="http://schemas.openxmlformats.org/officeDocument/2006/relationships/hyperlink" Target="https://learn.microsoft.com/azure/cloud-adoption-framework/ready/landing-zone/design-area/multi-tenant/considerations-recommendations" TargetMode="External"/><Relationship Id="rId183" Type="http://schemas.openxmlformats.org/officeDocument/2006/relationships/hyperlink" Target="https://learn.microsoft.com/azure/cloud-adoption-framework/ready/landing-zone/design-area/multi-tenant/considerations-recommendations" TargetMode="External"/><Relationship Id="rId390" Type="http://schemas.openxmlformats.org/officeDocument/2006/relationships/hyperlink" Target="https://learn.microsoft.com/azure/cloud-adoption-framework/ready/landing-zone/design-area/multi-tenant/considerations-recommendations" TargetMode="External"/><Relationship Id="rId1907" Type="http://schemas.openxmlformats.org/officeDocument/2006/relationships/hyperlink" Target="https://learn.microsoft.com/azure/cloud-adoption-framework/ready/landing-zone/design-area/multi-tenant/considerations-recommendations" TargetMode="External"/><Relationship Id="rId2071" Type="http://schemas.openxmlformats.org/officeDocument/2006/relationships/hyperlink" Target="https://learn.microsoft.com/azure/cloud-adoption-framework/ready/landing-zone/design-area/multi-tenant/considerations-recommendations" TargetMode="External"/><Relationship Id="rId250" Type="http://schemas.openxmlformats.org/officeDocument/2006/relationships/hyperlink" Target="https://learn.microsoft.com/azure/cloud-adoption-framework/ready/landing-zone/design-area/multi-tenant/considerations-recommendations" TargetMode="External"/><Relationship Id="rId110" Type="http://schemas.openxmlformats.org/officeDocument/2006/relationships/hyperlink" Target="https://learn.microsoft.com/azure/cloud-adoption-framework/ready/landing-zone/design-area/multi-tenant/considerations-recommendations" TargetMode="External"/><Relationship Id="rId1697" Type="http://schemas.openxmlformats.org/officeDocument/2006/relationships/hyperlink" Target="https://learn.microsoft.com/azure/cloud-adoption-framework/ready/landing-zone/design-area/multi-tenant/considerations-recommendations" TargetMode="External"/><Relationship Id="rId2748" Type="http://schemas.openxmlformats.org/officeDocument/2006/relationships/hyperlink" Target="https://learn.microsoft.com/azure/azure-resource-manager/management/tag-resources?tabs=json" TargetMode="External"/><Relationship Id="rId927" Type="http://schemas.openxmlformats.org/officeDocument/2006/relationships/hyperlink" Target="https://learn.microsoft.com/azure/cloud-adoption-framework/ready/landing-zone/design-area/multi-tenant/considerations-recommendations" TargetMode="External"/><Relationship Id="rId1557" Type="http://schemas.openxmlformats.org/officeDocument/2006/relationships/hyperlink" Target="https://learn.microsoft.com/azure/cloud-adoption-framework/ready/landing-zone/design-area/multi-tenant/considerations-recommendations" TargetMode="External"/><Relationship Id="rId1764" Type="http://schemas.openxmlformats.org/officeDocument/2006/relationships/hyperlink" Target="https://learn.microsoft.com/azure/cloud-adoption-framework/ready/landing-zone/design-area/multi-tenant/considerations-recommendations" TargetMode="External"/><Relationship Id="rId1971" Type="http://schemas.openxmlformats.org/officeDocument/2006/relationships/hyperlink" Target="https://learn.microsoft.com/azure/cloud-adoption-framework/ready/landing-zone/design-area/multi-tenant/considerations-recommendations" TargetMode="External"/><Relationship Id="rId2608" Type="http://schemas.openxmlformats.org/officeDocument/2006/relationships/hyperlink" Target="https://learn.microsoft.com/data-integration/gateway/service-gateway-high-availability-clusters" TargetMode="External"/><Relationship Id="rId56" Type="http://schemas.openxmlformats.org/officeDocument/2006/relationships/hyperlink" Target="https://learn.microsoft.com/azure/cloud-adoption-framework/ready/landing-zone/design-area/multi-tenant/considerations-recommendations" TargetMode="External"/><Relationship Id="rId1417" Type="http://schemas.openxmlformats.org/officeDocument/2006/relationships/hyperlink" Target="https://learn.microsoft.com/azure/cloud-adoption-framework/ready/landing-zone/design-area/multi-tenant/considerations-recommendations" TargetMode="External"/><Relationship Id="rId1624" Type="http://schemas.openxmlformats.org/officeDocument/2006/relationships/hyperlink" Target="https://learn.microsoft.com/azure/cloud-adoption-framework/ready/landing-zone/design-area/multi-tenant/considerations-recommendations" TargetMode="External"/><Relationship Id="rId1831" Type="http://schemas.openxmlformats.org/officeDocument/2006/relationships/hyperlink" Target="https://learn.microsoft.com/azure/cloud-adoption-framework/ready/landing-zone/design-area/multi-tenant/considerations-recommendations" TargetMode="External"/><Relationship Id="rId2398" Type="http://schemas.openxmlformats.org/officeDocument/2006/relationships/hyperlink" Target="https://learn.microsoft.com/azure/api-management/api-management-howto-deploy-multi-region" TargetMode="External"/><Relationship Id="rId577" Type="http://schemas.openxmlformats.org/officeDocument/2006/relationships/hyperlink" Target="https://learn.microsoft.com/azure/cloud-adoption-framework/ready/landing-zone/design-area/multi-tenant/considerations-recommendations" TargetMode="External"/><Relationship Id="rId2258" Type="http://schemas.openxmlformats.org/officeDocument/2006/relationships/hyperlink" Target="https://learn.microsoft.com/azure/cloud-adoption-framework/ready/landing-zone/design-area/multi-tenant/considerations-recommendations" TargetMode="External"/><Relationship Id="rId784" Type="http://schemas.openxmlformats.org/officeDocument/2006/relationships/hyperlink" Target="https://learn.microsoft.com/azure/cloud-adoption-framework/ready/landing-zone/design-area/multi-tenant/considerations-recommendations" TargetMode="External"/><Relationship Id="rId991" Type="http://schemas.openxmlformats.org/officeDocument/2006/relationships/hyperlink" Target="https://learn.microsoft.com/azure/cloud-adoption-framework/ready/landing-zone/design-area/multi-tenant/considerations-recommendations" TargetMode="External"/><Relationship Id="rId1067" Type="http://schemas.openxmlformats.org/officeDocument/2006/relationships/hyperlink" Target="https://learn.microsoft.com/azure/cloud-adoption-framework/ready/landing-zone/design-area/multi-tenant/considerations-recommendations" TargetMode="External"/><Relationship Id="rId2465" Type="http://schemas.openxmlformats.org/officeDocument/2006/relationships/hyperlink" Target="https://learn.microsoft.com/azure/service-bus-messaging/private-link-service" TargetMode="External"/><Relationship Id="rId2672" Type="http://schemas.openxmlformats.org/officeDocument/2006/relationships/hyperlink" Target="https://learn.microsoft.com/azure/search/search-reliability" TargetMode="External"/><Relationship Id="rId437" Type="http://schemas.openxmlformats.org/officeDocument/2006/relationships/hyperlink" Target="https://learn.microsoft.com/azure/cloud-adoption-framework/ready/landing-zone/design-area/multi-tenant/considerations-recommendations" TargetMode="External"/><Relationship Id="rId644" Type="http://schemas.openxmlformats.org/officeDocument/2006/relationships/hyperlink" Target="https://learn.microsoft.com/azure/cloud-adoption-framework/ready/landing-zone/design-area/multi-tenant/considerations-recommendations" TargetMode="External"/><Relationship Id="rId851" Type="http://schemas.openxmlformats.org/officeDocument/2006/relationships/hyperlink" Target="https://learn.microsoft.com/azure/cloud-adoption-framework/ready/landing-zone/design-area/multi-tenant/considerations-recommendations" TargetMode="External"/><Relationship Id="rId1274" Type="http://schemas.openxmlformats.org/officeDocument/2006/relationships/hyperlink" Target="https://learn.microsoft.com/azure/cloud-adoption-framework/ready/landing-zone/design-area/multi-tenant/considerations-recommendations" TargetMode="External"/><Relationship Id="rId1481" Type="http://schemas.openxmlformats.org/officeDocument/2006/relationships/hyperlink" Target="https://learn.microsoft.com/azure/cloud-adoption-framework/ready/landing-zone/design-area/multi-tenant/considerations-recommendations" TargetMode="External"/><Relationship Id="rId2118" Type="http://schemas.openxmlformats.org/officeDocument/2006/relationships/hyperlink" Target="https://learn.microsoft.com/azure/cloud-adoption-framework/ready/landing-zone/design-area/multi-tenant/considerations-recommendations" TargetMode="External"/><Relationship Id="rId2325" Type="http://schemas.openxmlformats.org/officeDocument/2006/relationships/hyperlink" Target="https://learn.microsoft.com/azure/cloud-adoption-framework/ready/landing-zone/design-area/multi-tenant/considerations-recommendations" TargetMode="External"/><Relationship Id="rId2532" Type="http://schemas.openxmlformats.org/officeDocument/2006/relationships/hyperlink" Target="https://learn.microsoft.com/azure/event-hubs/monitor-event-hubs-reference" TargetMode="External"/><Relationship Id="rId504" Type="http://schemas.openxmlformats.org/officeDocument/2006/relationships/hyperlink" Target="https://learn.microsoft.com/azure/cloud-adoption-framework/ready/landing-zone/design-area/multi-tenant/considerations-recommendations" TargetMode="External"/><Relationship Id="rId711" Type="http://schemas.openxmlformats.org/officeDocument/2006/relationships/hyperlink" Target="https://learn.microsoft.com/azure/cloud-adoption-framework/ready/landing-zone/design-area/multi-tenant/considerations-recommendations" TargetMode="External"/><Relationship Id="rId1134" Type="http://schemas.openxmlformats.org/officeDocument/2006/relationships/hyperlink" Target="https://learn.microsoft.com/azure/cloud-adoption-framework/ready/landing-zone/design-area/multi-tenant/considerations-recommendations" TargetMode="External"/><Relationship Id="rId1341" Type="http://schemas.openxmlformats.org/officeDocument/2006/relationships/hyperlink" Target="https://learn.microsoft.com/azure/cloud-adoption-framework/ready/landing-zone/design-area/multi-tenant/considerations-recommendations" TargetMode="External"/><Relationship Id="rId1201" Type="http://schemas.openxmlformats.org/officeDocument/2006/relationships/hyperlink" Target="https://learn.microsoft.com/azure/cloud-adoption-framework/ready/landing-zone/design-area/multi-tenant/considerations-recommendations" TargetMode="External"/><Relationship Id="rId294" Type="http://schemas.openxmlformats.org/officeDocument/2006/relationships/hyperlink" Target="https://learn.microsoft.com/azure/cloud-adoption-framework/ready/landing-zone/design-area/multi-tenant/considerations-recommendations" TargetMode="External"/><Relationship Id="rId2182" Type="http://schemas.openxmlformats.org/officeDocument/2006/relationships/hyperlink" Target="https://learn.microsoft.com/azure/cloud-adoption-framework/ready/landing-zone/design-area/multi-tenant/considerations-recommendations" TargetMode="External"/><Relationship Id="rId154" Type="http://schemas.openxmlformats.org/officeDocument/2006/relationships/hyperlink" Target="https://learn.microsoft.com/azure/cloud-adoption-framework/ready/landing-zone/design-area/multi-tenant/considerations-recommendations" TargetMode="External"/><Relationship Id="rId361" Type="http://schemas.openxmlformats.org/officeDocument/2006/relationships/hyperlink" Target="https://learn.microsoft.com/azure/cloud-adoption-framework/ready/landing-zone/design-area/multi-tenant/considerations-recommendations" TargetMode="External"/><Relationship Id="rId2042" Type="http://schemas.openxmlformats.org/officeDocument/2006/relationships/hyperlink" Target="https://learn.microsoft.com/azure/cloud-adoption-framework/ready/landing-zone/design-area/multi-tenant/considerations-recommendations" TargetMode="External"/><Relationship Id="rId221" Type="http://schemas.openxmlformats.org/officeDocument/2006/relationships/hyperlink" Target="https://learn.microsoft.com/azure/cloud-adoption-framework/ready/landing-zone/design-area/multi-tenant/considerations-recommendations" TargetMode="External"/><Relationship Id="rId1668" Type="http://schemas.openxmlformats.org/officeDocument/2006/relationships/hyperlink" Target="https://learn.microsoft.com/azure/cloud-adoption-framework/ready/landing-zone/design-area/multi-tenant/considerations-recommendations" TargetMode="External"/><Relationship Id="rId1875" Type="http://schemas.openxmlformats.org/officeDocument/2006/relationships/hyperlink" Target="https://learn.microsoft.com/azure/cloud-adoption-framework/ready/landing-zone/design-area/multi-tenant/considerations-recommendations" TargetMode="External"/><Relationship Id="rId2719" Type="http://schemas.openxmlformats.org/officeDocument/2006/relationships/hyperlink" Target="https://learn.microsoft.com/azure/defender-for-cloud/identify-ai-workload-model" TargetMode="External"/><Relationship Id="rId1528" Type="http://schemas.openxmlformats.org/officeDocument/2006/relationships/hyperlink" Target="https://learn.microsoft.com/azure/cloud-adoption-framework/ready/landing-zone/design-area/multi-tenant/considerations-recommendations" TargetMode="External"/><Relationship Id="rId1735" Type="http://schemas.openxmlformats.org/officeDocument/2006/relationships/hyperlink" Target="https://learn.microsoft.com/azure/cloud-adoption-framework/ready/landing-zone/design-area/multi-tenant/considerations-recommendations" TargetMode="External"/><Relationship Id="rId1942" Type="http://schemas.openxmlformats.org/officeDocument/2006/relationships/hyperlink" Target="https://learn.microsoft.com/azure/cloud-adoption-framework/ready/landing-zone/design-area/multi-tenant/considerations-recommendations" TargetMode="External"/><Relationship Id="rId27" Type="http://schemas.openxmlformats.org/officeDocument/2006/relationships/hyperlink" Target="https://learn.microsoft.com/azure/cloud-adoption-framework/ready/landing-zone/design-area/multi-tenant/considerations-recommendations" TargetMode="External"/><Relationship Id="rId1802" Type="http://schemas.openxmlformats.org/officeDocument/2006/relationships/hyperlink" Target="https://learn.microsoft.com/azure/cloud-adoption-framework/ready/landing-zone/design-area/multi-tenant/considerations-recommendations" TargetMode="External"/><Relationship Id="rId688" Type="http://schemas.openxmlformats.org/officeDocument/2006/relationships/hyperlink" Target="https://learn.microsoft.com/azure/cloud-adoption-framework/ready/landing-zone/design-area/multi-tenant/considerations-recommendations" TargetMode="External"/><Relationship Id="rId895" Type="http://schemas.openxmlformats.org/officeDocument/2006/relationships/hyperlink" Target="https://learn.microsoft.com/azure/cloud-adoption-framework/ready/landing-zone/design-area/multi-tenant/considerations-recommendations" TargetMode="External"/><Relationship Id="rId2369" Type="http://schemas.openxmlformats.org/officeDocument/2006/relationships/hyperlink" Target="https://learn.microsoft.com/azure/key-vault/general/best-practices" TargetMode="External"/><Relationship Id="rId2576" Type="http://schemas.openxmlformats.org/officeDocument/2006/relationships/hyperlink" Target="https://learn.microsoft.com/azure/web-application-firewall/afds/waf-front-door-best-practices" TargetMode="External"/><Relationship Id="rId548" Type="http://schemas.openxmlformats.org/officeDocument/2006/relationships/hyperlink" Target="https://learn.microsoft.com/azure/cloud-adoption-framework/ready/landing-zone/design-area/multi-tenant/considerations-recommendations" TargetMode="External"/><Relationship Id="rId755" Type="http://schemas.openxmlformats.org/officeDocument/2006/relationships/hyperlink" Target="https://learn.microsoft.com/azure/cloud-adoption-framework/ready/landing-zone/design-area/multi-tenant/considerations-recommendations" TargetMode="External"/><Relationship Id="rId962" Type="http://schemas.openxmlformats.org/officeDocument/2006/relationships/hyperlink" Target="https://learn.microsoft.com/azure/cloud-adoption-framework/ready/landing-zone/design-area/multi-tenant/considerations-recommendations" TargetMode="External"/><Relationship Id="rId1178" Type="http://schemas.openxmlformats.org/officeDocument/2006/relationships/hyperlink" Target="https://learn.microsoft.com/azure/cloud-adoption-framework/ready/landing-zone/design-area/multi-tenant/considerations-recommendations" TargetMode="External"/><Relationship Id="rId1385" Type="http://schemas.openxmlformats.org/officeDocument/2006/relationships/hyperlink" Target="https://learn.microsoft.com/azure/cloud-adoption-framework/ready/landing-zone/design-area/multi-tenant/considerations-recommendations" TargetMode="External"/><Relationship Id="rId1592" Type="http://schemas.openxmlformats.org/officeDocument/2006/relationships/hyperlink" Target="https://learn.microsoft.com/azure/cloud-adoption-framework/ready/landing-zone/design-area/multi-tenant/considerations-recommendations" TargetMode="External"/><Relationship Id="rId2229" Type="http://schemas.openxmlformats.org/officeDocument/2006/relationships/hyperlink" Target="https://learn.microsoft.com/azure/cloud-adoption-framework/ready/landing-zone/design-area/multi-tenant/considerations-recommendations" TargetMode="External"/><Relationship Id="rId2436" Type="http://schemas.openxmlformats.org/officeDocument/2006/relationships/hyperlink" Target="https://learn.microsoft.com/azure/app-service/troubleshoot-diagnostic-logs" TargetMode="External"/><Relationship Id="rId2643" Type="http://schemas.openxmlformats.org/officeDocument/2006/relationships/hyperlink" Target="https://techcommunity.microsoft.com/t5/fasttrack-for-azure/azure-openai-insights-monitoring-ai-with-confidence/ba-p/4026850" TargetMode="External"/><Relationship Id="rId91" Type="http://schemas.openxmlformats.org/officeDocument/2006/relationships/hyperlink" Target="https://learn.microsoft.com/azure/cloud-adoption-framework/ready/landing-zone/design-area/multi-tenant/considerations-recommendations" TargetMode="External"/><Relationship Id="rId408" Type="http://schemas.openxmlformats.org/officeDocument/2006/relationships/hyperlink" Target="https://learn.microsoft.com/azure/cloud-adoption-framework/ready/landing-zone/design-area/multi-tenant/considerations-recommendations" TargetMode="External"/><Relationship Id="rId615" Type="http://schemas.openxmlformats.org/officeDocument/2006/relationships/hyperlink" Target="https://learn.microsoft.com/azure/cloud-adoption-framework/ready/landing-zone/design-area/multi-tenant/considerations-recommendations" TargetMode="External"/><Relationship Id="rId822" Type="http://schemas.openxmlformats.org/officeDocument/2006/relationships/hyperlink" Target="https://learn.microsoft.com/azure/cloud-adoption-framework/ready/landing-zone/design-area/multi-tenant/considerations-recommendations" TargetMode="External"/><Relationship Id="rId1038" Type="http://schemas.openxmlformats.org/officeDocument/2006/relationships/hyperlink" Target="https://learn.microsoft.com/azure/cloud-adoption-framework/ready/landing-zone/design-area/multi-tenant/considerations-recommendations" TargetMode="External"/><Relationship Id="rId1245" Type="http://schemas.openxmlformats.org/officeDocument/2006/relationships/hyperlink" Target="https://learn.microsoft.com/azure/cloud-adoption-framework/ready/landing-zone/design-area/multi-tenant/considerations-recommendations" TargetMode="External"/><Relationship Id="rId1452" Type="http://schemas.openxmlformats.org/officeDocument/2006/relationships/hyperlink" Target="https://learn.microsoft.com/azure/cloud-adoption-framework/ready/landing-zone/design-area/multi-tenant/considerations-recommendations" TargetMode="External"/><Relationship Id="rId2503" Type="http://schemas.openxmlformats.org/officeDocument/2006/relationships/hyperlink" Target="https://learn.microsoft.com/azure/storage/common/authorize-data-access" TargetMode="External"/><Relationship Id="rId1105" Type="http://schemas.openxmlformats.org/officeDocument/2006/relationships/hyperlink" Target="https://learn.microsoft.com/azure/cloud-adoption-framework/ready/landing-zone/design-area/multi-tenant/considerations-recommendations" TargetMode="External"/><Relationship Id="rId1312" Type="http://schemas.openxmlformats.org/officeDocument/2006/relationships/hyperlink" Target="https://learn.microsoft.com/azure/cloud-adoption-framework/ready/landing-zone/design-area/multi-tenant/considerations-recommendations" TargetMode="External"/><Relationship Id="rId2710" Type="http://schemas.openxmlformats.org/officeDocument/2006/relationships/hyperlink" Target="https://learn.microsoft.com/azure/ai-services/openai/how-to/manage-costs" TargetMode="External"/><Relationship Id="rId198" Type="http://schemas.openxmlformats.org/officeDocument/2006/relationships/hyperlink" Target="https://learn.microsoft.com/azure/cloud-adoption-framework/ready/landing-zone/design-area/multi-tenant/considerations-recommendations" TargetMode="External"/><Relationship Id="rId2086" Type="http://schemas.openxmlformats.org/officeDocument/2006/relationships/hyperlink" Target="https://learn.microsoft.com/azure/cloud-adoption-framework/ready/landing-zone/design-area/multi-tenant/considerations-recommendations" TargetMode="External"/><Relationship Id="rId2293" Type="http://schemas.openxmlformats.org/officeDocument/2006/relationships/hyperlink" Target="https://learn.microsoft.com/azure/cloud-adoption-framework/ready/landing-zone/design-area/multi-tenant/considerations-recommendations" TargetMode="External"/><Relationship Id="rId265" Type="http://schemas.openxmlformats.org/officeDocument/2006/relationships/hyperlink" Target="https://learn.microsoft.com/azure/cloud-adoption-framework/ready/landing-zone/design-area/multi-tenant/considerations-recommendations" TargetMode="External"/><Relationship Id="rId472" Type="http://schemas.openxmlformats.org/officeDocument/2006/relationships/hyperlink" Target="https://learn.microsoft.com/azure/cloud-adoption-framework/ready/landing-zone/design-area/multi-tenant/considerations-recommendations" TargetMode="External"/><Relationship Id="rId2153" Type="http://schemas.openxmlformats.org/officeDocument/2006/relationships/hyperlink" Target="https://learn.microsoft.com/azure/cloud-adoption-framework/ready/landing-zone/design-area/multi-tenant/considerations-recommendations" TargetMode="External"/><Relationship Id="rId2360" Type="http://schemas.openxmlformats.org/officeDocument/2006/relationships/hyperlink" Target="https://learn.microsoft.com/azure/key-vault/general/overview-throttling" TargetMode="External"/><Relationship Id="rId125" Type="http://schemas.openxmlformats.org/officeDocument/2006/relationships/hyperlink" Target="https://learn.microsoft.com/azure/cloud-adoption-framework/ready/landing-zone/design-area/multi-tenant/considerations-recommendations" TargetMode="External"/><Relationship Id="rId332" Type="http://schemas.openxmlformats.org/officeDocument/2006/relationships/hyperlink" Target="https://learn.microsoft.com/azure/cloud-adoption-framework/ready/landing-zone/design-area/multi-tenant/considerations-recommendations" TargetMode="External"/><Relationship Id="rId2013" Type="http://schemas.openxmlformats.org/officeDocument/2006/relationships/hyperlink" Target="https://learn.microsoft.com/azure/cloud-adoption-framework/ready/landing-zone/design-area/multi-tenant/considerations-recommendations" TargetMode="External"/><Relationship Id="rId2220" Type="http://schemas.openxmlformats.org/officeDocument/2006/relationships/hyperlink" Target="https://learn.microsoft.com/azure/cloud-adoption-framework/ready/landing-zone/design-area/multi-tenant/considerations-recommendations" TargetMode="External"/><Relationship Id="rId1779" Type="http://schemas.openxmlformats.org/officeDocument/2006/relationships/hyperlink" Target="https://learn.microsoft.com/azure/cloud-adoption-framework/ready/landing-zone/design-area/multi-tenant/considerations-recommendations" TargetMode="External"/><Relationship Id="rId1986" Type="http://schemas.openxmlformats.org/officeDocument/2006/relationships/hyperlink" Target="https://learn.microsoft.com/azure/cloud-adoption-framework/ready/landing-zone/design-area/multi-tenant/considerations-recommendations" TargetMode="External"/><Relationship Id="rId1639" Type="http://schemas.openxmlformats.org/officeDocument/2006/relationships/hyperlink" Target="https://learn.microsoft.com/azure/cloud-adoption-framework/ready/landing-zone/design-area/multi-tenant/considerations-recommendations" TargetMode="External"/><Relationship Id="rId1846" Type="http://schemas.openxmlformats.org/officeDocument/2006/relationships/hyperlink" Target="https://learn.microsoft.com/azure/cloud-adoption-framework/ready/landing-zone/design-area/multi-tenant/considerations-recommendations" TargetMode="External"/><Relationship Id="rId1706" Type="http://schemas.openxmlformats.org/officeDocument/2006/relationships/hyperlink" Target="https://learn.microsoft.com/azure/cloud-adoption-framework/ready/landing-zone/design-area/multi-tenant/considerations-recommendations" TargetMode="External"/><Relationship Id="rId1913" Type="http://schemas.openxmlformats.org/officeDocument/2006/relationships/hyperlink" Target="https://learn.microsoft.com/azure/cloud-adoption-framework/ready/landing-zone/design-area/multi-tenant/considerations-recommendations" TargetMode="External"/><Relationship Id="rId287" Type="http://schemas.openxmlformats.org/officeDocument/2006/relationships/hyperlink" Target="https://learn.microsoft.com/azure/cloud-adoption-framework/ready/landing-zone/design-area/multi-tenant/considerations-recommendations" TargetMode="External"/><Relationship Id="rId494" Type="http://schemas.openxmlformats.org/officeDocument/2006/relationships/hyperlink" Target="https://learn.microsoft.com/azure/cloud-adoption-framework/ready/landing-zone/design-area/multi-tenant/considerations-recommendations" TargetMode="External"/><Relationship Id="rId2175" Type="http://schemas.openxmlformats.org/officeDocument/2006/relationships/hyperlink" Target="https://learn.microsoft.com/azure/cloud-adoption-framework/ready/landing-zone/design-area/multi-tenant/considerations-recommendations" TargetMode="External"/><Relationship Id="rId2382" Type="http://schemas.openxmlformats.org/officeDocument/2006/relationships/hyperlink" Target="https://learn.microsoft.com/azure/cloud-adoption-framework/ready/considerations/development-strategy-development-lifecycle" TargetMode="External"/><Relationship Id="rId147" Type="http://schemas.openxmlformats.org/officeDocument/2006/relationships/hyperlink" Target="https://learn.microsoft.com/azure/cloud-adoption-framework/ready/landing-zone/design-area/multi-tenant/considerations-recommendations" TargetMode="External"/><Relationship Id="rId354" Type="http://schemas.openxmlformats.org/officeDocument/2006/relationships/hyperlink" Target="https://learn.microsoft.com/azure/cloud-adoption-framework/ready/landing-zone/design-area/multi-tenant/considerations-recommendations" TargetMode="External"/><Relationship Id="rId799" Type="http://schemas.openxmlformats.org/officeDocument/2006/relationships/hyperlink" Target="https://learn.microsoft.com/azure/cloud-adoption-framework/ready/landing-zone/design-area/multi-tenant/considerations-recommendations" TargetMode="External"/><Relationship Id="rId1191" Type="http://schemas.openxmlformats.org/officeDocument/2006/relationships/hyperlink" Target="https://learn.microsoft.com/azure/cloud-adoption-framework/ready/landing-zone/design-area/multi-tenant/considerations-recommendations" TargetMode="External"/><Relationship Id="rId2035" Type="http://schemas.openxmlformats.org/officeDocument/2006/relationships/hyperlink" Target="https://learn.microsoft.com/azure/cloud-adoption-framework/ready/landing-zone/design-area/multi-tenant/considerations-recommendations" TargetMode="External"/><Relationship Id="rId2687" Type="http://schemas.openxmlformats.org/officeDocument/2006/relationships/hyperlink" Target="https://learn.microsoft.com/azure/ai-services/openai/concepts/system-message" TargetMode="External"/><Relationship Id="rId561" Type="http://schemas.openxmlformats.org/officeDocument/2006/relationships/hyperlink" Target="https://learn.microsoft.com/azure/cloud-adoption-framework/ready/landing-zone/design-area/multi-tenant/considerations-recommendations" TargetMode="External"/><Relationship Id="rId659" Type="http://schemas.openxmlformats.org/officeDocument/2006/relationships/hyperlink" Target="https://learn.microsoft.com/azure/cloud-adoption-framework/ready/landing-zone/design-area/multi-tenant/considerations-recommendations" TargetMode="External"/><Relationship Id="rId866" Type="http://schemas.openxmlformats.org/officeDocument/2006/relationships/hyperlink" Target="https://learn.microsoft.com/azure/cloud-adoption-framework/ready/landing-zone/design-area/multi-tenant/considerations-recommendations" TargetMode="External"/><Relationship Id="rId1289" Type="http://schemas.openxmlformats.org/officeDocument/2006/relationships/hyperlink" Target="https://learn.microsoft.com/azure/cloud-adoption-framework/ready/landing-zone/design-area/multi-tenant/considerations-recommendations" TargetMode="External"/><Relationship Id="rId1496" Type="http://schemas.openxmlformats.org/officeDocument/2006/relationships/hyperlink" Target="https://learn.microsoft.com/azure/cloud-adoption-framework/ready/landing-zone/design-area/multi-tenant/considerations-recommendations" TargetMode="External"/><Relationship Id="rId2242" Type="http://schemas.openxmlformats.org/officeDocument/2006/relationships/hyperlink" Target="https://learn.microsoft.com/azure/cloud-adoption-framework/ready/landing-zone/design-area/multi-tenant/considerations-recommendations" TargetMode="External"/><Relationship Id="rId2547" Type="http://schemas.openxmlformats.org/officeDocument/2006/relationships/hyperlink" Target="https://learn.microsoft.com/azure/web-application-firewall/ag/ag-overview" TargetMode="External"/><Relationship Id="rId214" Type="http://schemas.openxmlformats.org/officeDocument/2006/relationships/hyperlink" Target="https://learn.microsoft.com/azure/cloud-adoption-framework/ready/landing-zone/design-area/multi-tenant/considerations-recommendations" TargetMode="External"/><Relationship Id="rId421" Type="http://schemas.openxmlformats.org/officeDocument/2006/relationships/hyperlink" Target="https://learn.microsoft.com/azure/cloud-adoption-framework/ready/landing-zone/design-area/multi-tenant/considerations-recommendations" TargetMode="External"/><Relationship Id="rId519" Type="http://schemas.openxmlformats.org/officeDocument/2006/relationships/hyperlink" Target="https://learn.microsoft.com/azure/cloud-adoption-framework/ready/landing-zone/design-area/multi-tenant/considerations-recommendations" TargetMode="External"/><Relationship Id="rId1051" Type="http://schemas.openxmlformats.org/officeDocument/2006/relationships/hyperlink" Target="https://learn.microsoft.com/azure/cloud-adoption-framework/ready/landing-zone/design-area/multi-tenant/considerations-recommendations" TargetMode="External"/><Relationship Id="rId1149" Type="http://schemas.openxmlformats.org/officeDocument/2006/relationships/hyperlink" Target="https://learn.microsoft.com/azure/cloud-adoption-framework/ready/landing-zone/design-area/multi-tenant/considerations-recommendations" TargetMode="External"/><Relationship Id="rId1356" Type="http://schemas.openxmlformats.org/officeDocument/2006/relationships/hyperlink" Target="https://learn.microsoft.com/azure/cloud-adoption-framework/ready/landing-zone/design-area/multi-tenant/considerations-recommendations" TargetMode="External"/><Relationship Id="rId2102" Type="http://schemas.openxmlformats.org/officeDocument/2006/relationships/hyperlink" Target="https://learn.microsoft.com/azure/cloud-adoption-framework/ready/landing-zone/design-area/multi-tenant/considerations-recommendations" TargetMode="External"/><Relationship Id="rId2754" Type="http://schemas.openxmlformats.org/officeDocument/2006/relationships/hyperlink" Target="https://learn.microsoft.com/azure/architecture/ai-ml/architecture/baseline-openai-e2e-chat" TargetMode="External"/><Relationship Id="rId726" Type="http://schemas.openxmlformats.org/officeDocument/2006/relationships/hyperlink" Target="https://learn.microsoft.com/azure/cloud-adoption-framework/ready/landing-zone/design-area/multi-tenant/considerations-recommendations" TargetMode="External"/><Relationship Id="rId933" Type="http://schemas.openxmlformats.org/officeDocument/2006/relationships/hyperlink" Target="https://learn.microsoft.com/azure/cloud-adoption-framework/ready/landing-zone/design-area/multi-tenant/considerations-recommendations" TargetMode="External"/><Relationship Id="rId1009" Type="http://schemas.openxmlformats.org/officeDocument/2006/relationships/hyperlink" Target="https://learn.microsoft.com/azure/cloud-adoption-framework/ready/landing-zone/design-area/multi-tenant/considerations-recommendations" TargetMode="External"/><Relationship Id="rId1563" Type="http://schemas.openxmlformats.org/officeDocument/2006/relationships/hyperlink" Target="https://learn.microsoft.com/azure/cloud-adoption-framework/ready/landing-zone/design-area/multi-tenant/considerations-recommendations" TargetMode="External"/><Relationship Id="rId1770" Type="http://schemas.openxmlformats.org/officeDocument/2006/relationships/hyperlink" Target="https://learn.microsoft.com/azure/cloud-adoption-framework/ready/landing-zone/design-area/multi-tenant/considerations-recommendations" TargetMode="External"/><Relationship Id="rId1868" Type="http://schemas.openxmlformats.org/officeDocument/2006/relationships/hyperlink" Target="https://learn.microsoft.com/azure/cloud-adoption-framework/ready/landing-zone/design-area/multi-tenant/considerations-recommendations" TargetMode="External"/><Relationship Id="rId2407" Type="http://schemas.openxmlformats.org/officeDocument/2006/relationships/hyperlink" Target="https://learn.microsoft.com/azure/api-management/api-management-howto-provision-self-hosted-gateway" TargetMode="External"/><Relationship Id="rId2614" Type="http://schemas.openxmlformats.org/officeDocument/2006/relationships/hyperlink" Target="https://learn.microsoft.com/azure/ai-studio/how-to/configure-managed-network" TargetMode="External"/><Relationship Id="rId62" Type="http://schemas.openxmlformats.org/officeDocument/2006/relationships/hyperlink" Target="https://learn.microsoft.com/azure/cloud-adoption-framework/ready/landing-zone/design-area/multi-tenant/considerations-recommendations" TargetMode="External"/><Relationship Id="rId1216" Type="http://schemas.openxmlformats.org/officeDocument/2006/relationships/hyperlink" Target="https://learn.microsoft.com/azure/cloud-adoption-framework/ready/landing-zone/design-area/multi-tenant/considerations-recommendations" TargetMode="External"/><Relationship Id="rId1423" Type="http://schemas.openxmlformats.org/officeDocument/2006/relationships/hyperlink" Target="https://learn.microsoft.com/azure/cloud-adoption-framework/ready/landing-zone/design-area/multi-tenant/considerations-recommendations" TargetMode="External"/><Relationship Id="rId1630" Type="http://schemas.openxmlformats.org/officeDocument/2006/relationships/hyperlink" Target="https://learn.microsoft.com/azure/cloud-adoption-framework/ready/landing-zone/design-area/multi-tenant/considerations-recommendations" TargetMode="External"/><Relationship Id="rId1728" Type="http://schemas.openxmlformats.org/officeDocument/2006/relationships/hyperlink" Target="https://learn.microsoft.com/azure/cloud-adoption-framework/ready/landing-zone/design-area/multi-tenant/considerations-recommendations" TargetMode="External"/><Relationship Id="rId1935" Type="http://schemas.openxmlformats.org/officeDocument/2006/relationships/hyperlink" Target="https://learn.microsoft.com/azure/cloud-adoption-framework/ready/landing-zone/design-area/multi-tenant/considerations-recommendations" TargetMode="External"/><Relationship Id="rId2197" Type="http://schemas.openxmlformats.org/officeDocument/2006/relationships/hyperlink" Target="https://learn.microsoft.com/azure/cloud-adoption-framework/ready/landing-zone/design-area/multi-tenant/considerations-recommendations" TargetMode="External"/><Relationship Id="rId169" Type="http://schemas.openxmlformats.org/officeDocument/2006/relationships/hyperlink" Target="https://learn.microsoft.com/azure/cloud-adoption-framework/ready/landing-zone/design-area/multi-tenant/considerations-recommendations" TargetMode="External"/><Relationship Id="rId376" Type="http://schemas.openxmlformats.org/officeDocument/2006/relationships/hyperlink" Target="https://learn.microsoft.com/azure/cloud-adoption-framework/ready/landing-zone/design-area/multi-tenant/considerations-recommendations" TargetMode="External"/><Relationship Id="rId583" Type="http://schemas.openxmlformats.org/officeDocument/2006/relationships/hyperlink" Target="https://learn.microsoft.com/azure/cloud-adoption-framework/ready/landing-zone/design-area/multi-tenant/considerations-recommendations" TargetMode="External"/><Relationship Id="rId790" Type="http://schemas.openxmlformats.org/officeDocument/2006/relationships/hyperlink" Target="https://learn.microsoft.com/azure/cloud-adoption-framework/ready/landing-zone/design-area/multi-tenant/considerations-recommendations" TargetMode="External"/><Relationship Id="rId2057" Type="http://schemas.openxmlformats.org/officeDocument/2006/relationships/hyperlink" Target="https://learn.microsoft.com/azure/cloud-adoption-framework/ready/landing-zone/design-area/multi-tenant/considerations-recommendations" TargetMode="External"/><Relationship Id="rId2264" Type="http://schemas.openxmlformats.org/officeDocument/2006/relationships/hyperlink" Target="https://learn.microsoft.com/azure/cloud-adoption-framework/ready/landing-zone/design-area/multi-tenant/considerations-recommendations" TargetMode="External"/><Relationship Id="rId2471" Type="http://schemas.openxmlformats.org/officeDocument/2006/relationships/hyperlink" Target="https://learn.microsoft.com/learn/modules/configure-azure-ad-application-proxy/" TargetMode="External"/><Relationship Id="rId4" Type="http://schemas.openxmlformats.org/officeDocument/2006/relationships/hyperlink" Target="https://learn.microsoft.com/azure/cloud-adoption-framework/ready/landing-zone/design-area/multi-tenant/considerations-recommendations" TargetMode="External"/><Relationship Id="rId236" Type="http://schemas.openxmlformats.org/officeDocument/2006/relationships/hyperlink" Target="https://learn.microsoft.com/azure/cloud-adoption-framework/ready/landing-zone/design-area/multi-tenant/considerations-recommendations" TargetMode="External"/><Relationship Id="rId443" Type="http://schemas.openxmlformats.org/officeDocument/2006/relationships/hyperlink" Target="https://learn.microsoft.com/azure/cloud-adoption-framework/ready/landing-zone/design-area/multi-tenant/considerations-recommendations" TargetMode="External"/><Relationship Id="rId650" Type="http://schemas.openxmlformats.org/officeDocument/2006/relationships/hyperlink" Target="https://learn.microsoft.com/azure/cloud-adoption-framework/ready/landing-zone/design-area/multi-tenant/considerations-recommendations" TargetMode="External"/><Relationship Id="rId888" Type="http://schemas.openxmlformats.org/officeDocument/2006/relationships/hyperlink" Target="https://learn.microsoft.com/azure/cloud-adoption-framework/ready/landing-zone/design-area/multi-tenant/considerations-recommendations" TargetMode="External"/><Relationship Id="rId1073" Type="http://schemas.openxmlformats.org/officeDocument/2006/relationships/hyperlink" Target="https://learn.microsoft.com/azure/cloud-adoption-framework/ready/landing-zone/design-area/multi-tenant/considerations-recommendations" TargetMode="External"/><Relationship Id="rId1280" Type="http://schemas.openxmlformats.org/officeDocument/2006/relationships/hyperlink" Target="https://learn.microsoft.com/azure/cloud-adoption-framework/ready/landing-zone/design-area/multi-tenant/considerations-recommendations" TargetMode="External"/><Relationship Id="rId2124" Type="http://schemas.openxmlformats.org/officeDocument/2006/relationships/hyperlink" Target="https://learn.microsoft.com/azure/cloud-adoption-framework/ready/landing-zone/design-area/multi-tenant/considerations-recommendations" TargetMode="External"/><Relationship Id="rId2331" Type="http://schemas.openxmlformats.org/officeDocument/2006/relationships/hyperlink" Target="https://learn.microsoft.com/azure/cloud-adoption-framework/ready/landing-zone/design-area/multi-tenant/considerations-recommendations" TargetMode="External"/><Relationship Id="rId2569" Type="http://schemas.openxmlformats.org/officeDocument/2006/relationships/hyperlink" Target="https://learn.microsoft.com/azure/nat-gateway/nat-overview" TargetMode="External"/><Relationship Id="rId303" Type="http://schemas.openxmlformats.org/officeDocument/2006/relationships/hyperlink" Target="https://learn.microsoft.com/azure/cloud-adoption-framework/ready/landing-zone/design-area/multi-tenant/considerations-recommendations" TargetMode="External"/><Relationship Id="rId748" Type="http://schemas.openxmlformats.org/officeDocument/2006/relationships/hyperlink" Target="https://learn.microsoft.com/azure/cloud-adoption-framework/ready/landing-zone/design-area/multi-tenant/considerations-recommendations" TargetMode="External"/><Relationship Id="rId955" Type="http://schemas.openxmlformats.org/officeDocument/2006/relationships/hyperlink" Target="https://learn.microsoft.com/azure/cloud-adoption-framework/ready/landing-zone/design-area/multi-tenant/considerations-recommendations" TargetMode="External"/><Relationship Id="rId1140" Type="http://schemas.openxmlformats.org/officeDocument/2006/relationships/hyperlink" Target="https://learn.microsoft.com/azure/cloud-adoption-framework/ready/landing-zone/design-area/multi-tenant/considerations-recommendations" TargetMode="External"/><Relationship Id="rId1378" Type="http://schemas.openxmlformats.org/officeDocument/2006/relationships/hyperlink" Target="https://learn.microsoft.com/azure/cloud-adoption-framework/ready/landing-zone/design-area/multi-tenant/considerations-recommendations" TargetMode="External"/><Relationship Id="rId1585" Type="http://schemas.openxmlformats.org/officeDocument/2006/relationships/hyperlink" Target="https://learn.microsoft.com/azure/cloud-adoption-framework/ready/landing-zone/design-area/multi-tenant/considerations-recommendations" TargetMode="External"/><Relationship Id="rId1792" Type="http://schemas.openxmlformats.org/officeDocument/2006/relationships/hyperlink" Target="https://learn.microsoft.com/azure/cloud-adoption-framework/ready/landing-zone/design-area/multi-tenant/considerations-recommendations" TargetMode="External"/><Relationship Id="rId2429" Type="http://schemas.openxmlformats.org/officeDocument/2006/relationships/hyperlink" Target="https://learn.microsoft.com/azure/app-service/overview-hosting-plans" TargetMode="External"/><Relationship Id="rId2636" Type="http://schemas.openxmlformats.org/officeDocument/2006/relationships/hyperlink" Target="https://www.azadvertizer.net/azpolicyinitiativesadvertizer/Enforce-Guardrails-MachineLearning.html" TargetMode="External"/><Relationship Id="rId84" Type="http://schemas.openxmlformats.org/officeDocument/2006/relationships/hyperlink" Target="https://learn.microsoft.com/azure/cloud-adoption-framework/ready/landing-zone/design-area/multi-tenant/considerations-recommendations" TargetMode="External"/><Relationship Id="rId510" Type="http://schemas.openxmlformats.org/officeDocument/2006/relationships/hyperlink" Target="https://learn.microsoft.com/azure/cloud-adoption-framework/ready/landing-zone/design-area/multi-tenant/considerations-recommendations" TargetMode="External"/><Relationship Id="rId608" Type="http://schemas.openxmlformats.org/officeDocument/2006/relationships/hyperlink" Target="https://learn.microsoft.com/azure/cloud-adoption-framework/ready/landing-zone/design-area/multi-tenant/considerations-recommendations" TargetMode="External"/><Relationship Id="rId815" Type="http://schemas.openxmlformats.org/officeDocument/2006/relationships/hyperlink" Target="https://learn.microsoft.com/azure/cloud-adoption-framework/ready/landing-zone/design-area/multi-tenant/considerations-recommendations" TargetMode="External"/><Relationship Id="rId1238" Type="http://schemas.openxmlformats.org/officeDocument/2006/relationships/hyperlink" Target="https://learn.microsoft.com/azure/cloud-adoption-framework/ready/landing-zone/design-area/multi-tenant/considerations-recommendations" TargetMode="External"/><Relationship Id="rId1445" Type="http://schemas.openxmlformats.org/officeDocument/2006/relationships/hyperlink" Target="https://learn.microsoft.com/azure/cloud-adoption-framework/ready/landing-zone/design-area/multi-tenant/considerations-recommendations" TargetMode="External"/><Relationship Id="rId1652" Type="http://schemas.openxmlformats.org/officeDocument/2006/relationships/hyperlink" Target="https://learn.microsoft.com/azure/cloud-adoption-framework/ready/landing-zone/design-area/multi-tenant/considerations-recommendations" TargetMode="External"/><Relationship Id="rId1000" Type="http://schemas.openxmlformats.org/officeDocument/2006/relationships/hyperlink" Target="https://learn.microsoft.com/azure/cloud-adoption-framework/ready/landing-zone/design-area/multi-tenant/considerations-recommendations" TargetMode="External"/><Relationship Id="rId1305" Type="http://schemas.openxmlformats.org/officeDocument/2006/relationships/hyperlink" Target="https://learn.microsoft.com/azure/cloud-adoption-framework/ready/landing-zone/design-area/multi-tenant/considerations-recommendations" TargetMode="External"/><Relationship Id="rId1957" Type="http://schemas.openxmlformats.org/officeDocument/2006/relationships/hyperlink" Target="https://learn.microsoft.com/azure/cloud-adoption-framework/ready/landing-zone/design-area/multi-tenant/considerations-recommendations" TargetMode="External"/><Relationship Id="rId2703" Type="http://schemas.openxmlformats.org/officeDocument/2006/relationships/hyperlink" Target="https://learn.microsoft.com/azure/ai-services/openai/how-to/provisioned-throughput-onboarding" TargetMode="External"/><Relationship Id="rId1512" Type="http://schemas.openxmlformats.org/officeDocument/2006/relationships/hyperlink" Target="https://learn.microsoft.com/azure/cloud-adoption-framework/ready/landing-zone/design-area/multi-tenant/considerations-recommendations" TargetMode="External"/><Relationship Id="rId1817" Type="http://schemas.openxmlformats.org/officeDocument/2006/relationships/hyperlink" Target="https://learn.microsoft.com/azure/cloud-adoption-framework/ready/landing-zone/design-area/multi-tenant/considerations-recommendations" TargetMode="External"/><Relationship Id="rId11" Type="http://schemas.openxmlformats.org/officeDocument/2006/relationships/hyperlink" Target="https://learn.microsoft.com/azure/cloud-adoption-framework/ready/landing-zone/design-area/multi-tenant/considerations-recommendations" TargetMode="External"/><Relationship Id="rId398" Type="http://schemas.openxmlformats.org/officeDocument/2006/relationships/hyperlink" Target="https://learn.microsoft.com/azure/cloud-adoption-framework/ready/landing-zone/design-area/multi-tenant/considerations-recommendations" TargetMode="External"/><Relationship Id="rId2079" Type="http://schemas.openxmlformats.org/officeDocument/2006/relationships/hyperlink" Target="https://learn.microsoft.com/azure/cloud-adoption-framework/ready/landing-zone/design-area/multi-tenant/considerations-recommendations" TargetMode="External"/><Relationship Id="rId160" Type="http://schemas.openxmlformats.org/officeDocument/2006/relationships/hyperlink" Target="https://learn.microsoft.com/azure/cloud-adoption-framework/ready/landing-zone/design-area/multi-tenant/considerations-recommendations" TargetMode="External"/><Relationship Id="rId2286" Type="http://schemas.openxmlformats.org/officeDocument/2006/relationships/hyperlink" Target="https://learn.microsoft.com/azure/cloud-adoption-framework/ready/landing-zone/design-area/multi-tenant/considerations-recommendations" TargetMode="External"/><Relationship Id="rId2493" Type="http://schemas.openxmlformats.org/officeDocument/2006/relationships/hyperlink" Target="https://learn.microsoft.com/azure/storage/common/azure-defender-storage-configure" TargetMode="External"/><Relationship Id="rId258" Type="http://schemas.openxmlformats.org/officeDocument/2006/relationships/hyperlink" Target="https://learn.microsoft.com/azure/cloud-adoption-framework/ready/landing-zone/design-area/multi-tenant/considerations-recommendations" TargetMode="External"/><Relationship Id="rId465" Type="http://schemas.openxmlformats.org/officeDocument/2006/relationships/hyperlink" Target="https://learn.microsoft.com/azure/cloud-adoption-framework/ready/landing-zone/design-area/multi-tenant/considerations-recommendations" TargetMode="External"/><Relationship Id="rId672" Type="http://schemas.openxmlformats.org/officeDocument/2006/relationships/hyperlink" Target="https://learn.microsoft.com/azure/cloud-adoption-framework/ready/landing-zone/design-area/multi-tenant/considerations-recommendations" TargetMode="External"/><Relationship Id="rId1095" Type="http://schemas.openxmlformats.org/officeDocument/2006/relationships/hyperlink" Target="https://learn.microsoft.com/azure/cloud-adoption-framework/ready/landing-zone/design-area/multi-tenant/considerations-recommendations" TargetMode="External"/><Relationship Id="rId2146" Type="http://schemas.openxmlformats.org/officeDocument/2006/relationships/hyperlink" Target="https://learn.microsoft.com/azure/cloud-adoption-framework/ready/landing-zone/design-area/multi-tenant/considerations-recommendations" TargetMode="External"/><Relationship Id="rId2353" Type="http://schemas.openxmlformats.org/officeDocument/2006/relationships/hyperlink" Target="https://learn.microsoft.com/azure/cloud-adoption-framework/ready/landing-zone/design-area/multi-tenant/considerations-recommendations" TargetMode="External"/><Relationship Id="rId2560" Type="http://schemas.openxmlformats.org/officeDocument/2006/relationships/hyperlink" Target="https://learn.microsoft.com/learn/modules/configure-azure-ad-application-proxy/" TargetMode="External"/><Relationship Id="rId118" Type="http://schemas.openxmlformats.org/officeDocument/2006/relationships/hyperlink" Target="https://learn.microsoft.com/azure/cloud-adoption-framework/ready/landing-zone/design-area/multi-tenant/considerations-recommendations" TargetMode="External"/><Relationship Id="rId325" Type="http://schemas.openxmlformats.org/officeDocument/2006/relationships/hyperlink" Target="https://learn.microsoft.com/azure/cloud-adoption-framework/ready/landing-zone/design-area/multi-tenant/considerations-recommendations" TargetMode="External"/><Relationship Id="rId532" Type="http://schemas.openxmlformats.org/officeDocument/2006/relationships/hyperlink" Target="https://learn.microsoft.com/azure/cloud-adoption-framework/ready/landing-zone/design-area/multi-tenant/considerations-recommendations" TargetMode="External"/><Relationship Id="rId977" Type="http://schemas.openxmlformats.org/officeDocument/2006/relationships/hyperlink" Target="https://learn.microsoft.com/azure/cloud-adoption-framework/ready/landing-zone/design-area/multi-tenant/considerations-recommendations" TargetMode="External"/><Relationship Id="rId1162" Type="http://schemas.openxmlformats.org/officeDocument/2006/relationships/hyperlink" Target="https://learn.microsoft.com/azure/cloud-adoption-framework/ready/landing-zone/design-area/multi-tenant/considerations-recommendations" TargetMode="External"/><Relationship Id="rId2006" Type="http://schemas.openxmlformats.org/officeDocument/2006/relationships/hyperlink" Target="https://learn.microsoft.com/azure/cloud-adoption-framework/ready/landing-zone/design-area/multi-tenant/considerations-recommendations" TargetMode="External"/><Relationship Id="rId2213" Type="http://schemas.openxmlformats.org/officeDocument/2006/relationships/hyperlink" Target="https://learn.microsoft.com/azure/cloud-adoption-framework/ready/landing-zone/design-area/multi-tenant/considerations-recommendations" TargetMode="External"/><Relationship Id="rId2420" Type="http://schemas.openxmlformats.org/officeDocument/2006/relationships/hyperlink" Target="https://learn.microsoft.com/azure/api-management/mitigate-owasp-api-threats" TargetMode="External"/><Relationship Id="rId2658" Type="http://schemas.openxmlformats.org/officeDocument/2006/relationships/hyperlink" Target="https://learn.microsoft.com/azure/search/vector-search-index-size?tabs=portal-vector-quota" TargetMode="External"/><Relationship Id="rId837" Type="http://schemas.openxmlformats.org/officeDocument/2006/relationships/hyperlink" Target="https://learn.microsoft.com/azure/cloud-adoption-framework/ready/landing-zone/design-area/multi-tenant/considerations-recommendations" TargetMode="External"/><Relationship Id="rId1022" Type="http://schemas.openxmlformats.org/officeDocument/2006/relationships/hyperlink" Target="https://learn.microsoft.com/azure/cloud-adoption-framework/ready/landing-zone/design-area/multi-tenant/considerations-recommendations" TargetMode="External"/><Relationship Id="rId1467" Type="http://schemas.openxmlformats.org/officeDocument/2006/relationships/hyperlink" Target="https://learn.microsoft.com/azure/cloud-adoption-framework/ready/landing-zone/design-area/multi-tenant/considerations-recommendations" TargetMode="External"/><Relationship Id="rId1674" Type="http://schemas.openxmlformats.org/officeDocument/2006/relationships/hyperlink" Target="https://learn.microsoft.com/azure/cloud-adoption-framework/ready/landing-zone/design-area/multi-tenant/considerations-recommendations" TargetMode="External"/><Relationship Id="rId1881" Type="http://schemas.openxmlformats.org/officeDocument/2006/relationships/hyperlink" Target="https://learn.microsoft.com/azure/cloud-adoption-framework/ready/landing-zone/design-area/multi-tenant/considerations-recommendations" TargetMode="External"/><Relationship Id="rId2518" Type="http://schemas.openxmlformats.org/officeDocument/2006/relationships/hyperlink" Target="https://learn.microsoft.com/azure/storage/common/storage-service-encryption" TargetMode="External"/><Relationship Id="rId2725" Type="http://schemas.openxmlformats.org/officeDocument/2006/relationships/hyperlink" Target="https://learn.microsoft.com/azure/ai-studio/how-to/prompt-flow" TargetMode="External"/><Relationship Id="rId904" Type="http://schemas.openxmlformats.org/officeDocument/2006/relationships/hyperlink" Target="https://learn.microsoft.com/azure/cloud-adoption-framework/ready/landing-zone/design-area/multi-tenant/considerations-recommendations" TargetMode="External"/><Relationship Id="rId1327" Type="http://schemas.openxmlformats.org/officeDocument/2006/relationships/hyperlink" Target="https://learn.microsoft.com/azure/cloud-adoption-framework/ready/landing-zone/design-area/multi-tenant/considerations-recommendations" TargetMode="External"/><Relationship Id="rId1534" Type="http://schemas.openxmlformats.org/officeDocument/2006/relationships/hyperlink" Target="https://learn.microsoft.com/azure/cloud-adoption-framework/ready/landing-zone/design-area/multi-tenant/considerations-recommendations" TargetMode="External"/><Relationship Id="rId1741" Type="http://schemas.openxmlformats.org/officeDocument/2006/relationships/hyperlink" Target="https://learn.microsoft.com/azure/cloud-adoption-framework/ready/landing-zone/design-area/multi-tenant/considerations-recommendations" TargetMode="External"/><Relationship Id="rId1979" Type="http://schemas.openxmlformats.org/officeDocument/2006/relationships/hyperlink" Target="https://learn.microsoft.com/azure/cloud-adoption-framework/ready/landing-zone/design-area/multi-tenant/considerations-recommendations" TargetMode="External"/><Relationship Id="rId33" Type="http://schemas.openxmlformats.org/officeDocument/2006/relationships/hyperlink" Target="https://learn.microsoft.com/azure/cloud-adoption-framework/ready/landing-zone/design-area/multi-tenant/considerations-recommendations" TargetMode="External"/><Relationship Id="rId1601" Type="http://schemas.openxmlformats.org/officeDocument/2006/relationships/hyperlink" Target="https://learn.microsoft.com/azure/cloud-adoption-framework/ready/landing-zone/design-area/multi-tenant/considerations-recommendations" TargetMode="External"/><Relationship Id="rId1839" Type="http://schemas.openxmlformats.org/officeDocument/2006/relationships/hyperlink" Target="https://learn.microsoft.com/azure/cloud-adoption-framework/ready/landing-zone/design-area/multi-tenant/considerations-recommendations" TargetMode="External"/><Relationship Id="rId182" Type="http://schemas.openxmlformats.org/officeDocument/2006/relationships/hyperlink" Target="https://learn.microsoft.com/azure/cloud-adoption-framework/ready/landing-zone/design-area/multi-tenant/considerations-recommendations" TargetMode="External"/><Relationship Id="rId1906" Type="http://schemas.openxmlformats.org/officeDocument/2006/relationships/hyperlink" Target="https://learn.microsoft.com/azure/cloud-adoption-framework/ready/landing-zone/design-area/multi-tenant/considerations-recommendations" TargetMode="External"/><Relationship Id="rId487" Type="http://schemas.openxmlformats.org/officeDocument/2006/relationships/hyperlink" Target="https://learn.microsoft.com/azure/cloud-adoption-framework/ready/landing-zone/design-area/multi-tenant/considerations-recommendations" TargetMode="External"/><Relationship Id="rId694" Type="http://schemas.openxmlformats.org/officeDocument/2006/relationships/hyperlink" Target="https://learn.microsoft.com/azure/cloud-adoption-framework/ready/landing-zone/design-area/multi-tenant/considerations-recommendations" TargetMode="External"/><Relationship Id="rId2070" Type="http://schemas.openxmlformats.org/officeDocument/2006/relationships/hyperlink" Target="https://learn.microsoft.com/azure/cloud-adoption-framework/ready/landing-zone/design-area/multi-tenant/considerations-recommendations" TargetMode="External"/><Relationship Id="rId2168" Type="http://schemas.openxmlformats.org/officeDocument/2006/relationships/hyperlink" Target="https://learn.microsoft.com/azure/cloud-adoption-framework/ready/landing-zone/design-area/multi-tenant/considerations-recommendations" TargetMode="External"/><Relationship Id="rId2375" Type="http://schemas.openxmlformats.org/officeDocument/2006/relationships/hyperlink" Target="https://learn.microsoft.com/mem/configmgr/protect/deploy-use/endpoint-protection" TargetMode="External"/><Relationship Id="rId347" Type="http://schemas.openxmlformats.org/officeDocument/2006/relationships/hyperlink" Target="https://learn.microsoft.com/azure/cloud-adoption-framework/ready/landing-zone/design-area/multi-tenant/considerations-recommendations" TargetMode="External"/><Relationship Id="rId999" Type="http://schemas.openxmlformats.org/officeDocument/2006/relationships/hyperlink" Target="https://learn.microsoft.com/azure/cloud-adoption-framework/ready/landing-zone/design-area/multi-tenant/considerations-recommendations" TargetMode="External"/><Relationship Id="rId1184" Type="http://schemas.openxmlformats.org/officeDocument/2006/relationships/hyperlink" Target="https://learn.microsoft.com/azure/cloud-adoption-framework/ready/landing-zone/design-area/multi-tenant/considerations-recommendations" TargetMode="External"/><Relationship Id="rId2028" Type="http://schemas.openxmlformats.org/officeDocument/2006/relationships/hyperlink" Target="https://learn.microsoft.com/azure/cloud-adoption-framework/ready/landing-zone/design-area/multi-tenant/considerations-recommendations" TargetMode="External"/><Relationship Id="rId2582" Type="http://schemas.openxmlformats.org/officeDocument/2006/relationships/hyperlink" Target="https://learn.microsoft.com/azure/web-application-firewall/afds/waf-front-door-best-practices" TargetMode="External"/><Relationship Id="rId554" Type="http://schemas.openxmlformats.org/officeDocument/2006/relationships/hyperlink" Target="https://learn.microsoft.com/azure/cloud-adoption-framework/ready/landing-zone/design-area/multi-tenant/considerations-recommendations" TargetMode="External"/><Relationship Id="rId761" Type="http://schemas.openxmlformats.org/officeDocument/2006/relationships/hyperlink" Target="https://learn.microsoft.com/azure/cloud-adoption-framework/ready/landing-zone/design-area/multi-tenant/considerations-recommendations" TargetMode="External"/><Relationship Id="rId859" Type="http://schemas.openxmlformats.org/officeDocument/2006/relationships/hyperlink" Target="https://learn.microsoft.com/azure/cloud-adoption-framework/ready/landing-zone/design-area/multi-tenant/considerations-recommendations" TargetMode="External"/><Relationship Id="rId1391" Type="http://schemas.openxmlformats.org/officeDocument/2006/relationships/hyperlink" Target="https://learn.microsoft.com/azure/cloud-adoption-framework/ready/landing-zone/design-area/multi-tenant/considerations-recommendations" TargetMode="External"/><Relationship Id="rId1489" Type="http://schemas.openxmlformats.org/officeDocument/2006/relationships/hyperlink" Target="https://learn.microsoft.com/azure/cloud-adoption-framework/ready/landing-zone/design-area/multi-tenant/considerations-recommendations" TargetMode="External"/><Relationship Id="rId1696" Type="http://schemas.openxmlformats.org/officeDocument/2006/relationships/hyperlink" Target="https://learn.microsoft.com/azure/cloud-adoption-framework/ready/landing-zone/design-area/multi-tenant/considerations-recommendations" TargetMode="External"/><Relationship Id="rId2235" Type="http://schemas.openxmlformats.org/officeDocument/2006/relationships/hyperlink" Target="https://learn.microsoft.com/azure/cloud-adoption-framework/ready/landing-zone/design-area/multi-tenant/considerations-recommendations" TargetMode="External"/><Relationship Id="rId2442" Type="http://schemas.openxmlformats.org/officeDocument/2006/relationships/hyperlink" Target="https://learn.microsoft.com/azure/app-service/networking-features" TargetMode="External"/><Relationship Id="rId207" Type="http://schemas.openxmlformats.org/officeDocument/2006/relationships/hyperlink" Target="https://learn.microsoft.com/azure/cloud-adoption-framework/ready/landing-zone/design-area/multi-tenant/considerations-recommendations" TargetMode="External"/><Relationship Id="rId414" Type="http://schemas.openxmlformats.org/officeDocument/2006/relationships/hyperlink" Target="https://learn.microsoft.com/azure/cloud-adoption-framework/ready/landing-zone/design-area/multi-tenant/considerations-recommendations" TargetMode="External"/><Relationship Id="rId621" Type="http://schemas.openxmlformats.org/officeDocument/2006/relationships/hyperlink" Target="https://learn.microsoft.com/azure/cloud-adoption-framework/ready/landing-zone/design-area/multi-tenant/considerations-recommendations" TargetMode="External"/><Relationship Id="rId1044" Type="http://schemas.openxmlformats.org/officeDocument/2006/relationships/hyperlink" Target="https://learn.microsoft.com/azure/cloud-adoption-framework/ready/landing-zone/design-area/multi-tenant/considerations-recommendations" TargetMode="External"/><Relationship Id="rId1251" Type="http://schemas.openxmlformats.org/officeDocument/2006/relationships/hyperlink" Target="https://learn.microsoft.com/azure/cloud-adoption-framework/ready/landing-zone/design-area/multi-tenant/considerations-recommendations" TargetMode="External"/><Relationship Id="rId1349" Type="http://schemas.openxmlformats.org/officeDocument/2006/relationships/hyperlink" Target="https://learn.microsoft.com/azure/cloud-adoption-framework/ready/landing-zone/design-area/multi-tenant/considerations-recommendations" TargetMode="External"/><Relationship Id="rId2302" Type="http://schemas.openxmlformats.org/officeDocument/2006/relationships/hyperlink" Target="https://learn.microsoft.com/azure/cloud-adoption-framework/ready/landing-zone/design-area/multi-tenant/considerations-recommendations" TargetMode="External"/><Relationship Id="rId2747" Type="http://schemas.openxmlformats.org/officeDocument/2006/relationships/hyperlink" Target="https://techcommunity.microsoft.com/t5/azure-architecture-blog/security-best-practices-for-genai-applications-openai-in-azure/ba-p/4027885" TargetMode="External"/><Relationship Id="rId719" Type="http://schemas.openxmlformats.org/officeDocument/2006/relationships/hyperlink" Target="https://learn.microsoft.com/azure/cloud-adoption-framework/ready/landing-zone/design-area/multi-tenant/considerations-recommendations" TargetMode="External"/><Relationship Id="rId926" Type="http://schemas.openxmlformats.org/officeDocument/2006/relationships/hyperlink" Target="https://learn.microsoft.com/azure/cloud-adoption-framework/ready/landing-zone/design-area/multi-tenant/considerations-recommendations" TargetMode="External"/><Relationship Id="rId1111" Type="http://schemas.openxmlformats.org/officeDocument/2006/relationships/hyperlink" Target="https://learn.microsoft.com/azure/cloud-adoption-framework/ready/landing-zone/design-area/multi-tenant/considerations-recommendations" TargetMode="External"/><Relationship Id="rId1556" Type="http://schemas.openxmlformats.org/officeDocument/2006/relationships/hyperlink" Target="https://learn.microsoft.com/azure/cloud-adoption-framework/ready/landing-zone/design-area/multi-tenant/considerations-recommendations" TargetMode="External"/><Relationship Id="rId1763" Type="http://schemas.openxmlformats.org/officeDocument/2006/relationships/hyperlink" Target="https://learn.microsoft.com/azure/cloud-adoption-framework/ready/landing-zone/design-area/multi-tenant/considerations-recommendations" TargetMode="External"/><Relationship Id="rId1970" Type="http://schemas.openxmlformats.org/officeDocument/2006/relationships/hyperlink" Target="https://learn.microsoft.com/azure/cloud-adoption-framework/ready/landing-zone/design-area/multi-tenant/considerations-recommendations" TargetMode="External"/><Relationship Id="rId2607" Type="http://schemas.openxmlformats.org/officeDocument/2006/relationships/hyperlink" Target="https://learn.microsoft.com/azure/dns/tutorial-dns-private-resolver-failover" TargetMode="External"/><Relationship Id="rId55" Type="http://schemas.openxmlformats.org/officeDocument/2006/relationships/hyperlink" Target="https://learn.microsoft.com/azure/cloud-adoption-framework/ready/landing-zone/design-area/multi-tenant/considerations-recommendations" TargetMode="External"/><Relationship Id="rId1209" Type="http://schemas.openxmlformats.org/officeDocument/2006/relationships/hyperlink" Target="https://learn.microsoft.com/azure/cloud-adoption-framework/ready/landing-zone/design-area/multi-tenant/considerations-recommendations" TargetMode="External"/><Relationship Id="rId1416" Type="http://schemas.openxmlformats.org/officeDocument/2006/relationships/hyperlink" Target="https://learn.microsoft.com/azure/cloud-adoption-framework/ready/landing-zone/design-area/multi-tenant/considerations-recommendations" TargetMode="External"/><Relationship Id="rId1623" Type="http://schemas.openxmlformats.org/officeDocument/2006/relationships/hyperlink" Target="https://learn.microsoft.com/azure/cloud-adoption-framework/ready/landing-zone/design-area/multi-tenant/considerations-recommendations" TargetMode="External"/><Relationship Id="rId1830" Type="http://schemas.openxmlformats.org/officeDocument/2006/relationships/hyperlink" Target="https://learn.microsoft.com/azure/cloud-adoption-framework/ready/landing-zone/design-area/multi-tenant/considerations-recommendations" TargetMode="External"/><Relationship Id="rId1928" Type="http://schemas.openxmlformats.org/officeDocument/2006/relationships/hyperlink" Target="https://learn.microsoft.com/azure/cloud-adoption-framework/ready/landing-zone/design-area/multi-tenant/considerations-recommendations" TargetMode="External"/><Relationship Id="rId2092" Type="http://schemas.openxmlformats.org/officeDocument/2006/relationships/hyperlink" Target="https://learn.microsoft.com/azure/cloud-adoption-framework/ready/landing-zone/design-area/multi-tenant/considerations-recommendations" TargetMode="External"/><Relationship Id="rId271" Type="http://schemas.openxmlformats.org/officeDocument/2006/relationships/hyperlink" Target="https://learn.microsoft.com/azure/cloud-adoption-framework/ready/landing-zone/design-area/multi-tenant/considerations-recommendations" TargetMode="External"/><Relationship Id="rId2397" Type="http://schemas.openxmlformats.org/officeDocument/2006/relationships/hyperlink" Target="https://learn.microsoft.com/azure/api-management/upgrade-and-scale" TargetMode="External"/><Relationship Id="rId131" Type="http://schemas.openxmlformats.org/officeDocument/2006/relationships/hyperlink" Target="https://learn.microsoft.com/azure/cloud-adoption-framework/ready/landing-zone/design-area/multi-tenant/considerations-recommendations" TargetMode="External"/><Relationship Id="rId369" Type="http://schemas.openxmlformats.org/officeDocument/2006/relationships/hyperlink" Target="https://learn.microsoft.com/azure/cloud-adoption-framework/ready/landing-zone/design-area/multi-tenant/considerations-recommendations" TargetMode="External"/><Relationship Id="rId576" Type="http://schemas.openxmlformats.org/officeDocument/2006/relationships/hyperlink" Target="https://learn.microsoft.com/azure/cloud-adoption-framework/ready/landing-zone/design-area/multi-tenant/considerations-recommendations" TargetMode="External"/><Relationship Id="rId783" Type="http://schemas.openxmlformats.org/officeDocument/2006/relationships/hyperlink" Target="https://learn.microsoft.com/azure/cloud-adoption-framework/ready/landing-zone/design-area/multi-tenant/considerations-recommendations" TargetMode="External"/><Relationship Id="rId990" Type="http://schemas.openxmlformats.org/officeDocument/2006/relationships/hyperlink" Target="https://learn.microsoft.com/azure/cloud-adoption-framework/ready/landing-zone/design-area/multi-tenant/considerations-recommendations" TargetMode="External"/><Relationship Id="rId2257" Type="http://schemas.openxmlformats.org/officeDocument/2006/relationships/hyperlink" Target="https://learn.microsoft.com/azure/cloud-adoption-framework/ready/landing-zone/design-area/multi-tenant/considerations-recommendations" TargetMode="External"/><Relationship Id="rId2464" Type="http://schemas.openxmlformats.org/officeDocument/2006/relationships/hyperlink" Target="https://learn.microsoft.com/learn/paths/manage-identity-and-access/" TargetMode="External"/><Relationship Id="rId2671" Type="http://schemas.openxmlformats.org/officeDocument/2006/relationships/hyperlink" Target="https://learn.microsoft.com/azure/architecture/guide/multitenant/service/openai" TargetMode="External"/><Relationship Id="rId229" Type="http://schemas.openxmlformats.org/officeDocument/2006/relationships/hyperlink" Target="https://learn.microsoft.com/azure/cloud-adoption-framework/ready/landing-zone/design-area/multi-tenant/considerations-recommendations" TargetMode="External"/><Relationship Id="rId436" Type="http://schemas.openxmlformats.org/officeDocument/2006/relationships/hyperlink" Target="https://learn.microsoft.com/azure/cloud-adoption-framework/ready/landing-zone/design-area/multi-tenant/considerations-recommendations" TargetMode="External"/><Relationship Id="rId643" Type="http://schemas.openxmlformats.org/officeDocument/2006/relationships/hyperlink" Target="https://learn.microsoft.com/azure/cloud-adoption-framework/ready/landing-zone/design-area/multi-tenant/considerations-recommendations" TargetMode="External"/><Relationship Id="rId1066" Type="http://schemas.openxmlformats.org/officeDocument/2006/relationships/hyperlink" Target="https://learn.microsoft.com/azure/cloud-adoption-framework/ready/landing-zone/design-area/multi-tenant/considerations-recommendations" TargetMode="External"/><Relationship Id="rId1273" Type="http://schemas.openxmlformats.org/officeDocument/2006/relationships/hyperlink" Target="https://learn.microsoft.com/azure/cloud-adoption-framework/ready/landing-zone/design-area/multi-tenant/considerations-recommendations" TargetMode="External"/><Relationship Id="rId1480" Type="http://schemas.openxmlformats.org/officeDocument/2006/relationships/hyperlink" Target="https://learn.microsoft.com/azure/cloud-adoption-framework/ready/landing-zone/design-area/multi-tenant/considerations-recommendations" TargetMode="External"/><Relationship Id="rId2117" Type="http://schemas.openxmlformats.org/officeDocument/2006/relationships/hyperlink" Target="https://learn.microsoft.com/azure/cloud-adoption-framework/ready/landing-zone/design-area/multi-tenant/considerations-recommendations" TargetMode="External"/><Relationship Id="rId2324" Type="http://schemas.openxmlformats.org/officeDocument/2006/relationships/hyperlink" Target="https://learn.microsoft.com/azure/cloud-adoption-framework/ready/landing-zone/design-area/multi-tenant/considerations-recommendations" TargetMode="External"/><Relationship Id="rId2769" Type="http://schemas.openxmlformats.org/officeDocument/2006/relationships/ctrlProp" Target="../ctrlProps/ctrlProp2.xml"/><Relationship Id="rId850" Type="http://schemas.openxmlformats.org/officeDocument/2006/relationships/hyperlink" Target="https://learn.microsoft.com/azure/cloud-adoption-framework/ready/landing-zone/design-area/multi-tenant/considerations-recommendations" TargetMode="External"/><Relationship Id="rId948" Type="http://schemas.openxmlformats.org/officeDocument/2006/relationships/hyperlink" Target="https://learn.microsoft.com/azure/cloud-adoption-framework/ready/landing-zone/design-area/multi-tenant/considerations-recommendations" TargetMode="External"/><Relationship Id="rId1133" Type="http://schemas.openxmlformats.org/officeDocument/2006/relationships/hyperlink" Target="https://learn.microsoft.com/azure/cloud-adoption-framework/ready/landing-zone/design-area/multi-tenant/considerations-recommendations" TargetMode="External"/><Relationship Id="rId1578" Type="http://schemas.openxmlformats.org/officeDocument/2006/relationships/hyperlink" Target="https://learn.microsoft.com/azure/cloud-adoption-framework/ready/landing-zone/design-area/multi-tenant/considerations-recommendations" TargetMode="External"/><Relationship Id="rId1785" Type="http://schemas.openxmlformats.org/officeDocument/2006/relationships/hyperlink" Target="https://learn.microsoft.com/azure/cloud-adoption-framework/ready/landing-zone/design-area/multi-tenant/considerations-recommendations" TargetMode="External"/><Relationship Id="rId1992" Type="http://schemas.openxmlformats.org/officeDocument/2006/relationships/hyperlink" Target="https://learn.microsoft.com/azure/cloud-adoption-framework/ready/landing-zone/design-area/multi-tenant/considerations-recommendations" TargetMode="External"/><Relationship Id="rId2531" Type="http://schemas.openxmlformats.org/officeDocument/2006/relationships/hyperlink" Target="https://learn.microsoft.com/learn/modules/explore-basic-services-identity-types/" TargetMode="External"/><Relationship Id="rId2629" Type="http://schemas.openxmlformats.org/officeDocument/2006/relationships/hyperlink" Target="https://learn.microsoft.com/azure/ai-foundry/model-inference/concepts/model-versions" TargetMode="External"/><Relationship Id="rId77" Type="http://schemas.openxmlformats.org/officeDocument/2006/relationships/hyperlink" Target="https://learn.microsoft.com/azure/cloud-adoption-framework/ready/landing-zone/design-area/multi-tenant/considerations-recommendations" TargetMode="External"/><Relationship Id="rId503" Type="http://schemas.openxmlformats.org/officeDocument/2006/relationships/hyperlink" Target="https://learn.microsoft.com/azure/cloud-adoption-framework/ready/landing-zone/design-area/multi-tenant/considerations-recommendations" TargetMode="External"/><Relationship Id="rId710" Type="http://schemas.openxmlformats.org/officeDocument/2006/relationships/hyperlink" Target="https://learn.microsoft.com/azure/cloud-adoption-framework/ready/landing-zone/design-area/multi-tenant/considerations-recommendations" TargetMode="External"/><Relationship Id="rId808" Type="http://schemas.openxmlformats.org/officeDocument/2006/relationships/hyperlink" Target="https://learn.microsoft.com/azure/cloud-adoption-framework/ready/landing-zone/design-area/multi-tenant/considerations-recommendations" TargetMode="External"/><Relationship Id="rId1340" Type="http://schemas.openxmlformats.org/officeDocument/2006/relationships/hyperlink" Target="https://learn.microsoft.com/azure/cloud-adoption-framework/ready/landing-zone/design-area/multi-tenant/considerations-recommendations" TargetMode="External"/><Relationship Id="rId1438" Type="http://schemas.openxmlformats.org/officeDocument/2006/relationships/hyperlink" Target="https://learn.microsoft.com/azure/cloud-adoption-framework/ready/landing-zone/design-area/multi-tenant/considerations-recommendations" TargetMode="External"/><Relationship Id="rId1645" Type="http://schemas.openxmlformats.org/officeDocument/2006/relationships/hyperlink" Target="https://learn.microsoft.com/azure/cloud-adoption-framework/ready/landing-zone/design-area/multi-tenant/considerations-recommendations" TargetMode="External"/><Relationship Id="rId1200" Type="http://schemas.openxmlformats.org/officeDocument/2006/relationships/hyperlink" Target="https://learn.microsoft.com/azure/cloud-adoption-framework/ready/landing-zone/design-area/multi-tenant/considerations-recommendations" TargetMode="External"/><Relationship Id="rId1852" Type="http://schemas.openxmlformats.org/officeDocument/2006/relationships/hyperlink" Target="https://learn.microsoft.com/azure/cloud-adoption-framework/ready/landing-zone/design-area/multi-tenant/considerations-recommendations" TargetMode="External"/><Relationship Id="rId1505" Type="http://schemas.openxmlformats.org/officeDocument/2006/relationships/hyperlink" Target="https://learn.microsoft.com/azure/cloud-adoption-framework/ready/landing-zone/design-area/multi-tenant/considerations-recommendations" TargetMode="External"/><Relationship Id="rId1712" Type="http://schemas.openxmlformats.org/officeDocument/2006/relationships/hyperlink" Target="https://learn.microsoft.com/azure/cloud-adoption-framework/ready/landing-zone/design-area/multi-tenant/considerations-recommendations" TargetMode="External"/><Relationship Id="rId293" Type="http://schemas.openxmlformats.org/officeDocument/2006/relationships/hyperlink" Target="https://learn.microsoft.com/azure/cloud-adoption-framework/ready/landing-zone/design-area/multi-tenant/considerations-recommendations" TargetMode="External"/><Relationship Id="rId2181" Type="http://schemas.openxmlformats.org/officeDocument/2006/relationships/hyperlink" Target="https://learn.microsoft.com/azure/cloud-adoption-framework/ready/landing-zone/design-area/multi-tenant/considerations-recommendations" TargetMode="External"/><Relationship Id="rId153" Type="http://schemas.openxmlformats.org/officeDocument/2006/relationships/hyperlink" Target="https://learn.microsoft.com/azure/cloud-adoption-framework/ready/landing-zone/design-area/multi-tenant/considerations-recommendations" TargetMode="External"/><Relationship Id="rId360" Type="http://schemas.openxmlformats.org/officeDocument/2006/relationships/hyperlink" Target="https://learn.microsoft.com/azure/cloud-adoption-framework/ready/landing-zone/design-area/multi-tenant/considerations-recommendations" TargetMode="External"/><Relationship Id="rId598" Type="http://schemas.openxmlformats.org/officeDocument/2006/relationships/hyperlink" Target="https://learn.microsoft.com/azure/cloud-adoption-framework/ready/landing-zone/design-area/multi-tenant/considerations-recommendations" TargetMode="External"/><Relationship Id="rId2041" Type="http://schemas.openxmlformats.org/officeDocument/2006/relationships/hyperlink" Target="https://learn.microsoft.com/azure/cloud-adoption-framework/ready/landing-zone/design-area/multi-tenant/considerations-recommendations" TargetMode="External"/><Relationship Id="rId2279" Type="http://schemas.openxmlformats.org/officeDocument/2006/relationships/hyperlink" Target="https://learn.microsoft.com/azure/cloud-adoption-framework/ready/landing-zone/design-area/multi-tenant/considerations-recommendations" TargetMode="External"/><Relationship Id="rId2486" Type="http://schemas.openxmlformats.org/officeDocument/2006/relationships/hyperlink" Target="https://learn.microsoft.com/azure/spring-apps/diagnostic-services" TargetMode="External"/><Relationship Id="rId2693" Type="http://schemas.openxmlformats.org/officeDocument/2006/relationships/hyperlink" Target="https://learn.microsoft.com/azure/ai-services/openai/how-to/content-filters" TargetMode="External"/><Relationship Id="rId220" Type="http://schemas.openxmlformats.org/officeDocument/2006/relationships/hyperlink" Target="https://learn.microsoft.com/azure/cloud-adoption-framework/ready/landing-zone/design-area/multi-tenant/considerations-recommendations" TargetMode="External"/><Relationship Id="rId458" Type="http://schemas.openxmlformats.org/officeDocument/2006/relationships/hyperlink" Target="https://learn.microsoft.com/azure/cloud-adoption-framework/ready/landing-zone/design-area/multi-tenant/considerations-recommendations" TargetMode="External"/><Relationship Id="rId665" Type="http://schemas.openxmlformats.org/officeDocument/2006/relationships/hyperlink" Target="https://learn.microsoft.com/azure/cloud-adoption-framework/ready/landing-zone/design-area/multi-tenant/considerations-recommendations" TargetMode="External"/><Relationship Id="rId872" Type="http://schemas.openxmlformats.org/officeDocument/2006/relationships/hyperlink" Target="https://learn.microsoft.com/azure/cloud-adoption-framework/ready/landing-zone/design-area/multi-tenant/considerations-recommendations" TargetMode="External"/><Relationship Id="rId1088" Type="http://schemas.openxmlformats.org/officeDocument/2006/relationships/hyperlink" Target="https://learn.microsoft.com/azure/cloud-adoption-framework/ready/landing-zone/design-area/multi-tenant/considerations-recommendations" TargetMode="External"/><Relationship Id="rId1295" Type="http://schemas.openxmlformats.org/officeDocument/2006/relationships/hyperlink" Target="https://learn.microsoft.com/azure/cloud-adoption-framework/ready/landing-zone/design-area/multi-tenant/considerations-recommendations" TargetMode="External"/><Relationship Id="rId2139" Type="http://schemas.openxmlformats.org/officeDocument/2006/relationships/hyperlink" Target="https://learn.microsoft.com/azure/cloud-adoption-framework/ready/landing-zone/design-area/multi-tenant/considerations-recommendations" TargetMode="External"/><Relationship Id="rId2346" Type="http://schemas.openxmlformats.org/officeDocument/2006/relationships/hyperlink" Target="https://learn.microsoft.com/azure/cloud-adoption-framework/ready/landing-zone/design-area/multi-tenant/considerations-recommendations" TargetMode="External"/><Relationship Id="rId2553" Type="http://schemas.openxmlformats.org/officeDocument/2006/relationships/hyperlink" Target="https://learn.microsoft.com/azure/web-application-firewall/ag/ag-overview" TargetMode="External"/><Relationship Id="rId2760" Type="http://schemas.openxmlformats.org/officeDocument/2006/relationships/hyperlink" Target="https://learn.microsoft.com/azure/ai-services/openai/how-to/managed-identity" TargetMode="External"/><Relationship Id="rId318" Type="http://schemas.openxmlformats.org/officeDocument/2006/relationships/hyperlink" Target="https://learn.microsoft.com/azure/cloud-adoption-framework/ready/landing-zone/design-area/multi-tenant/considerations-recommendations" TargetMode="External"/><Relationship Id="rId525" Type="http://schemas.openxmlformats.org/officeDocument/2006/relationships/hyperlink" Target="https://learn.microsoft.com/azure/cloud-adoption-framework/ready/landing-zone/design-area/multi-tenant/considerations-recommendations" TargetMode="External"/><Relationship Id="rId732" Type="http://schemas.openxmlformats.org/officeDocument/2006/relationships/hyperlink" Target="https://learn.microsoft.com/azure/cloud-adoption-framework/ready/landing-zone/design-area/multi-tenant/considerations-recommendations" TargetMode="External"/><Relationship Id="rId1155" Type="http://schemas.openxmlformats.org/officeDocument/2006/relationships/hyperlink" Target="https://learn.microsoft.com/azure/cloud-adoption-framework/ready/landing-zone/design-area/multi-tenant/considerations-recommendations" TargetMode="External"/><Relationship Id="rId1362" Type="http://schemas.openxmlformats.org/officeDocument/2006/relationships/hyperlink" Target="https://learn.microsoft.com/azure/cloud-adoption-framework/ready/landing-zone/design-area/multi-tenant/considerations-recommendations" TargetMode="External"/><Relationship Id="rId2206" Type="http://schemas.openxmlformats.org/officeDocument/2006/relationships/hyperlink" Target="https://learn.microsoft.com/azure/cloud-adoption-framework/ready/landing-zone/design-area/multi-tenant/considerations-recommendations" TargetMode="External"/><Relationship Id="rId2413" Type="http://schemas.openxmlformats.org/officeDocument/2006/relationships/hyperlink" Target="https://learn.microsoft.com/security/benchmark/azure/baselines/api-management-security-baseline?toc=%2Fazure%2Fapi-management%2F&amp;bc=%2Fazure%2Fapi-management%2Fbreadcrumb%2Ftoc.json" TargetMode="External"/><Relationship Id="rId2620" Type="http://schemas.openxmlformats.org/officeDocument/2006/relationships/hyperlink" Target="https://github.com/Azure/apim-landing-zone-accelerator/blob/main/scenarios/workload-genai/README.md" TargetMode="External"/><Relationship Id="rId99" Type="http://schemas.openxmlformats.org/officeDocument/2006/relationships/hyperlink" Target="https://learn.microsoft.com/azure/cloud-adoption-framework/ready/landing-zone/design-area/multi-tenant/considerations-recommendations" TargetMode="External"/><Relationship Id="rId1015" Type="http://schemas.openxmlformats.org/officeDocument/2006/relationships/hyperlink" Target="https://learn.microsoft.com/azure/cloud-adoption-framework/ready/landing-zone/design-area/multi-tenant/considerations-recommendations" TargetMode="External"/><Relationship Id="rId1222" Type="http://schemas.openxmlformats.org/officeDocument/2006/relationships/hyperlink" Target="https://learn.microsoft.com/azure/cloud-adoption-framework/ready/landing-zone/design-area/multi-tenant/considerations-recommendations" TargetMode="External"/><Relationship Id="rId1667" Type="http://schemas.openxmlformats.org/officeDocument/2006/relationships/hyperlink" Target="https://learn.microsoft.com/azure/cloud-adoption-framework/ready/landing-zone/design-area/multi-tenant/considerations-recommendations" TargetMode="External"/><Relationship Id="rId1874" Type="http://schemas.openxmlformats.org/officeDocument/2006/relationships/hyperlink" Target="https://learn.microsoft.com/azure/cloud-adoption-framework/ready/landing-zone/design-area/multi-tenant/considerations-recommendations" TargetMode="External"/><Relationship Id="rId2718" Type="http://schemas.openxmlformats.org/officeDocument/2006/relationships/hyperlink" Target="https://learn.microsoft.com/azure/ai-services/openai/concepts/red-teaming" TargetMode="External"/><Relationship Id="rId1527" Type="http://schemas.openxmlformats.org/officeDocument/2006/relationships/hyperlink" Target="https://learn.microsoft.com/azure/cloud-adoption-framework/ready/landing-zone/design-area/multi-tenant/considerations-recommendations" TargetMode="External"/><Relationship Id="rId1734" Type="http://schemas.openxmlformats.org/officeDocument/2006/relationships/hyperlink" Target="https://learn.microsoft.com/azure/cloud-adoption-framework/ready/landing-zone/design-area/multi-tenant/considerations-recommendations" TargetMode="External"/><Relationship Id="rId1941" Type="http://schemas.openxmlformats.org/officeDocument/2006/relationships/hyperlink" Target="https://learn.microsoft.com/azure/cloud-adoption-framework/ready/landing-zone/design-area/multi-tenant/considerations-recommendations" TargetMode="External"/><Relationship Id="rId26" Type="http://schemas.openxmlformats.org/officeDocument/2006/relationships/hyperlink" Target="https://learn.microsoft.com/azure/cloud-adoption-framework/ready/landing-zone/design-area/multi-tenant/considerations-recommendations" TargetMode="External"/><Relationship Id="rId175" Type="http://schemas.openxmlformats.org/officeDocument/2006/relationships/hyperlink" Target="https://learn.microsoft.com/azure/cloud-adoption-framework/ready/landing-zone/design-area/multi-tenant/considerations-recommendations" TargetMode="External"/><Relationship Id="rId1801" Type="http://schemas.openxmlformats.org/officeDocument/2006/relationships/hyperlink" Target="https://learn.microsoft.com/azure/cloud-adoption-framework/ready/landing-zone/design-area/multi-tenant/considerations-recommendations" TargetMode="External"/><Relationship Id="rId382" Type="http://schemas.openxmlformats.org/officeDocument/2006/relationships/hyperlink" Target="https://learn.microsoft.com/azure/cloud-adoption-framework/ready/landing-zone/design-area/multi-tenant/considerations-recommendations" TargetMode="External"/><Relationship Id="rId687" Type="http://schemas.openxmlformats.org/officeDocument/2006/relationships/hyperlink" Target="https://learn.microsoft.com/azure/cloud-adoption-framework/ready/landing-zone/design-area/multi-tenant/considerations-recommendations" TargetMode="External"/><Relationship Id="rId2063" Type="http://schemas.openxmlformats.org/officeDocument/2006/relationships/hyperlink" Target="https://learn.microsoft.com/azure/cloud-adoption-framework/ready/landing-zone/design-area/multi-tenant/considerations-recommendations" TargetMode="External"/><Relationship Id="rId2270" Type="http://schemas.openxmlformats.org/officeDocument/2006/relationships/hyperlink" Target="https://learn.microsoft.com/azure/cloud-adoption-framework/ready/landing-zone/design-area/multi-tenant/considerations-recommendations" TargetMode="External"/><Relationship Id="rId2368" Type="http://schemas.openxmlformats.org/officeDocument/2006/relationships/hyperlink" Target="https://learn.microsoft.com/azure/key-vault/general/best-practices" TargetMode="External"/><Relationship Id="rId242" Type="http://schemas.openxmlformats.org/officeDocument/2006/relationships/hyperlink" Target="https://learn.microsoft.com/azure/cloud-adoption-framework/ready/landing-zone/design-area/multi-tenant/considerations-recommendations" TargetMode="External"/><Relationship Id="rId894" Type="http://schemas.openxmlformats.org/officeDocument/2006/relationships/hyperlink" Target="https://learn.microsoft.com/azure/cloud-adoption-framework/ready/landing-zone/design-area/multi-tenant/considerations-recommendations" TargetMode="External"/><Relationship Id="rId1177" Type="http://schemas.openxmlformats.org/officeDocument/2006/relationships/hyperlink" Target="https://learn.microsoft.com/azure/cloud-adoption-framework/ready/landing-zone/design-area/multi-tenant/considerations-recommendations" TargetMode="External"/><Relationship Id="rId2130" Type="http://schemas.openxmlformats.org/officeDocument/2006/relationships/hyperlink" Target="https://learn.microsoft.com/azure/cloud-adoption-framework/ready/landing-zone/design-area/multi-tenant/considerations-recommendations" TargetMode="External"/><Relationship Id="rId2575" Type="http://schemas.openxmlformats.org/officeDocument/2006/relationships/hyperlink" Target="https://learn.microsoft.com/azure/web-application-firewall/afds/waf-front-door-best-practices" TargetMode="External"/><Relationship Id="rId102" Type="http://schemas.openxmlformats.org/officeDocument/2006/relationships/hyperlink" Target="https://learn.microsoft.com/azure/cloud-adoption-framework/ready/landing-zone/design-area/multi-tenant/considerations-recommendations" TargetMode="External"/><Relationship Id="rId547" Type="http://schemas.openxmlformats.org/officeDocument/2006/relationships/hyperlink" Target="https://learn.microsoft.com/azure/cloud-adoption-framework/ready/landing-zone/design-area/multi-tenant/considerations-recommendations" TargetMode="External"/><Relationship Id="rId754" Type="http://schemas.openxmlformats.org/officeDocument/2006/relationships/hyperlink" Target="https://learn.microsoft.com/azure/cloud-adoption-framework/ready/landing-zone/design-area/multi-tenant/considerations-recommendations" TargetMode="External"/><Relationship Id="rId961" Type="http://schemas.openxmlformats.org/officeDocument/2006/relationships/hyperlink" Target="https://learn.microsoft.com/azure/cloud-adoption-framework/ready/landing-zone/design-area/multi-tenant/considerations-recommendations" TargetMode="External"/><Relationship Id="rId1384" Type="http://schemas.openxmlformats.org/officeDocument/2006/relationships/hyperlink" Target="https://learn.microsoft.com/azure/cloud-adoption-framework/ready/landing-zone/design-area/multi-tenant/considerations-recommendations" TargetMode="External"/><Relationship Id="rId1591" Type="http://schemas.openxmlformats.org/officeDocument/2006/relationships/hyperlink" Target="https://learn.microsoft.com/azure/cloud-adoption-framework/ready/landing-zone/design-area/multi-tenant/considerations-recommendations" TargetMode="External"/><Relationship Id="rId1689" Type="http://schemas.openxmlformats.org/officeDocument/2006/relationships/hyperlink" Target="https://learn.microsoft.com/azure/cloud-adoption-framework/ready/landing-zone/design-area/multi-tenant/considerations-recommendations" TargetMode="External"/><Relationship Id="rId2228" Type="http://schemas.openxmlformats.org/officeDocument/2006/relationships/hyperlink" Target="https://learn.microsoft.com/azure/cloud-adoption-framework/ready/landing-zone/design-area/multi-tenant/considerations-recommendations" TargetMode="External"/><Relationship Id="rId2435" Type="http://schemas.openxmlformats.org/officeDocument/2006/relationships/hyperlink" Target="https://learn.microsoft.com/azure/app-service/configure-custom-container" TargetMode="External"/><Relationship Id="rId2642" Type="http://schemas.openxmlformats.org/officeDocument/2006/relationships/hyperlink" Target="https://learn.microsoft.com/azure/search/search-reliability" TargetMode="External"/><Relationship Id="rId90" Type="http://schemas.openxmlformats.org/officeDocument/2006/relationships/hyperlink" Target="https://learn.microsoft.com/azure/cloud-adoption-framework/ready/landing-zone/design-area/multi-tenant/considerations-recommendations" TargetMode="External"/><Relationship Id="rId407" Type="http://schemas.openxmlformats.org/officeDocument/2006/relationships/hyperlink" Target="https://learn.microsoft.com/azure/cloud-adoption-framework/ready/landing-zone/design-area/multi-tenant/considerations-recommendations" TargetMode="External"/><Relationship Id="rId614" Type="http://schemas.openxmlformats.org/officeDocument/2006/relationships/hyperlink" Target="https://learn.microsoft.com/azure/cloud-adoption-framework/ready/landing-zone/design-area/multi-tenant/considerations-recommendations" TargetMode="External"/><Relationship Id="rId821" Type="http://schemas.openxmlformats.org/officeDocument/2006/relationships/hyperlink" Target="https://learn.microsoft.com/azure/cloud-adoption-framework/ready/landing-zone/design-area/multi-tenant/considerations-recommendations" TargetMode="External"/><Relationship Id="rId1037" Type="http://schemas.openxmlformats.org/officeDocument/2006/relationships/hyperlink" Target="https://learn.microsoft.com/azure/cloud-adoption-framework/ready/landing-zone/design-area/multi-tenant/considerations-recommendations" TargetMode="External"/><Relationship Id="rId1244" Type="http://schemas.openxmlformats.org/officeDocument/2006/relationships/hyperlink" Target="https://learn.microsoft.com/azure/cloud-adoption-framework/ready/landing-zone/design-area/multi-tenant/considerations-recommendations" TargetMode="External"/><Relationship Id="rId1451" Type="http://schemas.openxmlformats.org/officeDocument/2006/relationships/hyperlink" Target="https://learn.microsoft.com/azure/cloud-adoption-framework/ready/landing-zone/design-area/multi-tenant/considerations-recommendations" TargetMode="External"/><Relationship Id="rId1896" Type="http://schemas.openxmlformats.org/officeDocument/2006/relationships/hyperlink" Target="https://learn.microsoft.com/azure/cloud-adoption-framework/ready/landing-zone/design-area/multi-tenant/considerations-recommendations" TargetMode="External"/><Relationship Id="rId2502" Type="http://schemas.openxmlformats.org/officeDocument/2006/relationships/hyperlink" Target="https://learn.microsoft.com/azure/storage/common/storage-sas-overview" TargetMode="External"/><Relationship Id="rId919" Type="http://schemas.openxmlformats.org/officeDocument/2006/relationships/hyperlink" Target="https://learn.microsoft.com/azure/cloud-adoption-framework/ready/landing-zone/design-area/multi-tenant/considerations-recommendations" TargetMode="External"/><Relationship Id="rId1104" Type="http://schemas.openxmlformats.org/officeDocument/2006/relationships/hyperlink" Target="https://learn.microsoft.com/azure/cloud-adoption-framework/ready/landing-zone/design-area/multi-tenant/considerations-recommendations" TargetMode="External"/><Relationship Id="rId1311" Type="http://schemas.openxmlformats.org/officeDocument/2006/relationships/hyperlink" Target="https://learn.microsoft.com/azure/cloud-adoption-framework/ready/landing-zone/design-area/multi-tenant/considerations-recommendations" TargetMode="External"/><Relationship Id="rId1549" Type="http://schemas.openxmlformats.org/officeDocument/2006/relationships/hyperlink" Target="https://learn.microsoft.com/azure/cloud-adoption-framework/ready/landing-zone/design-area/multi-tenant/considerations-recommendations" TargetMode="External"/><Relationship Id="rId1756" Type="http://schemas.openxmlformats.org/officeDocument/2006/relationships/hyperlink" Target="https://learn.microsoft.com/azure/cloud-adoption-framework/ready/landing-zone/design-area/multi-tenant/considerations-recommendations" TargetMode="External"/><Relationship Id="rId1963" Type="http://schemas.openxmlformats.org/officeDocument/2006/relationships/hyperlink" Target="https://learn.microsoft.com/azure/cloud-adoption-framework/ready/landing-zone/design-area/multi-tenant/considerations-recommendations" TargetMode="External"/><Relationship Id="rId48" Type="http://schemas.openxmlformats.org/officeDocument/2006/relationships/hyperlink" Target="https://learn.microsoft.com/azure/cloud-adoption-framework/ready/landing-zone/design-area/multi-tenant/considerations-recommendations" TargetMode="External"/><Relationship Id="rId1409" Type="http://schemas.openxmlformats.org/officeDocument/2006/relationships/hyperlink" Target="https://learn.microsoft.com/azure/cloud-adoption-framework/ready/landing-zone/design-area/multi-tenant/considerations-recommendations" TargetMode="External"/><Relationship Id="rId1616" Type="http://schemas.openxmlformats.org/officeDocument/2006/relationships/hyperlink" Target="https://learn.microsoft.com/azure/cloud-adoption-framework/ready/landing-zone/design-area/multi-tenant/considerations-recommendations" TargetMode="External"/><Relationship Id="rId1823" Type="http://schemas.openxmlformats.org/officeDocument/2006/relationships/hyperlink" Target="https://learn.microsoft.com/azure/cloud-adoption-framework/ready/landing-zone/design-area/multi-tenant/considerations-recommendations" TargetMode="External"/><Relationship Id="rId197" Type="http://schemas.openxmlformats.org/officeDocument/2006/relationships/hyperlink" Target="https://learn.microsoft.com/azure/cloud-adoption-framework/ready/landing-zone/design-area/multi-tenant/considerations-recommendations" TargetMode="External"/><Relationship Id="rId2085" Type="http://schemas.openxmlformats.org/officeDocument/2006/relationships/hyperlink" Target="https://learn.microsoft.com/azure/cloud-adoption-framework/ready/landing-zone/design-area/multi-tenant/considerations-recommendations" TargetMode="External"/><Relationship Id="rId2292" Type="http://schemas.openxmlformats.org/officeDocument/2006/relationships/hyperlink" Target="https://learn.microsoft.com/azure/cloud-adoption-framework/ready/landing-zone/design-area/multi-tenant/considerations-recommendations" TargetMode="External"/><Relationship Id="rId264" Type="http://schemas.openxmlformats.org/officeDocument/2006/relationships/hyperlink" Target="https://learn.microsoft.com/azure/cloud-adoption-framework/ready/landing-zone/design-area/multi-tenant/considerations-recommendations" TargetMode="External"/><Relationship Id="rId471" Type="http://schemas.openxmlformats.org/officeDocument/2006/relationships/hyperlink" Target="https://learn.microsoft.com/azure/cloud-adoption-framework/ready/landing-zone/design-area/multi-tenant/considerations-recommendations" TargetMode="External"/><Relationship Id="rId2152" Type="http://schemas.openxmlformats.org/officeDocument/2006/relationships/hyperlink" Target="https://learn.microsoft.com/azure/cloud-adoption-framework/ready/landing-zone/design-area/multi-tenant/considerations-recommendations" TargetMode="External"/><Relationship Id="rId2597" Type="http://schemas.openxmlformats.org/officeDocument/2006/relationships/hyperlink" Target="https://learn.microsoft.com/azure/virtual-machines/capacity-reservation-overview" TargetMode="External"/><Relationship Id="rId124" Type="http://schemas.openxmlformats.org/officeDocument/2006/relationships/hyperlink" Target="https://learn.microsoft.com/azure/cloud-adoption-framework/ready/landing-zone/design-area/multi-tenant/considerations-recommendations" TargetMode="External"/><Relationship Id="rId569" Type="http://schemas.openxmlformats.org/officeDocument/2006/relationships/hyperlink" Target="https://learn.microsoft.com/azure/cloud-adoption-framework/ready/landing-zone/design-area/multi-tenant/considerations-recommendations" TargetMode="External"/><Relationship Id="rId776" Type="http://schemas.openxmlformats.org/officeDocument/2006/relationships/hyperlink" Target="https://learn.microsoft.com/azure/cloud-adoption-framework/ready/landing-zone/design-area/multi-tenant/considerations-recommendations" TargetMode="External"/><Relationship Id="rId983" Type="http://schemas.openxmlformats.org/officeDocument/2006/relationships/hyperlink" Target="https://learn.microsoft.com/azure/cloud-adoption-framework/ready/landing-zone/design-area/multi-tenant/considerations-recommendations" TargetMode="External"/><Relationship Id="rId1199" Type="http://schemas.openxmlformats.org/officeDocument/2006/relationships/hyperlink" Target="https://learn.microsoft.com/azure/cloud-adoption-framework/ready/landing-zone/design-area/multi-tenant/considerations-recommendations" TargetMode="External"/><Relationship Id="rId2457" Type="http://schemas.openxmlformats.org/officeDocument/2006/relationships/hyperlink" Target="https://learn.microsoft.com/azure/service-bus-messaging/service-bus-sas" TargetMode="External"/><Relationship Id="rId2664" Type="http://schemas.openxmlformats.org/officeDocument/2006/relationships/hyperlink" Target="https://learn.microsoft.com/azure/ai-services/openai/concepts/advanced-prompt-engineering?pivots=programming-language-chat-completions" TargetMode="External"/><Relationship Id="rId331" Type="http://schemas.openxmlformats.org/officeDocument/2006/relationships/hyperlink" Target="https://learn.microsoft.com/azure/cloud-adoption-framework/ready/landing-zone/design-area/multi-tenant/considerations-recommendations" TargetMode="External"/><Relationship Id="rId429" Type="http://schemas.openxmlformats.org/officeDocument/2006/relationships/hyperlink" Target="https://learn.microsoft.com/azure/cloud-adoption-framework/ready/landing-zone/design-area/multi-tenant/considerations-recommendations" TargetMode="External"/><Relationship Id="rId636" Type="http://schemas.openxmlformats.org/officeDocument/2006/relationships/hyperlink" Target="https://learn.microsoft.com/azure/cloud-adoption-framework/ready/landing-zone/design-area/multi-tenant/considerations-recommendations" TargetMode="External"/><Relationship Id="rId1059" Type="http://schemas.openxmlformats.org/officeDocument/2006/relationships/hyperlink" Target="https://learn.microsoft.com/azure/cloud-adoption-framework/ready/landing-zone/design-area/multi-tenant/considerations-recommendations" TargetMode="External"/><Relationship Id="rId1266" Type="http://schemas.openxmlformats.org/officeDocument/2006/relationships/hyperlink" Target="https://learn.microsoft.com/azure/cloud-adoption-framework/ready/landing-zone/design-area/multi-tenant/considerations-recommendations" TargetMode="External"/><Relationship Id="rId1473" Type="http://schemas.openxmlformats.org/officeDocument/2006/relationships/hyperlink" Target="https://learn.microsoft.com/azure/cloud-adoption-framework/ready/landing-zone/design-area/multi-tenant/considerations-recommendations" TargetMode="External"/><Relationship Id="rId2012" Type="http://schemas.openxmlformats.org/officeDocument/2006/relationships/hyperlink" Target="https://learn.microsoft.com/azure/cloud-adoption-framework/ready/landing-zone/design-area/multi-tenant/considerations-recommendations" TargetMode="External"/><Relationship Id="rId2317" Type="http://schemas.openxmlformats.org/officeDocument/2006/relationships/hyperlink" Target="https://learn.microsoft.com/azure/cloud-adoption-framework/ready/landing-zone/design-area/multi-tenant/considerations-recommendations" TargetMode="External"/><Relationship Id="rId843" Type="http://schemas.openxmlformats.org/officeDocument/2006/relationships/hyperlink" Target="https://learn.microsoft.com/azure/cloud-adoption-framework/ready/landing-zone/design-area/multi-tenant/considerations-recommendations" TargetMode="External"/><Relationship Id="rId1126" Type="http://schemas.openxmlformats.org/officeDocument/2006/relationships/hyperlink" Target="https://learn.microsoft.com/azure/cloud-adoption-framework/ready/landing-zone/design-area/multi-tenant/considerations-recommendations" TargetMode="External"/><Relationship Id="rId1680" Type="http://schemas.openxmlformats.org/officeDocument/2006/relationships/hyperlink" Target="https://learn.microsoft.com/azure/cloud-adoption-framework/ready/landing-zone/design-area/multi-tenant/considerations-recommendations" TargetMode="External"/><Relationship Id="rId1778" Type="http://schemas.openxmlformats.org/officeDocument/2006/relationships/hyperlink" Target="https://learn.microsoft.com/azure/cloud-adoption-framework/ready/landing-zone/design-area/multi-tenant/considerations-recommendations" TargetMode="External"/><Relationship Id="rId1985" Type="http://schemas.openxmlformats.org/officeDocument/2006/relationships/hyperlink" Target="https://learn.microsoft.com/azure/cloud-adoption-framework/ready/landing-zone/design-area/multi-tenant/considerations-recommendations" TargetMode="External"/><Relationship Id="rId2524" Type="http://schemas.openxmlformats.org/officeDocument/2006/relationships/hyperlink" Target="https://learn.microsoft.com/azure/event-hubs/transport-layer-security-configure-minimum-version" TargetMode="External"/><Relationship Id="rId2731" Type="http://schemas.openxmlformats.org/officeDocument/2006/relationships/hyperlink" Target="https://learn.microsoft.com/azure/machine-learning/how-to-high-availability-machine-learning" TargetMode="External"/><Relationship Id="rId703" Type="http://schemas.openxmlformats.org/officeDocument/2006/relationships/hyperlink" Target="https://learn.microsoft.com/azure/cloud-adoption-framework/ready/landing-zone/design-area/multi-tenant/considerations-recommendations" TargetMode="External"/><Relationship Id="rId910" Type="http://schemas.openxmlformats.org/officeDocument/2006/relationships/hyperlink" Target="https://learn.microsoft.com/azure/cloud-adoption-framework/ready/landing-zone/design-area/multi-tenant/considerations-recommendations" TargetMode="External"/><Relationship Id="rId1333" Type="http://schemas.openxmlformats.org/officeDocument/2006/relationships/hyperlink" Target="https://learn.microsoft.com/azure/cloud-adoption-framework/ready/landing-zone/design-area/multi-tenant/considerations-recommendations" TargetMode="External"/><Relationship Id="rId1540" Type="http://schemas.openxmlformats.org/officeDocument/2006/relationships/hyperlink" Target="https://learn.microsoft.com/azure/cloud-adoption-framework/ready/landing-zone/design-area/multi-tenant/considerations-recommendations" TargetMode="External"/><Relationship Id="rId1638" Type="http://schemas.openxmlformats.org/officeDocument/2006/relationships/hyperlink" Target="https://learn.microsoft.com/azure/cloud-adoption-framework/ready/landing-zone/design-area/multi-tenant/considerations-recommendations" TargetMode="External"/><Relationship Id="rId1400" Type="http://schemas.openxmlformats.org/officeDocument/2006/relationships/hyperlink" Target="https://learn.microsoft.com/azure/cloud-adoption-framework/ready/landing-zone/design-area/multi-tenant/considerations-recommendations" TargetMode="External"/><Relationship Id="rId1845" Type="http://schemas.openxmlformats.org/officeDocument/2006/relationships/hyperlink" Target="https://learn.microsoft.com/azure/cloud-adoption-framework/ready/landing-zone/design-area/multi-tenant/considerations-recommendations" TargetMode="External"/><Relationship Id="rId1705" Type="http://schemas.openxmlformats.org/officeDocument/2006/relationships/hyperlink" Target="https://learn.microsoft.com/azure/cloud-adoption-framework/ready/landing-zone/design-area/multi-tenant/considerations-recommendations" TargetMode="External"/><Relationship Id="rId1912" Type="http://schemas.openxmlformats.org/officeDocument/2006/relationships/hyperlink" Target="https://learn.microsoft.com/azure/cloud-adoption-framework/ready/landing-zone/design-area/multi-tenant/considerations-recommendations" TargetMode="External"/><Relationship Id="rId286" Type="http://schemas.openxmlformats.org/officeDocument/2006/relationships/hyperlink" Target="https://learn.microsoft.com/azure/cloud-adoption-framework/ready/landing-zone/design-area/multi-tenant/considerations-recommendations" TargetMode="External"/><Relationship Id="rId493" Type="http://schemas.openxmlformats.org/officeDocument/2006/relationships/hyperlink" Target="https://learn.microsoft.com/azure/cloud-adoption-framework/ready/landing-zone/design-area/multi-tenant/considerations-recommendations" TargetMode="External"/><Relationship Id="rId2174" Type="http://schemas.openxmlformats.org/officeDocument/2006/relationships/hyperlink" Target="https://learn.microsoft.com/azure/cloud-adoption-framework/ready/landing-zone/design-area/multi-tenant/considerations-recommendations" TargetMode="External"/><Relationship Id="rId2381" Type="http://schemas.openxmlformats.org/officeDocument/2006/relationships/hyperlink" Target="https://learn.microsoft.com/azure/storage/blobs/data-protection-overview" TargetMode="External"/><Relationship Id="rId146" Type="http://schemas.openxmlformats.org/officeDocument/2006/relationships/hyperlink" Target="https://learn.microsoft.com/azure/cloud-adoption-framework/ready/landing-zone/design-area/multi-tenant/considerations-recommendations" TargetMode="External"/><Relationship Id="rId353" Type="http://schemas.openxmlformats.org/officeDocument/2006/relationships/hyperlink" Target="https://learn.microsoft.com/azure/cloud-adoption-framework/ready/landing-zone/design-area/multi-tenant/considerations-recommendations" TargetMode="External"/><Relationship Id="rId560" Type="http://schemas.openxmlformats.org/officeDocument/2006/relationships/hyperlink" Target="https://learn.microsoft.com/azure/cloud-adoption-framework/ready/landing-zone/design-area/multi-tenant/considerations-recommendations" TargetMode="External"/><Relationship Id="rId798" Type="http://schemas.openxmlformats.org/officeDocument/2006/relationships/hyperlink" Target="https://learn.microsoft.com/azure/cloud-adoption-framework/ready/landing-zone/design-area/multi-tenant/considerations-recommendations" TargetMode="External"/><Relationship Id="rId1190" Type="http://schemas.openxmlformats.org/officeDocument/2006/relationships/hyperlink" Target="https://learn.microsoft.com/azure/cloud-adoption-framework/ready/landing-zone/design-area/multi-tenant/considerations-recommendations" TargetMode="External"/><Relationship Id="rId2034" Type="http://schemas.openxmlformats.org/officeDocument/2006/relationships/hyperlink" Target="https://learn.microsoft.com/azure/cloud-adoption-framework/ready/landing-zone/design-area/multi-tenant/considerations-recommendations" TargetMode="External"/><Relationship Id="rId2241" Type="http://schemas.openxmlformats.org/officeDocument/2006/relationships/hyperlink" Target="https://learn.microsoft.com/azure/cloud-adoption-framework/ready/landing-zone/design-area/multi-tenant/considerations-recommendations" TargetMode="External"/><Relationship Id="rId2479" Type="http://schemas.openxmlformats.org/officeDocument/2006/relationships/hyperlink" Target="https://learn.microsoft.com/azure/frontdoor/best-practices" TargetMode="External"/><Relationship Id="rId2686" Type="http://schemas.openxmlformats.org/officeDocument/2006/relationships/hyperlink" Target="https://learn.microsoft.com/azure/ai-services/qnamaker/tutorials/export-knowledge-base" TargetMode="External"/><Relationship Id="rId213" Type="http://schemas.openxmlformats.org/officeDocument/2006/relationships/hyperlink" Target="https://learn.microsoft.com/azure/cloud-adoption-framework/ready/landing-zone/design-area/multi-tenant/considerations-recommendations" TargetMode="External"/><Relationship Id="rId420" Type="http://schemas.openxmlformats.org/officeDocument/2006/relationships/hyperlink" Target="https://learn.microsoft.com/azure/cloud-adoption-framework/ready/landing-zone/design-area/multi-tenant/considerations-recommendations" TargetMode="External"/><Relationship Id="rId658" Type="http://schemas.openxmlformats.org/officeDocument/2006/relationships/hyperlink" Target="https://learn.microsoft.com/azure/cloud-adoption-framework/ready/landing-zone/design-area/multi-tenant/considerations-recommendations" TargetMode="External"/><Relationship Id="rId865" Type="http://schemas.openxmlformats.org/officeDocument/2006/relationships/hyperlink" Target="https://learn.microsoft.com/azure/cloud-adoption-framework/ready/landing-zone/design-area/multi-tenant/considerations-recommendations" TargetMode="External"/><Relationship Id="rId1050" Type="http://schemas.openxmlformats.org/officeDocument/2006/relationships/hyperlink" Target="https://learn.microsoft.com/azure/cloud-adoption-framework/ready/landing-zone/design-area/multi-tenant/considerations-recommendations" TargetMode="External"/><Relationship Id="rId1288" Type="http://schemas.openxmlformats.org/officeDocument/2006/relationships/hyperlink" Target="https://learn.microsoft.com/azure/cloud-adoption-framework/ready/landing-zone/design-area/multi-tenant/considerations-recommendations" TargetMode="External"/><Relationship Id="rId1495" Type="http://schemas.openxmlformats.org/officeDocument/2006/relationships/hyperlink" Target="https://learn.microsoft.com/azure/cloud-adoption-framework/ready/landing-zone/design-area/multi-tenant/considerations-recommendations" TargetMode="External"/><Relationship Id="rId2101" Type="http://schemas.openxmlformats.org/officeDocument/2006/relationships/hyperlink" Target="https://learn.microsoft.com/azure/cloud-adoption-framework/ready/landing-zone/design-area/multi-tenant/considerations-recommendations" TargetMode="External"/><Relationship Id="rId2339" Type="http://schemas.openxmlformats.org/officeDocument/2006/relationships/hyperlink" Target="https://learn.microsoft.com/azure/cloud-adoption-framework/ready/landing-zone/design-area/multi-tenant/considerations-recommendations" TargetMode="External"/><Relationship Id="rId2546" Type="http://schemas.openxmlformats.org/officeDocument/2006/relationships/hyperlink" Target="https://learn.microsoft.com/learn/paths/secure-application-delivery/" TargetMode="External"/><Relationship Id="rId2753" Type="http://schemas.openxmlformats.org/officeDocument/2006/relationships/hyperlink" Target="https://learn.microsoft.com/azure/security/develop/secure-dev-overview" TargetMode="External"/><Relationship Id="rId518" Type="http://schemas.openxmlformats.org/officeDocument/2006/relationships/hyperlink" Target="https://learn.microsoft.com/azure/cloud-adoption-framework/ready/landing-zone/design-area/multi-tenant/considerations-recommendations" TargetMode="External"/><Relationship Id="rId725" Type="http://schemas.openxmlformats.org/officeDocument/2006/relationships/hyperlink" Target="https://learn.microsoft.com/azure/cloud-adoption-framework/ready/landing-zone/design-area/multi-tenant/considerations-recommendations" TargetMode="External"/><Relationship Id="rId932" Type="http://schemas.openxmlformats.org/officeDocument/2006/relationships/hyperlink" Target="https://learn.microsoft.com/azure/cloud-adoption-framework/ready/landing-zone/design-area/multi-tenant/considerations-recommendations" TargetMode="External"/><Relationship Id="rId1148" Type="http://schemas.openxmlformats.org/officeDocument/2006/relationships/hyperlink" Target="https://learn.microsoft.com/azure/cloud-adoption-framework/ready/landing-zone/design-area/multi-tenant/considerations-recommendations" TargetMode="External"/><Relationship Id="rId1355" Type="http://schemas.openxmlformats.org/officeDocument/2006/relationships/hyperlink" Target="https://learn.microsoft.com/azure/cloud-adoption-framework/ready/landing-zone/design-area/multi-tenant/considerations-recommendations" TargetMode="External"/><Relationship Id="rId1562" Type="http://schemas.openxmlformats.org/officeDocument/2006/relationships/hyperlink" Target="https://learn.microsoft.com/azure/cloud-adoption-framework/ready/landing-zone/design-area/multi-tenant/considerations-recommendations" TargetMode="External"/><Relationship Id="rId2406" Type="http://schemas.openxmlformats.org/officeDocument/2006/relationships/hyperlink" Target="https://learn.microsoft.com/azure/api-management/api-management-howto-autoscale" TargetMode="External"/><Relationship Id="rId2613" Type="http://schemas.openxmlformats.org/officeDocument/2006/relationships/hyperlink" Target="https://learn.microsoft.com/azure/ai-services/authentication" TargetMode="External"/><Relationship Id="rId1008" Type="http://schemas.openxmlformats.org/officeDocument/2006/relationships/hyperlink" Target="https://learn.microsoft.com/azure/cloud-adoption-framework/ready/landing-zone/design-area/multi-tenant/considerations-recommendations" TargetMode="External"/><Relationship Id="rId1215" Type="http://schemas.openxmlformats.org/officeDocument/2006/relationships/hyperlink" Target="https://learn.microsoft.com/azure/cloud-adoption-framework/ready/landing-zone/design-area/multi-tenant/considerations-recommendations" TargetMode="External"/><Relationship Id="rId1422" Type="http://schemas.openxmlformats.org/officeDocument/2006/relationships/hyperlink" Target="https://learn.microsoft.com/azure/cloud-adoption-framework/ready/landing-zone/design-area/multi-tenant/considerations-recommendations" TargetMode="External"/><Relationship Id="rId1867" Type="http://schemas.openxmlformats.org/officeDocument/2006/relationships/hyperlink" Target="https://learn.microsoft.com/azure/cloud-adoption-framework/ready/landing-zone/design-area/multi-tenant/considerations-recommendations" TargetMode="External"/><Relationship Id="rId61" Type="http://schemas.openxmlformats.org/officeDocument/2006/relationships/hyperlink" Target="https://learn.microsoft.com/azure/cloud-adoption-framework/ready/landing-zone/design-area/multi-tenant/considerations-recommendations" TargetMode="External"/><Relationship Id="rId1727" Type="http://schemas.openxmlformats.org/officeDocument/2006/relationships/hyperlink" Target="https://learn.microsoft.com/azure/cloud-adoption-framework/ready/landing-zone/design-area/multi-tenant/considerations-recommendations" TargetMode="External"/><Relationship Id="rId1934" Type="http://schemas.openxmlformats.org/officeDocument/2006/relationships/hyperlink" Target="https://learn.microsoft.com/azure/cloud-adoption-framework/ready/landing-zone/design-area/multi-tenant/considerations-recommendations" TargetMode="External"/><Relationship Id="rId19" Type="http://schemas.openxmlformats.org/officeDocument/2006/relationships/hyperlink" Target="https://learn.microsoft.com/azure/cloud-adoption-framework/ready/landing-zone/design-area/multi-tenant/considerations-recommendations" TargetMode="External"/><Relationship Id="rId2196" Type="http://schemas.openxmlformats.org/officeDocument/2006/relationships/hyperlink" Target="https://learn.microsoft.com/azure/cloud-adoption-framework/ready/landing-zone/design-area/multi-tenant/considerations-recommendations" TargetMode="External"/><Relationship Id="rId168" Type="http://schemas.openxmlformats.org/officeDocument/2006/relationships/hyperlink" Target="https://learn.microsoft.com/azure/cloud-adoption-framework/ready/landing-zone/design-area/multi-tenant/considerations-recommendations" TargetMode="External"/><Relationship Id="rId375" Type="http://schemas.openxmlformats.org/officeDocument/2006/relationships/hyperlink" Target="https://learn.microsoft.com/azure/cloud-adoption-framework/ready/landing-zone/design-area/multi-tenant/considerations-recommendations" TargetMode="External"/><Relationship Id="rId582" Type="http://schemas.openxmlformats.org/officeDocument/2006/relationships/hyperlink" Target="https://learn.microsoft.com/azure/cloud-adoption-framework/ready/landing-zone/design-area/multi-tenant/considerations-recommendations" TargetMode="External"/><Relationship Id="rId2056" Type="http://schemas.openxmlformats.org/officeDocument/2006/relationships/hyperlink" Target="https://learn.microsoft.com/azure/cloud-adoption-framework/ready/landing-zone/design-area/multi-tenant/considerations-recommendations" TargetMode="External"/><Relationship Id="rId2263" Type="http://schemas.openxmlformats.org/officeDocument/2006/relationships/hyperlink" Target="https://learn.microsoft.com/azure/cloud-adoption-framework/ready/landing-zone/design-area/multi-tenant/considerations-recommendations" TargetMode="External"/><Relationship Id="rId2470" Type="http://schemas.openxmlformats.org/officeDocument/2006/relationships/hyperlink" Target="https://learn.microsoft.com/azure/active-directory/app-proxy/application-proxy" TargetMode="External"/><Relationship Id="rId3" Type="http://schemas.openxmlformats.org/officeDocument/2006/relationships/hyperlink" Target="https://learn.microsoft.com/azure/cloud-adoption-framework/ready/landing-zone/design-area/multi-tenant/considerations-recommendations" TargetMode="External"/><Relationship Id="rId235" Type="http://schemas.openxmlformats.org/officeDocument/2006/relationships/hyperlink" Target="https://learn.microsoft.com/azure/cloud-adoption-framework/ready/landing-zone/design-area/multi-tenant/considerations-recommendations" TargetMode="External"/><Relationship Id="rId442" Type="http://schemas.openxmlformats.org/officeDocument/2006/relationships/hyperlink" Target="https://learn.microsoft.com/azure/cloud-adoption-framework/ready/landing-zone/design-area/multi-tenant/considerations-recommendations" TargetMode="External"/><Relationship Id="rId887" Type="http://schemas.openxmlformats.org/officeDocument/2006/relationships/hyperlink" Target="https://learn.microsoft.com/azure/cloud-adoption-framework/ready/landing-zone/design-area/multi-tenant/considerations-recommendations" TargetMode="External"/><Relationship Id="rId1072" Type="http://schemas.openxmlformats.org/officeDocument/2006/relationships/hyperlink" Target="https://learn.microsoft.com/azure/cloud-adoption-framework/ready/landing-zone/design-area/multi-tenant/considerations-recommendations" TargetMode="External"/><Relationship Id="rId2123" Type="http://schemas.openxmlformats.org/officeDocument/2006/relationships/hyperlink" Target="https://learn.microsoft.com/azure/cloud-adoption-framework/ready/landing-zone/design-area/multi-tenant/considerations-recommendations" TargetMode="External"/><Relationship Id="rId2330" Type="http://schemas.openxmlformats.org/officeDocument/2006/relationships/hyperlink" Target="https://learn.microsoft.com/azure/cloud-adoption-framework/ready/landing-zone/design-area/multi-tenant/considerations-recommendations" TargetMode="External"/><Relationship Id="rId2568" Type="http://schemas.openxmlformats.org/officeDocument/2006/relationships/hyperlink" Target="https://learn.microsoft.com/azure/frontdoor/best-practices" TargetMode="External"/><Relationship Id="rId302" Type="http://schemas.openxmlformats.org/officeDocument/2006/relationships/hyperlink" Target="https://learn.microsoft.com/azure/cloud-adoption-framework/ready/landing-zone/design-area/multi-tenant/considerations-recommendations" TargetMode="External"/><Relationship Id="rId747" Type="http://schemas.openxmlformats.org/officeDocument/2006/relationships/hyperlink" Target="https://learn.microsoft.com/azure/cloud-adoption-framework/ready/landing-zone/design-area/multi-tenant/considerations-recommendations" TargetMode="External"/><Relationship Id="rId954" Type="http://schemas.openxmlformats.org/officeDocument/2006/relationships/hyperlink" Target="https://learn.microsoft.com/azure/cloud-adoption-framework/ready/landing-zone/design-area/multi-tenant/considerations-recommendations" TargetMode="External"/><Relationship Id="rId1377" Type="http://schemas.openxmlformats.org/officeDocument/2006/relationships/hyperlink" Target="https://learn.microsoft.com/azure/cloud-adoption-framework/ready/landing-zone/design-area/multi-tenant/considerations-recommendations" TargetMode="External"/><Relationship Id="rId1584" Type="http://schemas.openxmlformats.org/officeDocument/2006/relationships/hyperlink" Target="https://learn.microsoft.com/azure/cloud-adoption-framework/ready/landing-zone/design-area/multi-tenant/considerations-recommendations" TargetMode="External"/><Relationship Id="rId1791" Type="http://schemas.openxmlformats.org/officeDocument/2006/relationships/hyperlink" Target="https://learn.microsoft.com/azure/cloud-adoption-framework/ready/landing-zone/design-area/multi-tenant/considerations-recommendations" TargetMode="External"/><Relationship Id="rId2428" Type="http://schemas.openxmlformats.org/officeDocument/2006/relationships/hyperlink" Target="https://learn.microsoft.com/azure/app-service/configure-ssl-certificate" TargetMode="External"/><Relationship Id="rId2635" Type="http://schemas.openxmlformats.org/officeDocument/2006/relationships/hyperlink" Target="https://www.azadvertizer.net/azpolicyinitiativesadvertizer/Enforce-Guardrails-OpenAI.html" TargetMode="External"/><Relationship Id="rId83" Type="http://schemas.openxmlformats.org/officeDocument/2006/relationships/hyperlink" Target="https://learn.microsoft.com/azure/cloud-adoption-framework/ready/landing-zone/design-area/multi-tenant/considerations-recommendations" TargetMode="External"/><Relationship Id="rId607" Type="http://schemas.openxmlformats.org/officeDocument/2006/relationships/hyperlink" Target="https://learn.microsoft.com/azure/cloud-adoption-framework/ready/landing-zone/design-area/multi-tenant/considerations-recommendations" TargetMode="External"/><Relationship Id="rId814" Type="http://schemas.openxmlformats.org/officeDocument/2006/relationships/hyperlink" Target="https://learn.microsoft.com/azure/cloud-adoption-framework/ready/landing-zone/design-area/multi-tenant/considerations-recommendations" TargetMode="External"/><Relationship Id="rId1237" Type="http://schemas.openxmlformats.org/officeDocument/2006/relationships/hyperlink" Target="https://learn.microsoft.com/azure/cloud-adoption-framework/ready/landing-zone/design-area/multi-tenant/considerations-recommendations" TargetMode="External"/><Relationship Id="rId1444" Type="http://schemas.openxmlformats.org/officeDocument/2006/relationships/hyperlink" Target="https://learn.microsoft.com/azure/cloud-adoption-framework/ready/landing-zone/design-area/multi-tenant/considerations-recommendations" TargetMode="External"/><Relationship Id="rId1651" Type="http://schemas.openxmlformats.org/officeDocument/2006/relationships/hyperlink" Target="https://learn.microsoft.com/azure/cloud-adoption-framework/ready/landing-zone/design-area/multi-tenant/considerations-recommendations" TargetMode="External"/><Relationship Id="rId1889" Type="http://schemas.openxmlformats.org/officeDocument/2006/relationships/hyperlink" Target="https://learn.microsoft.com/azure/cloud-adoption-framework/ready/landing-zone/design-area/multi-tenant/considerations-recommendations" TargetMode="External"/><Relationship Id="rId2702" Type="http://schemas.openxmlformats.org/officeDocument/2006/relationships/hyperlink" Target="https://learn.microsoft.com/azure/ai-services/openai/how-to/quota?tabs=rest" TargetMode="External"/><Relationship Id="rId1304" Type="http://schemas.openxmlformats.org/officeDocument/2006/relationships/hyperlink" Target="https://learn.microsoft.com/azure/cloud-adoption-framework/ready/landing-zone/design-area/multi-tenant/considerations-recommendations" TargetMode="External"/><Relationship Id="rId1511" Type="http://schemas.openxmlformats.org/officeDocument/2006/relationships/hyperlink" Target="https://learn.microsoft.com/azure/cloud-adoption-framework/ready/landing-zone/design-area/multi-tenant/considerations-recommendations" TargetMode="External"/><Relationship Id="rId1749" Type="http://schemas.openxmlformats.org/officeDocument/2006/relationships/hyperlink" Target="https://learn.microsoft.com/azure/cloud-adoption-framework/ready/landing-zone/design-area/multi-tenant/considerations-recommendations" TargetMode="External"/><Relationship Id="rId1956" Type="http://schemas.openxmlformats.org/officeDocument/2006/relationships/hyperlink" Target="https://learn.microsoft.com/azure/cloud-adoption-framework/ready/landing-zone/design-area/multi-tenant/considerations-recommendations" TargetMode="External"/><Relationship Id="rId1609" Type="http://schemas.openxmlformats.org/officeDocument/2006/relationships/hyperlink" Target="https://learn.microsoft.com/azure/cloud-adoption-framework/ready/landing-zone/design-area/multi-tenant/considerations-recommendations" TargetMode="External"/><Relationship Id="rId1816" Type="http://schemas.openxmlformats.org/officeDocument/2006/relationships/hyperlink" Target="https://learn.microsoft.com/azure/cloud-adoption-framework/ready/landing-zone/design-area/multi-tenant/considerations-recommendations" TargetMode="External"/><Relationship Id="rId10" Type="http://schemas.openxmlformats.org/officeDocument/2006/relationships/hyperlink" Target="https://learn.microsoft.com/azure/cloud-adoption-framework/ready/landing-zone/design-area/multi-tenant/considerations-recommendations" TargetMode="External"/><Relationship Id="rId397" Type="http://schemas.openxmlformats.org/officeDocument/2006/relationships/hyperlink" Target="https://learn.microsoft.com/azure/cloud-adoption-framework/ready/landing-zone/design-area/multi-tenant/considerations-recommendations" TargetMode="External"/><Relationship Id="rId2078" Type="http://schemas.openxmlformats.org/officeDocument/2006/relationships/hyperlink" Target="https://learn.microsoft.com/azure/cloud-adoption-framework/ready/landing-zone/design-area/multi-tenant/considerations-recommendations" TargetMode="External"/><Relationship Id="rId2285" Type="http://schemas.openxmlformats.org/officeDocument/2006/relationships/hyperlink" Target="https://learn.microsoft.com/azure/cloud-adoption-framework/ready/landing-zone/design-area/multi-tenant/considerations-recommendations" TargetMode="External"/><Relationship Id="rId2492" Type="http://schemas.openxmlformats.org/officeDocument/2006/relationships/hyperlink" Target="https://learn.microsoft.com/azure/virtual-machines/migration-classic-resource-manager-overview" TargetMode="External"/><Relationship Id="rId257" Type="http://schemas.openxmlformats.org/officeDocument/2006/relationships/hyperlink" Target="https://learn.microsoft.com/azure/cloud-adoption-framework/ready/landing-zone/design-area/multi-tenant/considerations-recommendations" TargetMode="External"/><Relationship Id="rId464" Type="http://schemas.openxmlformats.org/officeDocument/2006/relationships/hyperlink" Target="https://learn.microsoft.com/azure/cloud-adoption-framework/ready/landing-zone/design-area/multi-tenant/considerations-recommendations" TargetMode="External"/><Relationship Id="rId1094" Type="http://schemas.openxmlformats.org/officeDocument/2006/relationships/hyperlink" Target="https://learn.microsoft.com/azure/cloud-adoption-framework/ready/landing-zone/design-area/multi-tenant/considerations-recommendations" TargetMode="External"/><Relationship Id="rId2145" Type="http://schemas.openxmlformats.org/officeDocument/2006/relationships/hyperlink" Target="https://learn.microsoft.com/azure/cloud-adoption-framework/ready/landing-zone/design-area/multi-tenant/considerations-recommendations" TargetMode="External"/><Relationship Id="rId117" Type="http://schemas.openxmlformats.org/officeDocument/2006/relationships/hyperlink" Target="https://learn.microsoft.com/azure/cloud-adoption-framework/ready/landing-zone/design-area/multi-tenant/considerations-recommendations" TargetMode="External"/><Relationship Id="rId671" Type="http://schemas.openxmlformats.org/officeDocument/2006/relationships/hyperlink" Target="https://learn.microsoft.com/azure/cloud-adoption-framework/ready/landing-zone/design-area/multi-tenant/considerations-recommendations" TargetMode="External"/><Relationship Id="rId769" Type="http://schemas.openxmlformats.org/officeDocument/2006/relationships/hyperlink" Target="https://learn.microsoft.com/azure/cloud-adoption-framework/ready/landing-zone/design-area/multi-tenant/considerations-recommendations" TargetMode="External"/><Relationship Id="rId976" Type="http://schemas.openxmlformats.org/officeDocument/2006/relationships/hyperlink" Target="https://learn.microsoft.com/azure/cloud-adoption-framework/ready/landing-zone/design-area/multi-tenant/considerations-recommendations" TargetMode="External"/><Relationship Id="rId1399" Type="http://schemas.openxmlformats.org/officeDocument/2006/relationships/hyperlink" Target="https://learn.microsoft.com/azure/cloud-adoption-framework/ready/landing-zone/design-area/multi-tenant/considerations-recommendations" TargetMode="External"/><Relationship Id="rId2352" Type="http://schemas.openxmlformats.org/officeDocument/2006/relationships/hyperlink" Target="https://learn.microsoft.com/azure/cloud-adoption-framework/ready/landing-zone/design-area/multi-tenant/considerations-recommendations" TargetMode="External"/><Relationship Id="rId2657" Type="http://schemas.openxmlformats.org/officeDocument/2006/relationships/hyperlink" Target="https://github.com/Azure/azure-openai-benchmark/" TargetMode="External"/><Relationship Id="rId324" Type="http://schemas.openxmlformats.org/officeDocument/2006/relationships/hyperlink" Target="https://learn.microsoft.com/azure/cloud-adoption-framework/ready/landing-zone/design-area/multi-tenant/considerations-recommendations" TargetMode="External"/><Relationship Id="rId531" Type="http://schemas.openxmlformats.org/officeDocument/2006/relationships/hyperlink" Target="https://learn.microsoft.com/azure/cloud-adoption-framework/ready/landing-zone/design-area/multi-tenant/considerations-recommendations" TargetMode="External"/><Relationship Id="rId629" Type="http://schemas.openxmlformats.org/officeDocument/2006/relationships/hyperlink" Target="https://learn.microsoft.com/azure/cloud-adoption-framework/ready/landing-zone/design-area/multi-tenant/considerations-recommendations" TargetMode="External"/><Relationship Id="rId1161" Type="http://schemas.openxmlformats.org/officeDocument/2006/relationships/hyperlink" Target="https://learn.microsoft.com/azure/cloud-adoption-framework/ready/landing-zone/design-area/multi-tenant/considerations-recommendations" TargetMode="External"/><Relationship Id="rId1259" Type="http://schemas.openxmlformats.org/officeDocument/2006/relationships/hyperlink" Target="https://learn.microsoft.com/azure/cloud-adoption-framework/ready/landing-zone/design-area/multi-tenant/considerations-recommendations" TargetMode="External"/><Relationship Id="rId1466" Type="http://schemas.openxmlformats.org/officeDocument/2006/relationships/hyperlink" Target="https://learn.microsoft.com/azure/cloud-adoption-framework/ready/landing-zone/design-area/multi-tenant/considerations-recommendations" TargetMode="External"/><Relationship Id="rId2005" Type="http://schemas.openxmlformats.org/officeDocument/2006/relationships/hyperlink" Target="https://learn.microsoft.com/azure/cloud-adoption-framework/ready/landing-zone/design-area/multi-tenant/considerations-recommendations" TargetMode="External"/><Relationship Id="rId2212" Type="http://schemas.openxmlformats.org/officeDocument/2006/relationships/hyperlink" Target="https://learn.microsoft.com/azure/cloud-adoption-framework/ready/landing-zone/design-area/multi-tenant/considerations-recommendations" TargetMode="External"/><Relationship Id="rId836" Type="http://schemas.openxmlformats.org/officeDocument/2006/relationships/hyperlink" Target="https://learn.microsoft.com/azure/cloud-adoption-framework/ready/landing-zone/design-area/multi-tenant/considerations-recommendations" TargetMode="External"/><Relationship Id="rId1021" Type="http://schemas.openxmlformats.org/officeDocument/2006/relationships/hyperlink" Target="https://learn.microsoft.com/azure/cloud-adoption-framework/ready/landing-zone/design-area/multi-tenant/considerations-recommendations" TargetMode="External"/><Relationship Id="rId1119" Type="http://schemas.openxmlformats.org/officeDocument/2006/relationships/hyperlink" Target="https://learn.microsoft.com/azure/cloud-adoption-framework/ready/landing-zone/design-area/multi-tenant/considerations-recommendations" TargetMode="External"/><Relationship Id="rId1673" Type="http://schemas.openxmlformats.org/officeDocument/2006/relationships/hyperlink" Target="https://learn.microsoft.com/azure/cloud-adoption-framework/ready/landing-zone/design-area/multi-tenant/considerations-recommendations" TargetMode="External"/><Relationship Id="rId1880" Type="http://schemas.openxmlformats.org/officeDocument/2006/relationships/hyperlink" Target="https://learn.microsoft.com/azure/cloud-adoption-framework/ready/landing-zone/design-area/multi-tenant/considerations-recommendations" TargetMode="External"/><Relationship Id="rId1978" Type="http://schemas.openxmlformats.org/officeDocument/2006/relationships/hyperlink" Target="https://learn.microsoft.com/azure/cloud-adoption-framework/ready/landing-zone/design-area/multi-tenant/considerations-recommendations" TargetMode="External"/><Relationship Id="rId2517" Type="http://schemas.openxmlformats.org/officeDocument/2006/relationships/hyperlink" Target="https://learn.microsoft.com/rest/api/storageservices/cross-origin-resource-sharing--cors--support-for-the-azure-storage-services" TargetMode="External"/><Relationship Id="rId2724" Type="http://schemas.openxmlformats.org/officeDocument/2006/relationships/hyperlink" Target="https://learn.microsoft.com/azure/ai-services/content-safety/overview" TargetMode="External"/><Relationship Id="rId903" Type="http://schemas.openxmlformats.org/officeDocument/2006/relationships/hyperlink" Target="https://learn.microsoft.com/azure/cloud-adoption-framework/ready/landing-zone/design-area/multi-tenant/considerations-recommendations" TargetMode="External"/><Relationship Id="rId1326" Type="http://schemas.openxmlformats.org/officeDocument/2006/relationships/hyperlink" Target="https://learn.microsoft.com/azure/cloud-adoption-framework/ready/landing-zone/design-area/multi-tenant/considerations-recommendations" TargetMode="External"/><Relationship Id="rId1533" Type="http://schemas.openxmlformats.org/officeDocument/2006/relationships/hyperlink" Target="https://learn.microsoft.com/azure/cloud-adoption-framework/ready/landing-zone/design-area/multi-tenant/considerations-recommendations" TargetMode="External"/><Relationship Id="rId1740" Type="http://schemas.openxmlformats.org/officeDocument/2006/relationships/hyperlink" Target="https://learn.microsoft.com/azure/cloud-adoption-framework/ready/landing-zone/design-area/multi-tenant/considerations-recommendations" TargetMode="External"/><Relationship Id="rId32" Type="http://schemas.openxmlformats.org/officeDocument/2006/relationships/hyperlink" Target="https://learn.microsoft.com/azure/cloud-adoption-framework/ready/landing-zone/design-area/multi-tenant/considerations-recommendations" TargetMode="External"/><Relationship Id="rId1600" Type="http://schemas.openxmlformats.org/officeDocument/2006/relationships/hyperlink" Target="https://learn.microsoft.com/azure/cloud-adoption-framework/ready/landing-zone/design-area/multi-tenant/considerations-recommendations" TargetMode="External"/><Relationship Id="rId1838" Type="http://schemas.openxmlformats.org/officeDocument/2006/relationships/hyperlink" Target="https://learn.microsoft.com/azure/cloud-adoption-framework/ready/landing-zone/design-area/multi-tenant/considerations-recommendations" TargetMode="External"/><Relationship Id="rId181" Type="http://schemas.openxmlformats.org/officeDocument/2006/relationships/hyperlink" Target="https://learn.microsoft.com/azure/cloud-adoption-framework/ready/landing-zone/design-area/multi-tenant/considerations-recommendations" TargetMode="External"/><Relationship Id="rId1905" Type="http://schemas.openxmlformats.org/officeDocument/2006/relationships/hyperlink" Target="https://learn.microsoft.com/azure/cloud-adoption-framework/ready/landing-zone/design-area/multi-tenant/considerations-recommendations" TargetMode="External"/><Relationship Id="rId279" Type="http://schemas.openxmlformats.org/officeDocument/2006/relationships/hyperlink" Target="https://learn.microsoft.com/azure/cloud-adoption-framework/ready/landing-zone/design-area/multi-tenant/considerations-recommendations" TargetMode="External"/><Relationship Id="rId486" Type="http://schemas.openxmlformats.org/officeDocument/2006/relationships/hyperlink" Target="https://learn.microsoft.com/azure/cloud-adoption-framework/ready/landing-zone/design-area/multi-tenant/considerations-recommendations" TargetMode="External"/><Relationship Id="rId693" Type="http://schemas.openxmlformats.org/officeDocument/2006/relationships/hyperlink" Target="https://learn.microsoft.com/azure/cloud-adoption-framework/ready/landing-zone/design-area/multi-tenant/considerations-recommendations" TargetMode="External"/><Relationship Id="rId2167" Type="http://schemas.openxmlformats.org/officeDocument/2006/relationships/hyperlink" Target="https://learn.microsoft.com/azure/cloud-adoption-framework/ready/landing-zone/design-area/multi-tenant/considerations-recommendations" TargetMode="External"/><Relationship Id="rId2374" Type="http://schemas.openxmlformats.org/officeDocument/2006/relationships/hyperlink" Target="https://www.microsoft.com/en-gb/security/business/solutions/cloud-workload-protection" TargetMode="External"/><Relationship Id="rId2581" Type="http://schemas.openxmlformats.org/officeDocument/2006/relationships/hyperlink" Target="https://learn.microsoft.com/azure/web-application-firewall/afds/waf-front-door-best-practices" TargetMode="External"/><Relationship Id="rId139" Type="http://schemas.openxmlformats.org/officeDocument/2006/relationships/hyperlink" Target="https://learn.microsoft.com/azure/cloud-adoption-framework/ready/landing-zone/design-area/multi-tenant/considerations-recommendations" TargetMode="External"/><Relationship Id="rId346" Type="http://schemas.openxmlformats.org/officeDocument/2006/relationships/hyperlink" Target="https://learn.microsoft.com/azure/cloud-adoption-framework/ready/landing-zone/design-area/multi-tenant/considerations-recommendations" TargetMode="External"/><Relationship Id="rId553" Type="http://schemas.openxmlformats.org/officeDocument/2006/relationships/hyperlink" Target="https://learn.microsoft.com/azure/cloud-adoption-framework/ready/landing-zone/design-area/multi-tenant/considerations-recommendations" TargetMode="External"/><Relationship Id="rId760" Type="http://schemas.openxmlformats.org/officeDocument/2006/relationships/hyperlink" Target="https://learn.microsoft.com/azure/cloud-adoption-framework/ready/landing-zone/design-area/multi-tenant/considerations-recommendations" TargetMode="External"/><Relationship Id="rId998" Type="http://schemas.openxmlformats.org/officeDocument/2006/relationships/hyperlink" Target="https://learn.microsoft.com/azure/cloud-adoption-framework/ready/landing-zone/design-area/multi-tenant/considerations-recommendations" TargetMode="External"/><Relationship Id="rId1183" Type="http://schemas.openxmlformats.org/officeDocument/2006/relationships/hyperlink" Target="https://learn.microsoft.com/azure/cloud-adoption-framework/ready/landing-zone/design-area/multi-tenant/considerations-recommendations" TargetMode="External"/><Relationship Id="rId1390" Type="http://schemas.openxmlformats.org/officeDocument/2006/relationships/hyperlink" Target="https://learn.microsoft.com/azure/cloud-adoption-framework/ready/landing-zone/design-area/multi-tenant/considerations-recommendations" TargetMode="External"/><Relationship Id="rId2027" Type="http://schemas.openxmlformats.org/officeDocument/2006/relationships/hyperlink" Target="https://learn.microsoft.com/azure/cloud-adoption-framework/ready/landing-zone/design-area/multi-tenant/considerations-recommendations" TargetMode="External"/><Relationship Id="rId2234" Type="http://schemas.openxmlformats.org/officeDocument/2006/relationships/hyperlink" Target="https://learn.microsoft.com/azure/cloud-adoption-framework/ready/landing-zone/design-area/multi-tenant/considerations-recommendations" TargetMode="External"/><Relationship Id="rId2441" Type="http://schemas.openxmlformats.org/officeDocument/2006/relationships/hyperlink" Target="https://learn.microsoft.com/azure/app-service/networking/app-gateway-with-service-endpoints" TargetMode="External"/><Relationship Id="rId2679" Type="http://schemas.openxmlformats.org/officeDocument/2006/relationships/hyperlink" Target="https://learn.microsoft.com/azure/search/search-reliability" TargetMode="External"/><Relationship Id="rId206" Type="http://schemas.openxmlformats.org/officeDocument/2006/relationships/hyperlink" Target="https://learn.microsoft.com/azure/cloud-adoption-framework/ready/landing-zone/design-area/multi-tenant/considerations-recommendations" TargetMode="External"/><Relationship Id="rId413" Type="http://schemas.openxmlformats.org/officeDocument/2006/relationships/hyperlink" Target="https://learn.microsoft.com/azure/cloud-adoption-framework/ready/landing-zone/design-area/multi-tenant/considerations-recommendations" TargetMode="External"/><Relationship Id="rId858" Type="http://schemas.openxmlformats.org/officeDocument/2006/relationships/hyperlink" Target="https://learn.microsoft.com/azure/cloud-adoption-framework/ready/landing-zone/design-area/multi-tenant/considerations-recommendations" TargetMode="External"/><Relationship Id="rId1043" Type="http://schemas.openxmlformats.org/officeDocument/2006/relationships/hyperlink" Target="https://learn.microsoft.com/azure/cloud-adoption-framework/ready/landing-zone/design-area/multi-tenant/considerations-recommendations" TargetMode="External"/><Relationship Id="rId1488" Type="http://schemas.openxmlformats.org/officeDocument/2006/relationships/hyperlink" Target="https://learn.microsoft.com/azure/cloud-adoption-framework/ready/landing-zone/design-area/multi-tenant/considerations-recommendations" TargetMode="External"/><Relationship Id="rId1695" Type="http://schemas.openxmlformats.org/officeDocument/2006/relationships/hyperlink" Target="https://learn.microsoft.com/azure/cloud-adoption-framework/ready/landing-zone/design-area/multi-tenant/considerations-recommendations" TargetMode="External"/><Relationship Id="rId2539" Type="http://schemas.openxmlformats.org/officeDocument/2006/relationships/hyperlink" Target="https://learn.microsoft.com/azure/application-gateway/overview-v2" TargetMode="External"/><Relationship Id="rId2746" Type="http://schemas.openxmlformats.org/officeDocument/2006/relationships/hyperlink" Target="https://learn.microsoft.com/azure/ai-services/openai/how-to/managed-identity" TargetMode="External"/><Relationship Id="rId620" Type="http://schemas.openxmlformats.org/officeDocument/2006/relationships/hyperlink" Target="https://learn.microsoft.com/azure/cloud-adoption-framework/ready/landing-zone/design-area/multi-tenant/considerations-recommendations" TargetMode="External"/><Relationship Id="rId718" Type="http://schemas.openxmlformats.org/officeDocument/2006/relationships/hyperlink" Target="https://learn.microsoft.com/azure/cloud-adoption-framework/ready/landing-zone/design-area/multi-tenant/considerations-recommendations" TargetMode="External"/><Relationship Id="rId925" Type="http://schemas.openxmlformats.org/officeDocument/2006/relationships/hyperlink" Target="https://learn.microsoft.com/azure/cloud-adoption-framework/ready/landing-zone/design-area/multi-tenant/considerations-recommendations" TargetMode="External"/><Relationship Id="rId1250" Type="http://schemas.openxmlformats.org/officeDocument/2006/relationships/hyperlink" Target="https://learn.microsoft.com/azure/cloud-adoption-framework/ready/landing-zone/design-area/multi-tenant/considerations-recommendations" TargetMode="External"/><Relationship Id="rId1348" Type="http://schemas.openxmlformats.org/officeDocument/2006/relationships/hyperlink" Target="https://learn.microsoft.com/azure/cloud-adoption-framework/ready/landing-zone/design-area/multi-tenant/considerations-recommendations" TargetMode="External"/><Relationship Id="rId1555" Type="http://schemas.openxmlformats.org/officeDocument/2006/relationships/hyperlink" Target="https://learn.microsoft.com/azure/cloud-adoption-framework/ready/landing-zone/design-area/multi-tenant/considerations-recommendations" TargetMode="External"/><Relationship Id="rId1762" Type="http://schemas.openxmlformats.org/officeDocument/2006/relationships/hyperlink" Target="https://learn.microsoft.com/azure/cloud-adoption-framework/ready/landing-zone/design-area/multi-tenant/considerations-recommendations" TargetMode="External"/><Relationship Id="rId2301" Type="http://schemas.openxmlformats.org/officeDocument/2006/relationships/hyperlink" Target="https://learn.microsoft.com/azure/cloud-adoption-framework/ready/landing-zone/design-area/multi-tenant/considerations-recommendations" TargetMode="External"/><Relationship Id="rId2606" Type="http://schemas.openxmlformats.org/officeDocument/2006/relationships/hyperlink" Target="https://learn.microsoft.com/azure/backup/backup-azure-immutable-vault-concept?source=recommendations&amp;tabs=recovery-services-vault" TargetMode="External"/><Relationship Id="rId1110" Type="http://schemas.openxmlformats.org/officeDocument/2006/relationships/hyperlink" Target="https://learn.microsoft.com/azure/cloud-adoption-framework/ready/landing-zone/design-area/multi-tenant/considerations-recommendations" TargetMode="External"/><Relationship Id="rId1208" Type="http://schemas.openxmlformats.org/officeDocument/2006/relationships/hyperlink" Target="https://learn.microsoft.com/azure/cloud-adoption-framework/ready/landing-zone/design-area/multi-tenant/considerations-recommendations" TargetMode="External"/><Relationship Id="rId1415" Type="http://schemas.openxmlformats.org/officeDocument/2006/relationships/hyperlink" Target="https://learn.microsoft.com/azure/cloud-adoption-framework/ready/landing-zone/design-area/multi-tenant/considerations-recommendations" TargetMode="External"/><Relationship Id="rId54" Type="http://schemas.openxmlformats.org/officeDocument/2006/relationships/hyperlink" Target="https://learn.microsoft.com/azure/cloud-adoption-framework/ready/landing-zone/design-area/multi-tenant/considerations-recommendations" TargetMode="External"/><Relationship Id="rId1622" Type="http://schemas.openxmlformats.org/officeDocument/2006/relationships/hyperlink" Target="https://learn.microsoft.com/azure/cloud-adoption-framework/ready/landing-zone/design-area/multi-tenant/considerations-recommendations" TargetMode="External"/><Relationship Id="rId1927" Type="http://schemas.openxmlformats.org/officeDocument/2006/relationships/hyperlink" Target="https://learn.microsoft.com/azure/cloud-adoption-framework/ready/landing-zone/design-area/multi-tenant/considerations-recommendations" TargetMode="External"/><Relationship Id="rId2091" Type="http://schemas.openxmlformats.org/officeDocument/2006/relationships/hyperlink" Target="https://learn.microsoft.com/azure/cloud-adoption-framework/ready/landing-zone/design-area/multi-tenant/considerations-recommendations" TargetMode="External"/><Relationship Id="rId2189" Type="http://schemas.openxmlformats.org/officeDocument/2006/relationships/hyperlink" Target="https://learn.microsoft.com/azure/cloud-adoption-framework/ready/landing-zone/design-area/multi-tenant/considerations-recommendations" TargetMode="External"/><Relationship Id="rId270" Type="http://schemas.openxmlformats.org/officeDocument/2006/relationships/hyperlink" Target="https://learn.microsoft.com/azure/cloud-adoption-framework/ready/landing-zone/design-area/multi-tenant/considerations-recommendations" TargetMode="External"/><Relationship Id="rId2396" Type="http://schemas.openxmlformats.org/officeDocument/2006/relationships/hyperlink" Target="https://learn.microsoft.com/azure/api-management/api-management-howto-properties?tabs=azure-portal" TargetMode="External"/><Relationship Id="rId130" Type="http://schemas.openxmlformats.org/officeDocument/2006/relationships/hyperlink" Target="https://learn.microsoft.com/azure/cloud-adoption-framework/ready/landing-zone/design-area/multi-tenant/considerations-recommendations" TargetMode="External"/><Relationship Id="rId368" Type="http://schemas.openxmlformats.org/officeDocument/2006/relationships/hyperlink" Target="https://learn.microsoft.com/azure/cloud-adoption-framework/ready/landing-zone/design-area/multi-tenant/considerations-recommendations" TargetMode="External"/><Relationship Id="rId575" Type="http://schemas.openxmlformats.org/officeDocument/2006/relationships/hyperlink" Target="https://learn.microsoft.com/azure/cloud-adoption-framework/ready/landing-zone/design-area/multi-tenant/considerations-recommendations" TargetMode="External"/><Relationship Id="rId782" Type="http://schemas.openxmlformats.org/officeDocument/2006/relationships/hyperlink" Target="https://learn.microsoft.com/azure/cloud-adoption-framework/ready/landing-zone/design-area/multi-tenant/considerations-recommendations" TargetMode="External"/><Relationship Id="rId2049" Type="http://schemas.openxmlformats.org/officeDocument/2006/relationships/hyperlink" Target="https://learn.microsoft.com/azure/cloud-adoption-framework/ready/landing-zone/design-area/multi-tenant/considerations-recommendations" TargetMode="External"/><Relationship Id="rId2256" Type="http://schemas.openxmlformats.org/officeDocument/2006/relationships/hyperlink" Target="https://learn.microsoft.com/azure/cloud-adoption-framework/ready/landing-zone/design-area/multi-tenant/considerations-recommendations" TargetMode="External"/><Relationship Id="rId2463" Type="http://schemas.openxmlformats.org/officeDocument/2006/relationships/hyperlink" Target="https://learn.microsoft.com/azure/service-bus-messaging/monitor-service-bus-reference" TargetMode="External"/><Relationship Id="rId2670" Type="http://schemas.openxmlformats.org/officeDocument/2006/relationships/hyperlink" Target="https://learn.microsoft.com/azure/ai-services/create-account-bicep" TargetMode="External"/><Relationship Id="rId228" Type="http://schemas.openxmlformats.org/officeDocument/2006/relationships/hyperlink" Target="https://learn.microsoft.com/azure/cloud-adoption-framework/ready/landing-zone/design-area/multi-tenant/considerations-recommendations" TargetMode="External"/><Relationship Id="rId435" Type="http://schemas.openxmlformats.org/officeDocument/2006/relationships/hyperlink" Target="https://learn.microsoft.com/azure/cloud-adoption-framework/ready/landing-zone/design-area/multi-tenant/considerations-recommendations" TargetMode="External"/><Relationship Id="rId642" Type="http://schemas.openxmlformats.org/officeDocument/2006/relationships/hyperlink" Target="https://learn.microsoft.com/azure/cloud-adoption-framework/ready/landing-zone/design-area/multi-tenant/considerations-recommendations" TargetMode="External"/><Relationship Id="rId1065" Type="http://schemas.openxmlformats.org/officeDocument/2006/relationships/hyperlink" Target="https://learn.microsoft.com/azure/cloud-adoption-framework/ready/landing-zone/design-area/multi-tenant/considerations-recommendations" TargetMode="External"/><Relationship Id="rId1272" Type="http://schemas.openxmlformats.org/officeDocument/2006/relationships/hyperlink" Target="https://learn.microsoft.com/azure/cloud-adoption-framework/ready/landing-zone/design-area/multi-tenant/considerations-recommendations" TargetMode="External"/><Relationship Id="rId2116" Type="http://schemas.openxmlformats.org/officeDocument/2006/relationships/hyperlink" Target="https://learn.microsoft.com/azure/cloud-adoption-framework/ready/landing-zone/design-area/multi-tenant/considerations-recommendations" TargetMode="External"/><Relationship Id="rId2323" Type="http://schemas.openxmlformats.org/officeDocument/2006/relationships/hyperlink" Target="https://learn.microsoft.com/azure/cloud-adoption-framework/ready/landing-zone/design-area/multi-tenant/considerations-recommendations" TargetMode="External"/><Relationship Id="rId2530" Type="http://schemas.openxmlformats.org/officeDocument/2006/relationships/hyperlink" Target="https://learn.microsoft.com/azure/event-hubs/authorize-access-azure-active-directory" TargetMode="External"/><Relationship Id="rId2768" Type="http://schemas.openxmlformats.org/officeDocument/2006/relationships/ctrlProp" Target="../ctrlProps/ctrlProp1.xml"/><Relationship Id="rId502" Type="http://schemas.openxmlformats.org/officeDocument/2006/relationships/hyperlink" Target="https://learn.microsoft.com/azure/cloud-adoption-framework/ready/landing-zone/design-area/multi-tenant/considerations-recommendations" TargetMode="External"/><Relationship Id="rId947" Type="http://schemas.openxmlformats.org/officeDocument/2006/relationships/hyperlink" Target="https://learn.microsoft.com/azure/cloud-adoption-framework/ready/landing-zone/design-area/multi-tenant/considerations-recommendations" TargetMode="External"/><Relationship Id="rId1132" Type="http://schemas.openxmlformats.org/officeDocument/2006/relationships/hyperlink" Target="https://learn.microsoft.com/azure/cloud-adoption-framework/ready/landing-zone/design-area/multi-tenant/considerations-recommendations" TargetMode="External"/><Relationship Id="rId1577" Type="http://schemas.openxmlformats.org/officeDocument/2006/relationships/hyperlink" Target="https://learn.microsoft.com/azure/cloud-adoption-framework/ready/landing-zone/design-area/multi-tenant/considerations-recommendations" TargetMode="External"/><Relationship Id="rId1784" Type="http://schemas.openxmlformats.org/officeDocument/2006/relationships/hyperlink" Target="https://learn.microsoft.com/azure/cloud-adoption-framework/ready/landing-zone/design-area/multi-tenant/considerations-recommendations" TargetMode="External"/><Relationship Id="rId1991" Type="http://schemas.openxmlformats.org/officeDocument/2006/relationships/hyperlink" Target="https://learn.microsoft.com/azure/cloud-adoption-framework/ready/landing-zone/design-area/multi-tenant/considerations-recommendations" TargetMode="External"/><Relationship Id="rId2628" Type="http://schemas.openxmlformats.org/officeDocument/2006/relationships/hyperlink" Target="https://learn.microsoft.com/azure/ai-services/openai/concepts/model-retirements" TargetMode="External"/><Relationship Id="rId76" Type="http://schemas.openxmlformats.org/officeDocument/2006/relationships/hyperlink" Target="https://learn.microsoft.com/azure/cloud-adoption-framework/ready/landing-zone/design-area/multi-tenant/considerations-recommendations" TargetMode="External"/><Relationship Id="rId807" Type="http://schemas.openxmlformats.org/officeDocument/2006/relationships/hyperlink" Target="https://learn.microsoft.com/azure/cloud-adoption-framework/ready/landing-zone/design-area/multi-tenant/considerations-recommendations" TargetMode="External"/><Relationship Id="rId1437" Type="http://schemas.openxmlformats.org/officeDocument/2006/relationships/hyperlink" Target="https://learn.microsoft.com/azure/cloud-adoption-framework/ready/landing-zone/design-area/multi-tenant/considerations-recommendations" TargetMode="External"/><Relationship Id="rId1644" Type="http://schemas.openxmlformats.org/officeDocument/2006/relationships/hyperlink" Target="https://learn.microsoft.com/azure/cloud-adoption-framework/ready/landing-zone/design-area/multi-tenant/considerations-recommendations" TargetMode="External"/><Relationship Id="rId1851" Type="http://schemas.openxmlformats.org/officeDocument/2006/relationships/hyperlink" Target="https://learn.microsoft.com/azure/cloud-adoption-framework/ready/landing-zone/design-area/multi-tenant/considerations-recommendations" TargetMode="External"/><Relationship Id="rId1504" Type="http://schemas.openxmlformats.org/officeDocument/2006/relationships/hyperlink" Target="https://learn.microsoft.com/azure/cloud-adoption-framework/ready/landing-zone/design-area/multi-tenant/considerations-recommendations" TargetMode="External"/><Relationship Id="rId1711" Type="http://schemas.openxmlformats.org/officeDocument/2006/relationships/hyperlink" Target="https://learn.microsoft.com/azure/cloud-adoption-framework/ready/landing-zone/design-area/multi-tenant/considerations-recommendations" TargetMode="External"/><Relationship Id="rId1949" Type="http://schemas.openxmlformats.org/officeDocument/2006/relationships/hyperlink" Target="https://learn.microsoft.com/azure/cloud-adoption-framework/ready/landing-zone/design-area/multi-tenant/considerations-recommendations" TargetMode="External"/><Relationship Id="rId292" Type="http://schemas.openxmlformats.org/officeDocument/2006/relationships/hyperlink" Target="https://learn.microsoft.com/azure/cloud-adoption-framework/ready/landing-zone/design-area/multi-tenant/considerations-recommendations" TargetMode="External"/><Relationship Id="rId1809" Type="http://schemas.openxmlformats.org/officeDocument/2006/relationships/hyperlink" Target="https://learn.microsoft.com/azure/cloud-adoption-framework/ready/landing-zone/design-area/multi-tenant/considerations-recommendations" TargetMode="External"/><Relationship Id="rId597" Type="http://schemas.openxmlformats.org/officeDocument/2006/relationships/hyperlink" Target="https://learn.microsoft.com/azure/cloud-adoption-framework/ready/landing-zone/design-area/multi-tenant/considerations-recommendations" TargetMode="External"/><Relationship Id="rId2180" Type="http://schemas.openxmlformats.org/officeDocument/2006/relationships/hyperlink" Target="https://learn.microsoft.com/azure/cloud-adoption-framework/ready/landing-zone/design-area/multi-tenant/considerations-recommendations" TargetMode="External"/><Relationship Id="rId2278" Type="http://schemas.openxmlformats.org/officeDocument/2006/relationships/hyperlink" Target="https://learn.microsoft.com/azure/cloud-adoption-framework/ready/landing-zone/design-area/multi-tenant/considerations-recommendations" TargetMode="External"/><Relationship Id="rId2485" Type="http://schemas.openxmlformats.org/officeDocument/2006/relationships/hyperlink" Target="https://learn.microsoft.com/azure/spring-apps/concept-understand-app-and-deployment" TargetMode="External"/><Relationship Id="rId152" Type="http://schemas.openxmlformats.org/officeDocument/2006/relationships/hyperlink" Target="https://learn.microsoft.com/azure/cloud-adoption-framework/ready/landing-zone/design-area/multi-tenant/considerations-recommendations" TargetMode="External"/><Relationship Id="rId457" Type="http://schemas.openxmlformats.org/officeDocument/2006/relationships/hyperlink" Target="https://learn.microsoft.com/azure/cloud-adoption-framework/ready/landing-zone/design-area/multi-tenant/considerations-recommendations" TargetMode="External"/><Relationship Id="rId1087" Type="http://schemas.openxmlformats.org/officeDocument/2006/relationships/hyperlink" Target="https://learn.microsoft.com/azure/cloud-adoption-framework/ready/landing-zone/design-area/multi-tenant/considerations-recommendations" TargetMode="External"/><Relationship Id="rId1294" Type="http://schemas.openxmlformats.org/officeDocument/2006/relationships/hyperlink" Target="https://learn.microsoft.com/azure/cloud-adoption-framework/ready/landing-zone/design-area/multi-tenant/considerations-recommendations" TargetMode="External"/><Relationship Id="rId2040" Type="http://schemas.openxmlformats.org/officeDocument/2006/relationships/hyperlink" Target="https://learn.microsoft.com/azure/cloud-adoption-framework/ready/landing-zone/design-area/multi-tenant/considerations-recommendations" TargetMode="External"/><Relationship Id="rId2138" Type="http://schemas.openxmlformats.org/officeDocument/2006/relationships/hyperlink" Target="https://learn.microsoft.com/azure/cloud-adoption-framework/ready/landing-zone/design-area/multi-tenant/considerations-recommendations" TargetMode="External"/><Relationship Id="rId2692" Type="http://schemas.openxmlformats.org/officeDocument/2006/relationships/hyperlink" Target="https://learn.microsoft.com/legal/cognitive-services/openai/code-of-conduct" TargetMode="External"/><Relationship Id="rId664" Type="http://schemas.openxmlformats.org/officeDocument/2006/relationships/hyperlink" Target="https://learn.microsoft.com/azure/cloud-adoption-framework/ready/landing-zone/design-area/multi-tenant/considerations-recommendations" TargetMode="External"/><Relationship Id="rId871" Type="http://schemas.openxmlformats.org/officeDocument/2006/relationships/hyperlink" Target="https://learn.microsoft.com/azure/cloud-adoption-framework/ready/landing-zone/design-area/multi-tenant/considerations-recommendations" TargetMode="External"/><Relationship Id="rId969" Type="http://schemas.openxmlformats.org/officeDocument/2006/relationships/hyperlink" Target="https://learn.microsoft.com/azure/cloud-adoption-framework/ready/landing-zone/design-area/multi-tenant/considerations-recommendations" TargetMode="External"/><Relationship Id="rId1599" Type="http://schemas.openxmlformats.org/officeDocument/2006/relationships/hyperlink" Target="https://learn.microsoft.com/azure/cloud-adoption-framework/ready/landing-zone/design-area/multi-tenant/considerations-recommendations" TargetMode="External"/><Relationship Id="rId2345" Type="http://schemas.openxmlformats.org/officeDocument/2006/relationships/hyperlink" Target="https://learn.microsoft.com/azure/cloud-adoption-framework/ready/landing-zone/design-area/multi-tenant/considerations-recommendations" TargetMode="External"/><Relationship Id="rId2552" Type="http://schemas.openxmlformats.org/officeDocument/2006/relationships/hyperlink" Target="https://learn.microsoft.com/learn/paths/secure-application-delivery/" TargetMode="External"/><Relationship Id="rId317" Type="http://schemas.openxmlformats.org/officeDocument/2006/relationships/hyperlink" Target="https://learn.microsoft.com/azure/cloud-adoption-framework/ready/landing-zone/design-area/multi-tenant/considerations-recommendations" TargetMode="External"/><Relationship Id="rId524" Type="http://schemas.openxmlformats.org/officeDocument/2006/relationships/hyperlink" Target="https://learn.microsoft.com/azure/cloud-adoption-framework/ready/landing-zone/design-area/multi-tenant/considerations-recommendations" TargetMode="External"/><Relationship Id="rId731" Type="http://schemas.openxmlformats.org/officeDocument/2006/relationships/hyperlink" Target="https://learn.microsoft.com/azure/cloud-adoption-framework/ready/landing-zone/design-area/multi-tenant/considerations-recommendations" TargetMode="External"/><Relationship Id="rId1154" Type="http://schemas.openxmlformats.org/officeDocument/2006/relationships/hyperlink" Target="https://learn.microsoft.com/azure/cloud-adoption-framework/ready/landing-zone/design-area/multi-tenant/considerations-recommendations" TargetMode="External"/><Relationship Id="rId1361" Type="http://schemas.openxmlformats.org/officeDocument/2006/relationships/hyperlink" Target="https://learn.microsoft.com/azure/cloud-adoption-framework/ready/landing-zone/design-area/multi-tenant/considerations-recommendations" TargetMode="External"/><Relationship Id="rId1459" Type="http://schemas.openxmlformats.org/officeDocument/2006/relationships/hyperlink" Target="https://learn.microsoft.com/azure/cloud-adoption-framework/ready/landing-zone/design-area/multi-tenant/considerations-recommendations" TargetMode="External"/><Relationship Id="rId2205" Type="http://schemas.openxmlformats.org/officeDocument/2006/relationships/hyperlink" Target="https://learn.microsoft.com/azure/cloud-adoption-framework/ready/landing-zone/design-area/multi-tenant/considerations-recommendations" TargetMode="External"/><Relationship Id="rId2412" Type="http://schemas.openxmlformats.org/officeDocument/2006/relationships/hyperlink" Target="https://learn.microsoft.com/security/benchmark/azure/baselines/api-management-security-baseline?toc=%2Fazure%2Fapi-management%2F&amp;bc=%2Fazure%2Fapi-management%2Fbreadcrumb%2Ftoc.json" TargetMode="External"/><Relationship Id="rId98" Type="http://schemas.openxmlformats.org/officeDocument/2006/relationships/hyperlink" Target="https://learn.microsoft.com/azure/cloud-adoption-framework/ready/landing-zone/design-area/multi-tenant/considerations-recommendations" TargetMode="External"/><Relationship Id="rId829" Type="http://schemas.openxmlformats.org/officeDocument/2006/relationships/hyperlink" Target="https://learn.microsoft.com/azure/cloud-adoption-framework/ready/landing-zone/design-area/multi-tenant/considerations-recommendations" TargetMode="External"/><Relationship Id="rId1014" Type="http://schemas.openxmlformats.org/officeDocument/2006/relationships/hyperlink" Target="https://learn.microsoft.com/azure/cloud-adoption-framework/ready/landing-zone/design-area/multi-tenant/considerations-recommendations" TargetMode="External"/><Relationship Id="rId1221" Type="http://schemas.openxmlformats.org/officeDocument/2006/relationships/hyperlink" Target="https://learn.microsoft.com/azure/cloud-adoption-framework/ready/landing-zone/design-area/multi-tenant/considerations-recommendations" TargetMode="External"/><Relationship Id="rId1666" Type="http://schemas.openxmlformats.org/officeDocument/2006/relationships/hyperlink" Target="https://learn.microsoft.com/azure/cloud-adoption-framework/ready/landing-zone/design-area/multi-tenant/considerations-recommendations" TargetMode="External"/><Relationship Id="rId1873" Type="http://schemas.openxmlformats.org/officeDocument/2006/relationships/hyperlink" Target="https://learn.microsoft.com/azure/cloud-adoption-framework/ready/landing-zone/design-area/multi-tenant/considerations-recommendations" TargetMode="External"/><Relationship Id="rId2717" Type="http://schemas.openxmlformats.org/officeDocument/2006/relationships/hyperlink" Target="https://www.microsoft.com/securityengineering/sdl/threatmodeling" TargetMode="External"/><Relationship Id="rId1319" Type="http://schemas.openxmlformats.org/officeDocument/2006/relationships/hyperlink" Target="https://learn.microsoft.com/azure/cloud-adoption-framework/ready/landing-zone/design-area/multi-tenant/considerations-recommendations" TargetMode="External"/><Relationship Id="rId1526" Type="http://schemas.openxmlformats.org/officeDocument/2006/relationships/hyperlink" Target="https://learn.microsoft.com/azure/cloud-adoption-framework/ready/landing-zone/design-area/multi-tenant/considerations-recommendations" TargetMode="External"/><Relationship Id="rId1733" Type="http://schemas.openxmlformats.org/officeDocument/2006/relationships/hyperlink" Target="https://learn.microsoft.com/azure/cloud-adoption-framework/ready/landing-zone/design-area/multi-tenant/considerations-recommendations" TargetMode="External"/><Relationship Id="rId1940" Type="http://schemas.openxmlformats.org/officeDocument/2006/relationships/hyperlink" Target="https://learn.microsoft.com/azure/cloud-adoption-framework/ready/landing-zone/design-area/multi-tenant/considerations-recommendations" TargetMode="External"/><Relationship Id="rId25" Type="http://schemas.openxmlformats.org/officeDocument/2006/relationships/hyperlink" Target="https://learn.microsoft.com/azure/cloud-adoption-framework/ready/landing-zone/design-area/multi-tenant/considerations-recommendations" TargetMode="External"/><Relationship Id="rId1800" Type="http://schemas.openxmlformats.org/officeDocument/2006/relationships/hyperlink" Target="https://learn.microsoft.com/azure/cloud-adoption-framework/ready/landing-zone/design-area/multi-tenant/considerations-recommendations" TargetMode="External"/><Relationship Id="rId174" Type="http://schemas.openxmlformats.org/officeDocument/2006/relationships/hyperlink" Target="https://learn.microsoft.com/azure/cloud-adoption-framework/ready/landing-zone/design-area/multi-tenant/considerations-recommendations" TargetMode="External"/><Relationship Id="rId381" Type="http://schemas.openxmlformats.org/officeDocument/2006/relationships/hyperlink" Target="https://learn.microsoft.com/azure/cloud-adoption-framework/ready/landing-zone/design-area/multi-tenant/considerations-recommendations" TargetMode="External"/><Relationship Id="rId2062" Type="http://schemas.openxmlformats.org/officeDocument/2006/relationships/hyperlink" Target="https://learn.microsoft.com/azure/cloud-adoption-framework/ready/landing-zone/design-area/multi-tenant/considerations-recommendations" TargetMode="External"/><Relationship Id="rId241" Type="http://schemas.openxmlformats.org/officeDocument/2006/relationships/hyperlink" Target="https://learn.microsoft.com/azure/cloud-adoption-framework/ready/landing-zone/design-area/multi-tenant/considerations-recommendations" TargetMode="External"/><Relationship Id="rId479" Type="http://schemas.openxmlformats.org/officeDocument/2006/relationships/hyperlink" Target="https://learn.microsoft.com/azure/cloud-adoption-framework/ready/landing-zone/design-area/multi-tenant/considerations-recommendations" TargetMode="External"/><Relationship Id="rId686" Type="http://schemas.openxmlformats.org/officeDocument/2006/relationships/hyperlink" Target="https://learn.microsoft.com/azure/cloud-adoption-framework/ready/landing-zone/design-area/multi-tenant/considerations-recommendations" TargetMode="External"/><Relationship Id="rId893" Type="http://schemas.openxmlformats.org/officeDocument/2006/relationships/hyperlink" Target="https://learn.microsoft.com/azure/cloud-adoption-framework/ready/landing-zone/design-area/multi-tenant/considerations-recommendations" TargetMode="External"/><Relationship Id="rId2367" Type="http://schemas.openxmlformats.org/officeDocument/2006/relationships/hyperlink" Target="https://learn.microsoft.com/azure/key-vault/general/best-practices" TargetMode="External"/><Relationship Id="rId2574" Type="http://schemas.openxmlformats.org/officeDocument/2006/relationships/hyperlink" Target="https://learn.microsoft.com/azure/frontdoor/best-practices" TargetMode="External"/><Relationship Id="rId339" Type="http://schemas.openxmlformats.org/officeDocument/2006/relationships/hyperlink" Target="https://learn.microsoft.com/azure/cloud-adoption-framework/ready/landing-zone/design-area/multi-tenant/considerations-recommendations" TargetMode="External"/><Relationship Id="rId546" Type="http://schemas.openxmlformats.org/officeDocument/2006/relationships/hyperlink" Target="https://learn.microsoft.com/azure/cloud-adoption-framework/ready/landing-zone/design-area/multi-tenant/considerations-recommendations" TargetMode="External"/><Relationship Id="rId753" Type="http://schemas.openxmlformats.org/officeDocument/2006/relationships/hyperlink" Target="https://learn.microsoft.com/azure/cloud-adoption-framework/ready/landing-zone/design-area/multi-tenant/considerations-recommendations" TargetMode="External"/><Relationship Id="rId1176" Type="http://schemas.openxmlformats.org/officeDocument/2006/relationships/hyperlink" Target="https://learn.microsoft.com/azure/cloud-adoption-framework/ready/landing-zone/design-area/multi-tenant/considerations-recommendations" TargetMode="External"/><Relationship Id="rId1383" Type="http://schemas.openxmlformats.org/officeDocument/2006/relationships/hyperlink" Target="https://learn.microsoft.com/azure/cloud-adoption-framework/ready/landing-zone/design-area/multi-tenant/considerations-recommendations" TargetMode="External"/><Relationship Id="rId2227" Type="http://schemas.openxmlformats.org/officeDocument/2006/relationships/hyperlink" Target="https://learn.microsoft.com/azure/cloud-adoption-framework/ready/landing-zone/design-area/multi-tenant/considerations-recommendations" TargetMode="External"/><Relationship Id="rId2434" Type="http://schemas.openxmlformats.org/officeDocument/2006/relationships/hyperlink" Target="https://learn.microsoft.com/azure/app-service/overview-managed-identity?tabs=portal%2Chttp" TargetMode="External"/><Relationship Id="rId101" Type="http://schemas.openxmlformats.org/officeDocument/2006/relationships/hyperlink" Target="https://learn.microsoft.com/azure/cloud-adoption-framework/ready/landing-zone/design-area/multi-tenant/considerations-recommendations" TargetMode="External"/><Relationship Id="rId406" Type="http://schemas.openxmlformats.org/officeDocument/2006/relationships/hyperlink" Target="https://learn.microsoft.com/azure/cloud-adoption-framework/ready/landing-zone/design-area/multi-tenant/considerations-recommendations" TargetMode="External"/><Relationship Id="rId960" Type="http://schemas.openxmlformats.org/officeDocument/2006/relationships/hyperlink" Target="https://learn.microsoft.com/azure/cloud-adoption-framework/ready/landing-zone/design-area/multi-tenant/considerations-recommendations" TargetMode="External"/><Relationship Id="rId1036" Type="http://schemas.openxmlformats.org/officeDocument/2006/relationships/hyperlink" Target="https://learn.microsoft.com/azure/cloud-adoption-framework/ready/landing-zone/design-area/multi-tenant/considerations-recommendations" TargetMode="External"/><Relationship Id="rId1243" Type="http://schemas.openxmlformats.org/officeDocument/2006/relationships/hyperlink" Target="https://learn.microsoft.com/azure/cloud-adoption-framework/ready/landing-zone/design-area/multi-tenant/considerations-recommendations" TargetMode="External"/><Relationship Id="rId1590" Type="http://schemas.openxmlformats.org/officeDocument/2006/relationships/hyperlink" Target="https://learn.microsoft.com/azure/cloud-adoption-framework/ready/landing-zone/design-area/multi-tenant/considerations-recommendations" TargetMode="External"/><Relationship Id="rId1688" Type="http://schemas.openxmlformats.org/officeDocument/2006/relationships/hyperlink" Target="https://learn.microsoft.com/azure/cloud-adoption-framework/ready/landing-zone/design-area/multi-tenant/considerations-recommendations" TargetMode="External"/><Relationship Id="rId1895" Type="http://schemas.openxmlformats.org/officeDocument/2006/relationships/hyperlink" Target="https://learn.microsoft.com/azure/cloud-adoption-framework/ready/landing-zone/design-area/multi-tenant/considerations-recommendations" TargetMode="External"/><Relationship Id="rId2641" Type="http://schemas.openxmlformats.org/officeDocument/2006/relationships/hyperlink" Target="https://github.com/Azure-Samples/AI-Gateway" TargetMode="External"/><Relationship Id="rId2739" Type="http://schemas.openxmlformats.org/officeDocument/2006/relationships/hyperlink" Target="https://learn.microsoft.com/azure/defender-for-cloud/ai-onboarding" TargetMode="External"/><Relationship Id="rId613" Type="http://schemas.openxmlformats.org/officeDocument/2006/relationships/hyperlink" Target="https://learn.microsoft.com/azure/cloud-adoption-framework/ready/landing-zone/design-area/multi-tenant/considerations-recommendations" TargetMode="External"/><Relationship Id="rId820" Type="http://schemas.openxmlformats.org/officeDocument/2006/relationships/hyperlink" Target="https://learn.microsoft.com/azure/cloud-adoption-framework/ready/landing-zone/design-area/multi-tenant/considerations-recommendations" TargetMode="External"/><Relationship Id="rId918" Type="http://schemas.openxmlformats.org/officeDocument/2006/relationships/hyperlink" Target="https://learn.microsoft.com/azure/cloud-adoption-framework/ready/landing-zone/design-area/multi-tenant/considerations-recommendations" TargetMode="External"/><Relationship Id="rId1450" Type="http://schemas.openxmlformats.org/officeDocument/2006/relationships/hyperlink" Target="https://learn.microsoft.com/azure/cloud-adoption-framework/ready/landing-zone/design-area/multi-tenant/considerations-recommendations" TargetMode="External"/><Relationship Id="rId1548" Type="http://schemas.openxmlformats.org/officeDocument/2006/relationships/hyperlink" Target="https://learn.microsoft.com/azure/cloud-adoption-framework/ready/landing-zone/design-area/multi-tenant/considerations-recommendations" TargetMode="External"/><Relationship Id="rId1755" Type="http://schemas.openxmlformats.org/officeDocument/2006/relationships/hyperlink" Target="https://learn.microsoft.com/azure/cloud-adoption-framework/ready/landing-zone/design-area/multi-tenant/considerations-recommendations" TargetMode="External"/><Relationship Id="rId2501" Type="http://schemas.openxmlformats.org/officeDocument/2006/relationships/hyperlink" Target="https://learn.microsoft.com/azure/storage/blobs/storage-custom-domain-name" TargetMode="External"/><Relationship Id="rId1103" Type="http://schemas.openxmlformats.org/officeDocument/2006/relationships/hyperlink" Target="https://learn.microsoft.com/azure/cloud-adoption-framework/ready/landing-zone/design-area/multi-tenant/considerations-recommendations" TargetMode="External"/><Relationship Id="rId1310" Type="http://schemas.openxmlformats.org/officeDocument/2006/relationships/hyperlink" Target="https://learn.microsoft.com/azure/cloud-adoption-framework/ready/landing-zone/design-area/multi-tenant/considerations-recommendations" TargetMode="External"/><Relationship Id="rId1408" Type="http://schemas.openxmlformats.org/officeDocument/2006/relationships/hyperlink" Target="https://learn.microsoft.com/azure/cloud-adoption-framework/ready/landing-zone/design-area/multi-tenant/considerations-recommendations" TargetMode="External"/><Relationship Id="rId1962" Type="http://schemas.openxmlformats.org/officeDocument/2006/relationships/hyperlink" Target="https://learn.microsoft.com/azure/cloud-adoption-framework/ready/landing-zone/design-area/multi-tenant/considerations-recommendations" TargetMode="External"/><Relationship Id="rId47" Type="http://schemas.openxmlformats.org/officeDocument/2006/relationships/hyperlink" Target="https://learn.microsoft.com/azure/cloud-adoption-framework/ready/landing-zone/design-area/multi-tenant/considerations-recommendations" TargetMode="External"/><Relationship Id="rId1615" Type="http://schemas.openxmlformats.org/officeDocument/2006/relationships/hyperlink" Target="https://learn.microsoft.com/azure/cloud-adoption-framework/ready/landing-zone/design-area/multi-tenant/considerations-recommendations" TargetMode="External"/><Relationship Id="rId1822" Type="http://schemas.openxmlformats.org/officeDocument/2006/relationships/hyperlink" Target="https://learn.microsoft.com/azure/cloud-adoption-framework/ready/landing-zone/design-area/multi-tenant/considerations-recommendations" TargetMode="External"/><Relationship Id="rId196" Type="http://schemas.openxmlformats.org/officeDocument/2006/relationships/hyperlink" Target="https://learn.microsoft.com/azure/cloud-adoption-framework/ready/landing-zone/design-area/multi-tenant/considerations-recommendations" TargetMode="External"/><Relationship Id="rId2084" Type="http://schemas.openxmlformats.org/officeDocument/2006/relationships/hyperlink" Target="https://learn.microsoft.com/azure/cloud-adoption-framework/ready/landing-zone/design-area/multi-tenant/considerations-recommendations" TargetMode="External"/><Relationship Id="rId2291" Type="http://schemas.openxmlformats.org/officeDocument/2006/relationships/hyperlink" Target="https://learn.microsoft.com/azure/cloud-adoption-framework/ready/landing-zone/design-area/multi-tenant/considerations-recommendations" TargetMode="External"/><Relationship Id="rId263" Type="http://schemas.openxmlformats.org/officeDocument/2006/relationships/hyperlink" Target="https://learn.microsoft.com/azure/cloud-adoption-framework/ready/landing-zone/design-area/multi-tenant/considerations-recommendations" TargetMode="External"/><Relationship Id="rId470" Type="http://schemas.openxmlformats.org/officeDocument/2006/relationships/hyperlink" Target="https://learn.microsoft.com/azure/cloud-adoption-framework/ready/landing-zone/design-area/multi-tenant/considerations-recommendations" TargetMode="External"/><Relationship Id="rId2151" Type="http://schemas.openxmlformats.org/officeDocument/2006/relationships/hyperlink" Target="https://learn.microsoft.com/azure/cloud-adoption-framework/ready/landing-zone/design-area/multi-tenant/considerations-recommendations" TargetMode="External"/><Relationship Id="rId2389" Type="http://schemas.openxmlformats.org/officeDocument/2006/relationships/hyperlink" Target="https://learn.microsoft.com/azure/api-management/api-management-howto-use-azure-monitor" TargetMode="External"/><Relationship Id="rId2596" Type="http://schemas.openxmlformats.org/officeDocument/2006/relationships/hyperlink" Target="https://learn.microsoft.com/azure/site-recovery/site-recovery-overview" TargetMode="External"/><Relationship Id="rId123" Type="http://schemas.openxmlformats.org/officeDocument/2006/relationships/hyperlink" Target="https://learn.microsoft.com/azure/cloud-adoption-framework/ready/landing-zone/design-area/multi-tenant/considerations-recommendations" TargetMode="External"/><Relationship Id="rId330" Type="http://schemas.openxmlformats.org/officeDocument/2006/relationships/hyperlink" Target="https://learn.microsoft.com/azure/cloud-adoption-framework/ready/landing-zone/design-area/multi-tenant/considerations-recommendations" TargetMode="External"/><Relationship Id="rId568" Type="http://schemas.openxmlformats.org/officeDocument/2006/relationships/hyperlink" Target="https://learn.microsoft.com/azure/cloud-adoption-framework/ready/landing-zone/design-area/multi-tenant/considerations-recommendations" TargetMode="External"/><Relationship Id="rId775" Type="http://schemas.openxmlformats.org/officeDocument/2006/relationships/hyperlink" Target="https://learn.microsoft.com/azure/cloud-adoption-framework/ready/landing-zone/design-area/multi-tenant/considerations-recommendations" TargetMode="External"/><Relationship Id="rId982" Type="http://schemas.openxmlformats.org/officeDocument/2006/relationships/hyperlink" Target="https://learn.microsoft.com/azure/cloud-adoption-framework/ready/landing-zone/design-area/multi-tenant/considerations-recommendations" TargetMode="External"/><Relationship Id="rId1198" Type="http://schemas.openxmlformats.org/officeDocument/2006/relationships/hyperlink" Target="https://learn.microsoft.com/azure/cloud-adoption-framework/ready/landing-zone/design-area/multi-tenant/considerations-recommendations" TargetMode="External"/><Relationship Id="rId2011" Type="http://schemas.openxmlformats.org/officeDocument/2006/relationships/hyperlink" Target="https://learn.microsoft.com/azure/cloud-adoption-framework/ready/landing-zone/design-area/multi-tenant/considerations-recommendations" TargetMode="External"/><Relationship Id="rId2249" Type="http://schemas.openxmlformats.org/officeDocument/2006/relationships/hyperlink" Target="https://learn.microsoft.com/azure/cloud-adoption-framework/ready/landing-zone/design-area/multi-tenant/considerations-recommendations" TargetMode="External"/><Relationship Id="rId2456" Type="http://schemas.openxmlformats.org/officeDocument/2006/relationships/hyperlink" Target="https://learn.microsoft.com/learn/modules/secure-aad-users-with-mfa/" TargetMode="External"/><Relationship Id="rId2663" Type="http://schemas.openxmlformats.org/officeDocument/2006/relationships/hyperlink" Target="https://learn.microsoft.com/azure/ai-services/openai/concepts/models?branch=main&amp;tabs=python-secure" TargetMode="External"/><Relationship Id="rId428" Type="http://schemas.openxmlformats.org/officeDocument/2006/relationships/hyperlink" Target="https://learn.microsoft.com/azure/cloud-adoption-framework/ready/landing-zone/design-area/multi-tenant/considerations-recommendations" TargetMode="External"/><Relationship Id="rId635" Type="http://schemas.openxmlformats.org/officeDocument/2006/relationships/hyperlink" Target="https://learn.microsoft.com/azure/cloud-adoption-framework/ready/landing-zone/design-area/multi-tenant/considerations-recommendations" TargetMode="External"/><Relationship Id="rId842" Type="http://schemas.openxmlformats.org/officeDocument/2006/relationships/hyperlink" Target="https://learn.microsoft.com/azure/cloud-adoption-framework/ready/landing-zone/design-area/multi-tenant/considerations-recommendations" TargetMode="External"/><Relationship Id="rId1058" Type="http://schemas.openxmlformats.org/officeDocument/2006/relationships/hyperlink" Target="https://learn.microsoft.com/azure/cloud-adoption-framework/ready/landing-zone/design-area/multi-tenant/considerations-recommendations" TargetMode="External"/><Relationship Id="rId1265" Type="http://schemas.openxmlformats.org/officeDocument/2006/relationships/hyperlink" Target="https://learn.microsoft.com/azure/cloud-adoption-framework/ready/landing-zone/design-area/multi-tenant/considerations-recommendations" TargetMode="External"/><Relationship Id="rId1472" Type="http://schemas.openxmlformats.org/officeDocument/2006/relationships/hyperlink" Target="https://learn.microsoft.com/azure/cloud-adoption-framework/ready/landing-zone/design-area/multi-tenant/considerations-recommendations" TargetMode="External"/><Relationship Id="rId2109" Type="http://schemas.openxmlformats.org/officeDocument/2006/relationships/hyperlink" Target="https://learn.microsoft.com/azure/cloud-adoption-framework/ready/landing-zone/design-area/multi-tenant/considerations-recommendations" TargetMode="External"/><Relationship Id="rId2316" Type="http://schemas.openxmlformats.org/officeDocument/2006/relationships/hyperlink" Target="https://learn.microsoft.com/azure/cloud-adoption-framework/ready/landing-zone/design-area/multi-tenant/considerations-recommendations" TargetMode="External"/><Relationship Id="rId2523" Type="http://schemas.openxmlformats.org/officeDocument/2006/relationships/hyperlink" Target="https://learn.microsoft.com/learn/modules/plan-implement-administer-conditional-access/" TargetMode="External"/><Relationship Id="rId2730" Type="http://schemas.openxmlformats.org/officeDocument/2006/relationships/hyperlink" Target="https://learn.microsoft.com/purview/unified-catalog?branch=main" TargetMode="External"/><Relationship Id="rId702" Type="http://schemas.openxmlformats.org/officeDocument/2006/relationships/hyperlink" Target="https://learn.microsoft.com/azure/cloud-adoption-framework/ready/landing-zone/design-area/multi-tenant/considerations-recommendations" TargetMode="External"/><Relationship Id="rId1125" Type="http://schemas.openxmlformats.org/officeDocument/2006/relationships/hyperlink" Target="https://learn.microsoft.com/azure/cloud-adoption-framework/ready/landing-zone/design-area/multi-tenant/considerations-recommendations" TargetMode="External"/><Relationship Id="rId1332" Type="http://schemas.openxmlformats.org/officeDocument/2006/relationships/hyperlink" Target="https://learn.microsoft.com/azure/cloud-adoption-framework/ready/landing-zone/design-area/multi-tenant/considerations-recommendations" TargetMode="External"/><Relationship Id="rId1777" Type="http://schemas.openxmlformats.org/officeDocument/2006/relationships/hyperlink" Target="https://learn.microsoft.com/azure/cloud-adoption-framework/ready/landing-zone/design-area/multi-tenant/considerations-recommendations" TargetMode="External"/><Relationship Id="rId1984" Type="http://schemas.openxmlformats.org/officeDocument/2006/relationships/hyperlink" Target="https://learn.microsoft.com/azure/cloud-adoption-framework/ready/landing-zone/design-area/multi-tenant/considerations-recommendations" TargetMode="External"/><Relationship Id="rId69" Type="http://schemas.openxmlformats.org/officeDocument/2006/relationships/hyperlink" Target="https://learn.microsoft.com/azure/cloud-adoption-framework/ready/landing-zone/design-area/multi-tenant/considerations-recommendations" TargetMode="External"/><Relationship Id="rId1637" Type="http://schemas.openxmlformats.org/officeDocument/2006/relationships/hyperlink" Target="https://learn.microsoft.com/azure/cloud-adoption-framework/ready/landing-zone/design-area/multi-tenant/considerations-recommendations" TargetMode="External"/><Relationship Id="rId1844" Type="http://schemas.openxmlformats.org/officeDocument/2006/relationships/hyperlink" Target="https://learn.microsoft.com/azure/cloud-adoption-framework/ready/landing-zone/design-area/multi-tenant/considerations-recommendations" TargetMode="External"/><Relationship Id="rId1704" Type="http://schemas.openxmlformats.org/officeDocument/2006/relationships/hyperlink" Target="https://learn.microsoft.com/azure/cloud-adoption-framework/ready/landing-zone/design-area/multi-tenant/considerations-recommendations" TargetMode="External"/><Relationship Id="rId285" Type="http://schemas.openxmlformats.org/officeDocument/2006/relationships/hyperlink" Target="https://learn.microsoft.com/azure/cloud-adoption-framework/ready/landing-zone/design-area/multi-tenant/considerations-recommendations" TargetMode="External"/><Relationship Id="rId1911" Type="http://schemas.openxmlformats.org/officeDocument/2006/relationships/hyperlink" Target="https://learn.microsoft.com/azure/cloud-adoption-framework/ready/landing-zone/design-area/multi-tenant/considerations-recommendations" TargetMode="External"/><Relationship Id="rId492" Type="http://schemas.openxmlformats.org/officeDocument/2006/relationships/hyperlink" Target="https://learn.microsoft.com/azure/cloud-adoption-framework/ready/landing-zone/design-area/multi-tenant/considerations-recommendations" TargetMode="External"/><Relationship Id="rId797" Type="http://schemas.openxmlformats.org/officeDocument/2006/relationships/hyperlink" Target="https://learn.microsoft.com/azure/cloud-adoption-framework/ready/landing-zone/design-area/multi-tenant/considerations-recommendations" TargetMode="External"/><Relationship Id="rId2173" Type="http://schemas.openxmlformats.org/officeDocument/2006/relationships/hyperlink" Target="https://learn.microsoft.com/azure/cloud-adoption-framework/ready/landing-zone/design-area/multi-tenant/considerations-recommendations" TargetMode="External"/><Relationship Id="rId2380" Type="http://schemas.openxmlformats.org/officeDocument/2006/relationships/hyperlink" Target="https://learn.microsoft.com/azure/storage/common/storage-require-secure-transfer" TargetMode="External"/><Relationship Id="rId2478" Type="http://schemas.openxmlformats.org/officeDocument/2006/relationships/hyperlink" Target="https://learn.microsoft.com/azure/frontdoor/best-practices" TargetMode="External"/><Relationship Id="rId145" Type="http://schemas.openxmlformats.org/officeDocument/2006/relationships/hyperlink" Target="https://learn.microsoft.com/azure/cloud-adoption-framework/ready/landing-zone/design-area/multi-tenant/considerations-recommendations" TargetMode="External"/><Relationship Id="rId352" Type="http://schemas.openxmlformats.org/officeDocument/2006/relationships/hyperlink" Target="https://learn.microsoft.com/azure/cloud-adoption-framework/ready/landing-zone/design-area/multi-tenant/considerations-recommendations" TargetMode="External"/><Relationship Id="rId1287" Type="http://schemas.openxmlformats.org/officeDocument/2006/relationships/hyperlink" Target="https://learn.microsoft.com/azure/cloud-adoption-framework/ready/landing-zone/design-area/multi-tenant/considerations-recommendations" TargetMode="External"/><Relationship Id="rId2033" Type="http://schemas.openxmlformats.org/officeDocument/2006/relationships/hyperlink" Target="https://learn.microsoft.com/azure/cloud-adoption-framework/ready/landing-zone/design-area/multi-tenant/considerations-recommendations" TargetMode="External"/><Relationship Id="rId2240" Type="http://schemas.openxmlformats.org/officeDocument/2006/relationships/hyperlink" Target="https://learn.microsoft.com/azure/cloud-adoption-framework/ready/landing-zone/design-area/multi-tenant/considerations-recommendations" TargetMode="External"/><Relationship Id="rId2685" Type="http://schemas.openxmlformats.org/officeDocument/2006/relationships/hyperlink" Target="https://learn.microsoft.com/azure/ai-services/openai/how-to/deployment-types" TargetMode="External"/><Relationship Id="rId212" Type="http://schemas.openxmlformats.org/officeDocument/2006/relationships/hyperlink" Target="https://learn.microsoft.com/azure/cloud-adoption-framework/ready/landing-zone/design-area/multi-tenant/considerations-recommendations" TargetMode="External"/><Relationship Id="rId657" Type="http://schemas.openxmlformats.org/officeDocument/2006/relationships/hyperlink" Target="https://learn.microsoft.com/azure/cloud-adoption-framework/ready/landing-zone/design-area/multi-tenant/considerations-recommendations" TargetMode="External"/><Relationship Id="rId864" Type="http://schemas.openxmlformats.org/officeDocument/2006/relationships/hyperlink" Target="https://learn.microsoft.com/azure/cloud-adoption-framework/ready/landing-zone/design-area/multi-tenant/considerations-recommendations" TargetMode="External"/><Relationship Id="rId1494" Type="http://schemas.openxmlformats.org/officeDocument/2006/relationships/hyperlink" Target="https://learn.microsoft.com/azure/cloud-adoption-framework/ready/landing-zone/design-area/multi-tenant/considerations-recommendations" TargetMode="External"/><Relationship Id="rId1799" Type="http://schemas.openxmlformats.org/officeDocument/2006/relationships/hyperlink" Target="https://learn.microsoft.com/azure/cloud-adoption-framework/ready/landing-zone/design-area/multi-tenant/considerations-recommendations" TargetMode="External"/><Relationship Id="rId2100" Type="http://schemas.openxmlformats.org/officeDocument/2006/relationships/hyperlink" Target="https://learn.microsoft.com/azure/cloud-adoption-framework/ready/landing-zone/design-area/multi-tenant/considerations-recommendations" TargetMode="External"/><Relationship Id="rId2338" Type="http://schemas.openxmlformats.org/officeDocument/2006/relationships/hyperlink" Target="https://learn.microsoft.com/azure/cloud-adoption-framework/ready/landing-zone/design-area/multi-tenant/considerations-recommendations" TargetMode="External"/><Relationship Id="rId2545" Type="http://schemas.openxmlformats.org/officeDocument/2006/relationships/hyperlink" Target="https://learn.microsoft.com/azure/web-application-firewall/ag/ag-overview" TargetMode="External"/><Relationship Id="rId2752" Type="http://schemas.openxmlformats.org/officeDocument/2006/relationships/hyperlink" Target="https://learn.microsoft.com/azure/key-vault/general/best-practices" TargetMode="External"/><Relationship Id="rId517" Type="http://schemas.openxmlformats.org/officeDocument/2006/relationships/hyperlink" Target="https://learn.microsoft.com/azure/cloud-adoption-framework/ready/landing-zone/design-area/multi-tenant/considerations-recommendations" TargetMode="External"/><Relationship Id="rId724" Type="http://schemas.openxmlformats.org/officeDocument/2006/relationships/hyperlink" Target="https://learn.microsoft.com/azure/cloud-adoption-framework/ready/landing-zone/design-area/multi-tenant/considerations-recommendations" TargetMode="External"/><Relationship Id="rId931" Type="http://schemas.openxmlformats.org/officeDocument/2006/relationships/hyperlink" Target="https://learn.microsoft.com/azure/cloud-adoption-framework/ready/landing-zone/design-area/multi-tenant/considerations-recommendations" TargetMode="External"/><Relationship Id="rId1147" Type="http://schemas.openxmlformats.org/officeDocument/2006/relationships/hyperlink" Target="https://learn.microsoft.com/azure/cloud-adoption-framework/ready/landing-zone/design-area/multi-tenant/considerations-recommendations" TargetMode="External"/><Relationship Id="rId1354" Type="http://schemas.openxmlformats.org/officeDocument/2006/relationships/hyperlink" Target="https://learn.microsoft.com/azure/cloud-adoption-framework/ready/landing-zone/design-area/multi-tenant/considerations-recommendations" TargetMode="External"/><Relationship Id="rId1561" Type="http://schemas.openxmlformats.org/officeDocument/2006/relationships/hyperlink" Target="https://learn.microsoft.com/azure/cloud-adoption-framework/ready/landing-zone/design-area/multi-tenant/considerations-recommendations" TargetMode="External"/><Relationship Id="rId2405" Type="http://schemas.openxmlformats.org/officeDocument/2006/relationships/hyperlink" Target="https://learn.microsoft.com/training/modules/protect-apis-on-api-management/" TargetMode="External"/><Relationship Id="rId2612" Type="http://schemas.openxmlformats.org/officeDocument/2006/relationships/hyperlink" Target="https://github.com/Azure/apim-landing-zone-accelerator/blob/main/scenarios/workload-genai/README.md" TargetMode="External"/><Relationship Id="rId60" Type="http://schemas.openxmlformats.org/officeDocument/2006/relationships/hyperlink" Target="https://learn.microsoft.com/azure/cloud-adoption-framework/ready/landing-zone/design-area/multi-tenant/considerations-recommendations" TargetMode="External"/><Relationship Id="rId1007" Type="http://schemas.openxmlformats.org/officeDocument/2006/relationships/hyperlink" Target="https://learn.microsoft.com/azure/cloud-adoption-framework/ready/landing-zone/design-area/multi-tenant/considerations-recommendations" TargetMode="External"/><Relationship Id="rId1214" Type="http://schemas.openxmlformats.org/officeDocument/2006/relationships/hyperlink" Target="https://learn.microsoft.com/azure/cloud-adoption-framework/ready/landing-zone/design-area/multi-tenant/considerations-recommendations" TargetMode="External"/><Relationship Id="rId1421" Type="http://schemas.openxmlformats.org/officeDocument/2006/relationships/hyperlink" Target="https://learn.microsoft.com/azure/cloud-adoption-framework/ready/landing-zone/design-area/multi-tenant/considerations-recommendations" TargetMode="External"/><Relationship Id="rId1659" Type="http://schemas.openxmlformats.org/officeDocument/2006/relationships/hyperlink" Target="https://learn.microsoft.com/azure/cloud-adoption-framework/ready/landing-zone/design-area/multi-tenant/considerations-recommendations" TargetMode="External"/><Relationship Id="rId1866" Type="http://schemas.openxmlformats.org/officeDocument/2006/relationships/hyperlink" Target="https://learn.microsoft.com/azure/cloud-adoption-framework/ready/landing-zone/design-area/multi-tenant/considerations-recommendations" TargetMode="External"/><Relationship Id="rId1519" Type="http://schemas.openxmlformats.org/officeDocument/2006/relationships/hyperlink" Target="https://learn.microsoft.com/azure/cloud-adoption-framework/ready/landing-zone/design-area/multi-tenant/considerations-recommendations" TargetMode="External"/><Relationship Id="rId1726" Type="http://schemas.openxmlformats.org/officeDocument/2006/relationships/hyperlink" Target="https://learn.microsoft.com/azure/cloud-adoption-framework/ready/landing-zone/design-area/multi-tenant/considerations-recommendations" TargetMode="External"/><Relationship Id="rId1933" Type="http://schemas.openxmlformats.org/officeDocument/2006/relationships/hyperlink" Target="https://learn.microsoft.com/azure/cloud-adoption-framework/ready/landing-zone/design-area/multi-tenant/considerations-recommendations" TargetMode="External"/><Relationship Id="rId18" Type="http://schemas.openxmlformats.org/officeDocument/2006/relationships/hyperlink" Target="https://learn.microsoft.com/azure/cloud-adoption-framework/ready/landing-zone/design-area/multi-tenant/considerations-recommendations" TargetMode="External"/><Relationship Id="rId2195" Type="http://schemas.openxmlformats.org/officeDocument/2006/relationships/hyperlink" Target="https://learn.microsoft.com/azure/cloud-adoption-framework/ready/landing-zone/design-area/multi-tenant/considerations-recommendations" TargetMode="External"/><Relationship Id="rId167" Type="http://schemas.openxmlformats.org/officeDocument/2006/relationships/hyperlink" Target="https://learn.microsoft.com/azure/cloud-adoption-framework/ready/landing-zone/design-area/multi-tenant/considerations-recommendations" TargetMode="External"/><Relationship Id="rId374" Type="http://schemas.openxmlformats.org/officeDocument/2006/relationships/hyperlink" Target="https://learn.microsoft.com/azure/cloud-adoption-framework/ready/landing-zone/design-area/multi-tenant/considerations-recommendations" TargetMode="External"/><Relationship Id="rId581" Type="http://schemas.openxmlformats.org/officeDocument/2006/relationships/hyperlink" Target="https://learn.microsoft.com/azure/cloud-adoption-framework/ready/landing-zone/design-area/multi-tenant/considerations-recommendations" TargetMode="External"/><Relationship Id="rId2055" Type="http://schemas.openxmlformats.org/officeDocument/2006/relationships/hyperlink" Target="https://learn.microsoft.com/azure/cloud-adoption-framework/ready/landing-zone/design-area/multi-tenant/considerations-recommendations" TargetMode="External"/><Relationship Id="rId2262" Type="http://schemas.openxmlformats.org/officeDocument/2006/relationships/hyperlink" Target="https://learn.microsoft.com/azure/cloud-adoption-framework/ready/landing-zone/design-area/multi-tenant/considerations-recommendations" TargetMode="External"/><Relationship Id="rId234" Type="http://schemas.openxmlformats.org/officeDocument/2006/relationships/hyperlink" Target="https://learn.microsoft.com/azure/cloud-adoption-framework/ready/landing-zone/design-area/multi-tenant/considerations-recommendations" TargetMode="External"/><Relationship Id="rId679" Type="http://schemas.openxmlformats.org/officeDocument/2006/relationships/hyperlink" Target="https://learn.microsoft.com/azure/cloud-adoption-framework/ready/landing-zone/design-area/multi-tenant/considerations-recommendations" TargetMode="External"/><Relationship Id="rId886" Type="http://schemas.openxmlformats.org/officeDocument/2006/relationships/hyperlink" Target="https://learn.microsoft.com/azure/cloud-adoption-framework/ready/landing-zone/design-area/multi-tenant/considerations-recommendations" TargetMode="External"/><Relationship Id="rId2567" Type="http://schemas.openxmlformats.org/officeDocument/2006/relationships/hyperlink" Target="https://learn.microsoft.com/azure/frontdoor/best-practices" TargetMode="External"/><Relationship Id="rId2774" Type="http://schemas.openxmlformats.org/officeDocument/2006/relationships/ctrlProp" Target="../ctrlProps/ctrlProp7.xml"/><Relationship Id="rId2" Type="http://schemas.openxmlformats.org/officeDocument/2006/relationships/hyperlink" Target="https://learn.microsoft.com/azure/cloud-adoption-framework/ready/landing-zone/design-area/multi-tenant/considerations-recommendations" TargetMode="External"/><Relationship Id="rId441" Type="http://schemas.openxmlformats.org/officeDocument/2006/relationships/hyperlink" Target="https://learn.microsoft.com/azure/cloud-adoption-framework/ready/landing-zone/design-area/multi-tenant/considerations-recommendations" TargetMode="External"/><Relationship Id="rId539" Type="http://schemas.openxmlformats.org/officeDocument/2006/relationships/hyperlink" Target="https://learn.microsoft.com/azure/cloud-adoption-framework/ready/landing-zone/design-area/multi-tenant/considerations-recommendations" TargetMode="External"/><Relationship Id="rId746" Type="http://schemas.openxmlformats.org/officeDocument/2006/relationships/hyperlink" Target="https://learn.microsoft.com/azure/cloud-adoption-framework/ready/landing-zone/design-area/multi-tenant/considerations-recommendations" TargetMode="External"/><Relationship Id="rId1071" Type="http://schemas.openxmlformats.org/officeDocument/2006/relationships/hyperlink" Target="https://learn.microsoft.com/azure/cloud-adoption-framework/ready/landing-zone/design-area/multi-tenant/considerations-recommendations" TargetMode="External"/><Relationship Id="rId1169" Type="http://schemas.openxmlformats.org/officeDocument/2006/relationships/hyperlink" Target="https://learn.microsoft.com/azure/cloud-adoption-framework/ready/landing-zone/design-area/multi-tenant/considerations-recommendations" TargetMode="External"/><Relationship Id="rId1376" Type="http://schemas.openxmlformats.org/officeDocument/2006/relationships/hyperlink" Target="https://learn.microsoft.com/azure/cloud-adoption-framework/ready/landing-zone/design-area/multi-tenant/considerations-recommendations" TargetMode="External"/><Relationship Id="rId1583" Type="http://schemas.openxmlformats.org/officeDocument/2006/relationships/hyperlink" Target="https://learn.microsoft.com/azure/cloud-adoption-framework/ready/landing-zone/design-area/multi-tenant/considerations-recommendations" TargetMode="External"/><Relationship Id="rId2122" Type="http://schemas.openxmlformats.org/officeDocument/2006/relationships/hyperlink" Target="https://learn.microsoft.com/azure/cloud-adoption-framework/ready/landing-zone/design-area/multi-tenant/considerations-recommendations" TargetMode="External"/><Relationship Id="rId2427" Type="http://schemas.openxmlformats.org/officeDocument/2006/relationships/hyperlink" Target="https://learn.microsoft.com/azure/app-service/app-service-key-vault-references" TargetMode="External"/><Relationship Id="rId301" Type="http://schemas.openxmlformats.org/officeDocument/2006/relationships/hyperlink" Target="https://learn.microsoft.com/azure/cloud-adoption-framework/ready/landing-zone/design-area/multi-tenant/considerations-recommendations" TargetMode="External"/><Relationship Id="rId953" Type="http://schemas.openxmlformats.org/officeDocument/2006/relationships/hyperlink" Target="https://learn.microsoft.com/azure/cloud-adoption-framework/ready/landing-zone/design-area/multi-tenant/considerations-recommendations" TargetMode="External"/><Relationship Id="rId1029" Type="http://schemas.openxmlformats.org/officeDocument/2006/relationships/hyperlink" Target="https://learn.microsoft.com/azure/cloud-adoption-framework/ready/landing-zone/design-area/multi-tenant/considerations-recommendations" TargetMode="External"/><Relationship Id="rId1236" Type="http://schemas.openxmlformats.org/officeDocument/2006/relationships/hyperlink" Target="https://learn.microsoft.com/azure/cloud-adoption-framework/ready/landing-zone/design-area/multi-tenant/considerations-recommendations" TargetMode="External"/><Relationship Id="rId1790" Type="http://schemas.openxmlformats.org/officeDocument/2006/relationships/hyperlink" Target="https://learn.microsoft.com/azure/cloud-adoption-framework/ready/landing-zone/design-area/multi-tenant/considerations-recommendations" TargetMode="External"/><Relationship Id="rId1888" Type="http://schemas.openxmlformats.org/officeDocument/2006/relationships/hyperlink" Target="https://learn.microsoft.com/azure/cloud-adoption-framework/ready/landing-zone/design-area/multi-tenant/considerations-recommendations" TargetMode="External"/><Relationship Id="rId2634" Type="http://schemas.openxmlformats.org/officeDocument/2006/relationships/hyperlink" Target="https://learn.microsoft.com/azure/azure-resource-manager/management/lock-resources?tabs=json" TargetMode="External"/><Relationship Id="rId82" Type="http://schemas.openxmlformats.org/officeDocument/2006/relationships/hyperlink" Target="https://learn.microsoft.com/azure/cloud-adoption-framework/ready/landing-zone/design-area/multi-tenant/considerations-recommendations" TargetMode="External"/><Relationship Id="rId606" Type="http://schemas.openxmlformats.org/officeDocument/2006/relationships/hyperlink" Target="https://learn.microsoft.com/azure/cloud-adoption-framework/ready/landing-zone/design-area/multi-tenant/considerations-recommendations" TargetMode="External"/><Relationship Id="rId813" Type="http://schemas.openxmlformats.org/officeDocument/2006/relationships/hyperlink" Target="https://learn.microsoft.com/azure/cloud-adoption-framework/ready/landing-zone/design-area/multi-tenant/considerations-recommendations" TargetMode="External"/><Relationship Id="rId1443" Type="http://schemas.openxmlformats.org/officeDocument/2006/relationships/hyperlink" Target="https://learn.microsoft.com/azure/cloud-adoption-framework/ready/landing-zone/design-area/multi-tenant/considerations-recommendations" TargetMode="External"/><Relationship Id="rId1650" Type="http://schemas.openxmlformats.org/officeDocument/2006/relationships/hyperlink" Target="https://learn.microsoft.com/azure/cloud-adoption-framework/ready/landing-zone/design-area/multi-tenant/considerations-recommendations" TargetMode="External"/><Relationship Id="rId1748" Type="http://schemas.openxmlformats.org/officeDocument/2006/relationships/hyperlink" Target="https://learn.microsoft.com/azure/cloud-adoption-framework/ready/landing-zone/design-area/multi-tenant/considerations-recommendations" TargetMode="External"/><Relationship Id="rId2701" Type="http://schemas.openxmlformats.org/officeDocument/2006/relationships/hyperlink" Target="https://learn.microsoft.com/azure/ai-services/openai/how-to/manage-costs" TargetMode="External"/><Relationship Id="rId1303" Type="http://schemas.openxmlformats.org/officeDocument/2006/relationships/hyperlink" Target="https://learn.microsoft.com/azure/cloud-adoption-framework/ready/landing-zone/design-area/multi-tenant/considerations-recommendations" TargetMode="External"/><Relationship Id="rId1510" Type="http://schemas.openxmlformats.org/officeDocument/2006/relationships/hyperlink" Target="https://learn.microsoft.com/azure/cloud-adoption-framework/ready/landing-zone/design-area/multi-tenant/considerations-recommendations" TargetMode="External"/><Relationship Id="rId1955" Type="http://schemas.openxmlformats.org/officeDocument/2006/relationships/hyperlink" Target="https://learn.microsoft.com/azure/cloud-adoption-framework/ready/landing-zone/design-area/multi-tenant/considerations-recommendations" TargetMode="External"/><Relationship Id="rId1608" Type="http://schemas.openxmlformats.org/officeDocument/2006/relationships/hyperlink" Target="https://learn.microsoft.com/azure/cloud-adoption-framework/ready/landing-zone/design-area/multi-tenant/considerations-recommendations" TargetMode="External"/><Relationship Id="rId1815" Type="http://schemas.openxmlformats.org/officeDocument/2006/relationships/hyperlink" Target="https://learn.microsoft.com/azure/cloud-adoption-framework/ready/landing-zone/design-area/multi-tenant/considerations-recommendations" TargetMode="External"/><Relationship Id="rId189" Type="http://schemas.openxmlformats.org/officeDocument/2006/relationships/hyperlink" Target="https://learn.microsoft.com/azure/cloud-adoption-framework/ready/landing-zone/design-area/multi-tenant/considerations-recommendations" TargetMode="External"/><Relationship Id="rId396" Type="http://schemas.openxmlformats.org/officeDocument/2006/relationships/hyperlink" Target="https://learn.microsoft.com/azure/cloud-adoption-framework/ready/landing-zone/design-area/multi-tenant/considerations-recommendations" TargetMode="External"/><Relationship Id="rId2077" Type="http://schemas.openxmlformats.org/officeDocument/2006/relationships/hyperlink" Target="https://learn.microsoft.com/azure/cloud-adoption-framework/ready/landing-zone/design-area/multi-tenant/considerations-recommendations" TargetMode="External"/><Relationship Id="rId2284" Type="http://schemas.openxmlformats.org/officeDocument/2006/relationships/hyperlink" Target="https://learn.microsoft.com/azure/cloud-adoption-framework/ready/landing-zone/design-area/multi-tenant/considerations-recommendations" TargetMode="External"/><Relationship Id="rId2491" Type="http://schemas.openxmlformats.org/officeDocument/2006/relationships/hyperlink" Target="https://learn.microsoft.com/azure/storage/common/storage-private-endpoints" TargetMode="External"/><Relationship Id="rId256" Type="http://schemas.openxmlformats.org/officeDocument/2006/relationships/hyperlink" Target="https://learn.microsoft.com/azure/cloud-adoption-framework/ready/landing-zone/design-area/multi-tenant/considerations-recommendations" TargetMode="External"/><Relationship Id="rId463" Type="http://schemas.openxmlformats.org/officeDocument/2006/relationships/hyperlink" Target="https://learn.microsoft.com/azure/cloud-adoption-framework/ready/landing-zone/design-area/multi-tenant/considerations-recommendations" TargetMode="External"/><Relationship Id="rId670" Type="http://schemas.openxmlformats.org/officeDocument/2006/relationships/hyperlink" Target="https://learn.microsoft.com/azure/cloud-adoption-framework/ready/landing-zone/design-area/multi-tenant/considerations-recommendations" TargetMode="External"/><Relationship Id="rId1093" Type="http://schemas.openxmlformats.org/officeDocument/2006/relationships/hyperlink" Target="https://learn.microsoft.com/azure/cloud-adoption-framework/ready/landing-zone/design-area/multi-tenant/considerations-recommendations" TargetMode="External"/><Relationship Id="rId2144" Type="http://schemas.openxmlformats.org/officeDocument/2006/relationships/hyperlink" Target="https://learn.microsoft.com/azure/cloud-adoption-framework/ready/landing-zone/design-area/multi-tenant/considerations-recommendations" TargetMode="External"/><Relationship Id="rId2351" Type="http://schemas.openxmlformats.org/officeDocument/2006/relationships/hyperlink" Target="https://learn.microsoft.com/azure/cloud-adoption-framework/ready/landing-zone/design-area/multi-tenant/considerations-recommendations" TargetMode="External"/><Relationship Id="rId2589" Type="http://schemas.openxmlformats.org/officeDocument/2006/relationships/hyperlink" Target="https://learn.microsoft.com/azure/backup/backup-azure-vms-introduction" TargetMode="External"/><Relationship Id="rId116" Type="http://schemas.openxmlformats.org/officeDocument/2006/relationships/hyperlink" Target="https://learn.microsoft.com/azure/cloud-adoption-framework/ready/landing-zone/design-area/multi-tenant/considerations-recommendations" TargetMode="External"/><Relationship Id="rId323" Type="http://schemas.openxmlformats.org/officeDocument/2006/relationships/hyperlink" Target="https://learn.microsoft.com/azure/cloud-adoption-framework/ready/landing-zone/design-area/multi-tenant/considerations-recommendations" TargetMode="External"/><Relationship Id="rId530" Type="http://schemas.openxmlformats.org/officeDocument/2006/relationships/hyperlink" Target="https://learn.microsoft.com/azure/cloud-adoption-framework/ready/landing-zone/design-area/multi-tenant/considerations-recommendations" TargetMode="External"/><Relationship Id="rId768" Type="http://schemas.openxmlformats.org/officeDocument/2006/relationships/hyperlink" Target="https://learn.microsoft.com/azure/cloud-adoption-framework/ready/landing-zone/design-area/multi-tenant/considerations-recommendations" TargetMode="External"/><Relationship Id="rId975" Type="http://schemas.openxmlformats.org/officeDocument/2006/relationships/hyperlink" Target="https://learn.microsoft.com/azure/cloud-adoption-framework/ready/landing-zone/design-area/multi-tenant/considerations-recommendations" TargetMode="External"/><Relationship Id="rId1160" Type="http://schemas.openxmlformats.org/officeDocument/2006/relationships/hyperlink" Target="https://learn.microsoft.com/azure/cloud-adoption-framework/ready/landing-zone/design-area/multi-tenant/considerations-recommendations" TargetMode="External"/><Relationship Id="rId1398" Type="http://schemas.openxmlformats.org/officeDocument/2006/relationships/hyperlink" Target="https://learn.microsoft.com/azure/cloud-adoption-framework/ready/landing-zone/design-area/multi-tenant/considerations-recommendations" TargetMode="External"/><Relationship Id="rId2004" Type="http://schemas.openxmlformats.org/officeDocument/2006/relationships/hyperlink" Target="https://learn.microsoft.com/azure/cloud-adoption-framework/ready/landing-zone/design-area/multi-tenant/considerations-recommendations" TargetMode="External"/><Relationship Id="rId2211" Type="http://schemas.openxmlformats.org/officeDocument/2006/relationships/hyperlink" Target="https://learn.microsoft.com/azure/cloud-adoption-framework/ready/landing-zone/design-area/multi-tenant/considerations-recommendations" TargetMode="External"/><Relationship Id="rId2449" Type="http://schemas.openxmlformats.org/officeDocument/2006/relationships/hyperlink" Target="https://learn.microsoft.com/azure/app-service/configure-custom-container" TargetMode="External"/><Relationship Id="rId2656" Type="http://schemas.openxmlformats.org/officeDocument/2006/relationships/hyperlink" Target="https://learn.microsoft.com/azure/ai-services/openai/concepts/models" TargetMode="External"/><Relationship Id="rId628" Type="http://schemas.openxmlformats.org/officeDocument/2006/relationships/hyperlink" Target="https://learn.microsoft.com/azure/cloud-adoption-framework/ready/landing-zone/design-area/multi-tenant/considerations-recommendations" TargetMode="External"/><Relationship Id="rId835" Type="http://schemas.openxmlformats.org/officeDocument/2006/relationships/hyperlink" Target="https://learn.microsoft.com/azure/cloud-adoption-framework/ready/landing-zone/design-area/multi-tenant/considerations-recommendations" TargetMode="External"/><Relationship Id="rId1258" Type="http://schemas.openxmlformats.org/officeDocument/2006/relationships/hyperlink" Target="https://learn.microsoft.com/azure/cloud-adoption-framework/ready/landing-zone/design-area/multi-tenant/considerations-recommendations" TargetMode="External"/><Relationship Id="rId1465" Type="http://schemas.openxmlformats.org/officeDocument/2006/relationships/hyperlink" Target="https://learn.microsoft.com/azure/cloud-adoption-framework/ready/landing-zone/design-area/multi-tenant/considerations-recommendations" TargetMode="External"/><Relationship Id="rId1672" Type="http://schemas.openxmlformats.org/officeDocument/2006/relationships/hyperlink" Target="https://learn.microsoft.com/azure/cloud-adoption-framework/ready/landing-zone/design-area/multi-tenant/considerations-recommendations" TargetMode="External"/><Relationship Id="rId2309" Type="http://schemas.openxmlformats.org/officeDocument/2006/relationships/hyperlink" Target="https://learn.microsoft.com/azure/cloud-adoption-framework/ready/landing-zone/design-area/multi-tenant/considerations-recommendations" TargetMode="External"/><Relationship Id="rId2516" Type="http://schemas.openxmlformats.org/officeDocument/2006/relationships/hyperlink" Target="https://learn.microsoft.com/azure/storage/blobs/secure-file-transfer-protocol-known-issues" TargetMode="External"/><Relationship Id="rId2723" Type="http://schemas.openxmlformats.org/officeDocument/2006/relationships/hyperlink" Target="https://learn.microsoft.com/azure/defender-for-cloud/identify-ai-workload-model" TargetMode="External"/><Relationship Id="rId1020" Type="http://schemas.openxmlformats.org/officeDocument/2006/relationships/hyperlink" Target="https://learn.microsoft.com/azure/cloud-adoption-framework/ready/landing-zone/design-area/multi-tenant/considerations-recommendations" TargetMode="External"/><Relationship Id="rId1118" Type="http://schemas.openxmlformats.org/officeDocument/2006/relationships/hyperlink" Target="https://learn.microsoft.com/azure/cloud-adoption-framework/ready/landing-zone/design-area/multi-tenant/considerations-recommendations" TargetMode="External"/><Relationship Id="rId1325" Type="http://schemas.openxmlformats.org/officeDocument/2006/relationships/hyperlink" Target="https://learn.microsoft.com/azure/cloud-adoption-framework/ready/landing-zone/design-area/multi-tenant/considerations-recommendations" TargetMode="External"/><Relationship Id="rId1532" Type="http://schemas.openxmlformats.org/officeDocument/2006/relationships/hyperlink" Target="https://learn.microsoft.com/azure/cloud-adoption-framework/ready/landing-zone/design-area/multi-tenant/considerations-recommendations" TargetMode="External"/><Relationship Id="rId1977" Type="http://schemas.openxmlformats.org/officeDocument/2006/relationships/hyperlink" Target="https://learn.microsoft.com/azure/cloud-adoption-framework/ready/landing-zone/design-area/multi-tenant/considerations-recommendations" TargetMode="External"/><Relationship Id="rId902" Type="http://schemas.openxmlformats.org/officeDocument/2006/relationships/hyperlink" Target="https://learn.microsoft.com/azure/cloud-adoption-framework/ready/landing-zone/design-area/multi-tenant/considerations-recommendations" TargetMode="External"/><Relationship Id="rId1837" Type="http://schemas.openxmlformats.org/officeDocument/2006/relationships/hyperlink" Target="https://learn.microsoft.com/azure/cloud-adoption-framework/ready/landing-zone/design-area/multi-tenant/considerations-recommendations" TargetMode="External"/><Relationship Id="rId31" Type="http://schemas.openxmlformats.org/officeDocument/2006/relationships/hyperlink" Target="https://learn.microsoft.com/azure/cloud-adoption-framework/ready/landing-zone/design-area/multi-tenant/considerations-recommendations" TargetMode="External"/><Relationship Id="rId2099" Type="http://schemas.openxmlformats.org/officeDocument/2006/relationships/hyperlink" Target="https://learn.microsoft.com/azure/cloud-adoption-framework/ready/landing-zone/design-area/multi-tenant/considerations-recommendations" TargetMode="External"/><Relationship Id="rId180" Type="http://schemas.openxmlformats.org/officeDocument/2006/relationships/hyperlink" Target="https://learn.microsoft.com/azure/cloud-adoption-framework/ready/landing-zone/design-area/multi-tenant/considerations-recommendations" TargetMode="External"/><Relationship Id="rId278" Type="http://schemas.openxmlformats.org/officeDocument/2006/relationships/hyperlink" Target="https://learn.microsoft.com/azure/cloud-adoption-framework/ready/landing-zone/design-area/multi-tenant/considerations-recommendations" TargetMode="External"/><Relationship Id="rId1904" Type="http://schemas.openxmlformats.org/officeDocument/2006/relationships/hyperlink" Target="https://learn.microsoft.com/azure/cloud-adoption-framework/ready/landing-zone/design-area/multi-tenant/considerations-recommendations" TargetMode="External"/><Relationship Id="rId485" Type="http://schemas.openxmlformats.org/officeDocument/2006/relationships/hyperlink" Target="https://learn.microsoft.com/azure/cloud-adoption-framework/ready/landing-zone/design-area/multi-tenant/considerations-recommendations" TargetMode="External"/><Relationship Id="rId692" Type="http://schemas.openxmlformats.org/officeDocument/2006/relationships/hyperlink" Target="https://learn.microsoft.com/azure/cloud-adoption-framework/ready/landing-zone/design-area/multi-tenant/considerations-recommendations" TargetMode="External"/><Relationship Id="rId2166" Type="http://schemas.openxmlformats.org/officeDocument/2006/relationships/hyperlink" Target="https://learn.microsoft.com/azure/cloud-adoption-framework/ready/landing-zone/design-area/multi-tenant/considerations-recommendations" TargetMode="External"/><Relationship Id="rId2373" Type="http://schemas.openxmlformats.org/officeDocument/2006/relationships/hyperlink" Target="https://learn.microsoft.com/azure/defender-for-cloud/plan-defender-for-servers-select-plan" TargetMode="External"/><Relationship Id="rId2580" Type="http://schemas.openxmlformats.org/officeDocument/2006/relationships/hyperlink" Target="https://learn.microsoft.com/azure/web-application-firewall/afds/waf-front-door-best-practices" TargetMode="External"/><Relationship Id="rId138" Type="http://schemas.openxmlformats.org/officeDocument/2006/relationships/hyperlink" Target="https://learn.microsoft.com/azure/cloud-adoption-framework/ready/landing-zone/design-area/multi-tenant/considerations-recommendations" TargetMode="External"/><Relationship Id="rId345" Type="http://schemas.openxmlformats.org/officeDocument/2006/relationships/hyperlink" Target="https://learn.microsoft.com/azure/cloud-adoption-framework/ready/landing-zone/design-area/multi-tenant/considerations-recommendations" TargetMode="External"/><Relationship Id="rId552" Type="http://schemas.openxmlformats.org/officeDocument/2006/relationships/hyperlink" Target="https://learn.microsoft.com/azure/cloud-adoption-framework/ready/landing-zone/design-area/multi-tenant/considerations-recommendations" TargetMode="External"/><Relationship Id="rId997" Type="http://schemas.openxmlformats.org/officeDocument/2006/relationships/hyperlink" Target="https://learn.microsoft.com/azure/cloud-adoption-framework/ready/landing-zone/design-area/multi-tenant/considerations-recommendations" TargetMode="External"/><Relationship Id="rId1182" Type="http://schemas.openxmlformats.org/officeDocument/2006/relationships/hyperlink" Target="https://learn.microsoft.com/azure/cloud-adoption-framework/ready/landing-zone/design-area/multi-tenant/considerations-recommendations" TargetMode="External"/><Relationship Id="rId2026" Type="http://schemas.openxmlformats.org/officeDocument/2006/relationships/hyperlink" Target="https://learn.microsoft.com/azure/cloud-adoption-framework/ready/landing-zone/design-area/multi-tenant/considerations-recommendations" TargetMode="External"/><Relationship Id="rId2233" Type="http://schemas.openxmlformats.org/officeDocument/2006/relationships/hyperlink" Target="https://learn.microsoft.com/azure/cloud-adoption-framework/ready/landing-zone/design-area/multi-tenant/considerations-recommendations" TargetMode="External"/><Relationship Id="rId2440" Type="http://schemas.openxmlformats.org/officeDocument/2006/relationships/hyperlink" Target="https://learn.microsoft.com/azure/app-service/networking-features" TargetMode="External"/><Relationship Id="rId2678" Type="http://schemas.openxmlformats.org/officeDocument/2006/relationships/hyperlink" Target="https://learn.microsoft.com/azure/search/search-reliability" TargetMode="External"/><Relationship Id="rId205" Type="http://schemas.openxmlformats.org/officeDocument/2006/relationships/hyperlink" Target="https://learn.microsoft.com/azure/cloud-adoption-framework/ready/landing-zone/design-area/multi-tenant/considerations-recommendations" TargetMode="External"/><Relationship Id="rId412" Type="http://schemas.openxmlformats.org/officeDocument/2006/relationships/hyperlink" Target="https://learn.microsoft.com/azure/cloud-adoption-framework/ready/landing-zone/design-area/multi-tenant/considerations-recommendations" TargetMode="External"/><Relationship Id="rId857" Type="http://schemas.openxmlformats.org/officeDocument/2006/relationships/hyperlink" Target="https://learn.microsoft.com/azure/cloud-adoption-framework/ready/landing-zone/design-area/multi-tenant/considerations-recommendations" TargetMode="External"/><Relationship Id="rId1042" Type="http://schemas.openxmlformats.org/officeDocument/2006/relationships/hyperlink" Target="https://learn.microsoft.com/azure/cloud-adoption-framework/ready/landing-zone/design-area/multi-tenant/considerations-recommendations" TargetMode="External"/><Relationship Id="rId1487" Type="http://schemas.openxmlformats.org/officeDocument/2006/relationships/hyperlink" Target="https://learn.microsoft.com/azure/cloud-adoption-framework/ready/landing-zone/design-area/multi-tenant/considerations-recommendations" TargetMode="External"/><Relationship Id="rId1694" Type="http://schemas.openxmlformats.org/officeDocument/2006/relationships/hyperlink" Target="https://learn.microsoft.com/azure/cloud-adoption-framework/ready/landing-zone/design-area/multi-tenant/considerations-recommendations" TargetMode="External"/><Relationship Id="rId2300" Type="http://schemas.openxmlformats.org/officeDocument/2006/relationships/hyperlink" Target="https://learn.microsoft.com/azure/cloud-adoption-framework/ready/landing-zone/design-area/multi-tenant/considerations-recommendations" TargetMode="External"/><Relationship Id="rId2538" Type="http://schemas.openxmlformats.org/officeDocument/2006/relationships/hyperlink" Target="https://learn.microsoft.com/azure/frontdoor/best-practices" TargetMode="External"/><Relationship Id="rId2745" Type="http://schemas.openxmlformats.org/officeDocument/2006/relationships/hyperlink" Target="https://learn.microsoft.com/azure/architecture/ai-ml/architecture/baseline-openai-e2e-chat" TargetMode="External"/><Relationship Id="rId717" Type="http://schemas.openxmlformats.org/officeDocument/2006/relationships/hyperlink" Target="https://learn.microsoft.com/azure/cloud-adoption-framework/ready/landing-zone/design-area/multi-tenant/considerations-recommendations" TargetMode="External"/><Relationship Id="rId924" Type="http://schemas.openxmlformats.org/officeDocument/2006/relationships/hyperlink" Target="https://learn.microsoft.com/azure/cloud-adoption-framework/ready/landing-zone/design-area/multi-tenant/considerations-recommendations" TargetMode="External"/><Relationship Id="rId1347" Type="http://schemas.openxmlformats.org/officeDocument/2006/relationships/hyperlink" Target="https://learn.microsoft.com/azure/cloud-adoption-framework/ready/landing-zone/design-area/multi-tenant/considerations-recommendations" TargetMode="External"/><Relationship Id="rId1554" Type="http://schemas.openxmlformats.org/officeDocument/2006/relationships/hyperlink" Target="https://learn.microsoft.com/azure/cloud-adoption-framework/ready/landing-zone/design-area/multi-tenant/considerations-recommendations" TargetMode="External"/><Relationship Id="rId1761" Type="http://schemas.openxmlformats.org/officeDocument/2006/relationships/hyperlink" Target="https://learn.microsoft.com/azure/cloud-adoption-framework/ready/landing-zone/design-area/multi-tenant/considerations-recommendations" TargetMode="External"/><Relationship Id="rId1999" Type="http://schemas.openxmlformats.org/officeDocument/2006/relationships/hyperlink" Target="https://learn.microsoft.com/azure/cloud-adoption-framework/ready/landing-zone/design-area/multi-tenant/considerations-recommendations" TargetMode="External"/><Relationship Id="rId2605" Type="http://schemas.openxmlformats.org/officeDocument/2006/relationships/hyperlink" Target="https://learn.microsoft.com/azure/backup/multi-user-authorization-concept" TargetMode="External"/><Relationship Id="rId53" Type="http://schemas.openxmlformats.org/officeDocument/2006/relationships/hyperlink" Target="https://learn.microsoft.com/azure/cloud-adoption-framework/ready/landing-zone/design-area/multi-tenant/considerations-recommendations" TargetMode="External"/><Relationship Id="rId1207" Type="http://schemas.openxmlformats.org/officeDocument/2006/relationships/hyperlink" Target="https://learn.microsoft.com/azure/cloud-adoption-framework/ready/landing-zone/design-area/multi-tenant/considerations-recommendations" TargetMode="External"/><Relationship Id="rId1414" Type="http://schemas.openxmlformats.org/officeDocument/2006/relationships/hyperlink" Target="https://learn.microsoft.com/azure/cloud-adoption-framework/ready/landing-zone/design-area/multi-tenant/considerations-recommendations" TargetMode="External"/><Relationship Id="rId1621" Type="http://schemas.openxmlformats.org/officeDocument/2006/relationships/hyperlink" Target="https://learn.microsoft.com/azure/cloud-adoption-framework/ready/landing-zone/design-area/multi-tenant/considerations-recommendations" TargetMode="External"/><Relationship Id="rId1859" Type="http://schemas.openxmlformats.org/officeDocument/2006/relationships/hyperlink" Target="https://learn.microsoft.com/azure/cloud-adoption-framework/ready/landing-zone/design-area/multi-tenant/considerations-recommendations" TargetMode="External"/><Relationship Id="rId1719" Type="http://schemas.openxmlformats.org/officeDocument/2006/relationships/hyperlink" Target="https://learn.microsoft.com/azure/cloud-adoption-framework/ready/landing-zone/design-area/multi-tenant/considerations-recommendations" TargetMode="External"/><Relationship Id="rId1926" Type="http://schemas.openxmlformats.org/officeDocument/2006/relationships/hyperlink" Target="https://learn.microsoft.com/azure/cloud-adoption-framework/ready/landing-zone/design-area/multi-tenant/considerations-recommendations" TargetMode="External"/><Relationship Id="rId2090" Type="http://schemas.openxmlformats.org/officeDocument/2006/relationships/hyperlink" Target="https://learn.microsoft.com/azure/cloud-adoption-framework/ready/landing-zone/design-area/multi-tenant/considerations-recommendations" TargetMode="External"/><Relationship Id="rId2188" Type="http://schemas.openxmlformats.org/officeDocument/2006/relationships/hyperlink" Target="https://learn.microsoft.com/azure/cloud-adoption-framework/ready/landing-zone/design-area/multi-tenant/considerations-recommendations" TargetMode="External"/><Relationship Id="rId2395" Type="http://schemas.openxmlformats.org/officeDocument/2006/relationships/hyperlink" Target="https://learn.microsoft.com/azure/api-management/backends" TargetMode="External"/><Relationship Id="rId367" Type="http://schemas.openxmlformats.org/officeDocument/2006/relationships/hyperlink" Target="https://learn.microsoft.com/azure/cloud-adoption-framework/ready/landing-zone/design-area/multi-tenant/considerations-recommendations" TargetMode="External"/><Relationship Id="rId574" Type="http://schemas.openxmlformats.org/officeDocument/2006/relationships/hyperlink" Target="https://learn.microsoft.com/azure/cloud-adoption-framework/ready/landing-zone/design-area/multi-tenant/considerations-recommendations" TargetMode="External"/><Relationship Id="rId2048" Type="http://schemas.openxmlformats.org/officeDocument/2006/relationships/hyperlink" Target="https://learn.microsoft.com/azure/cloud-adoption-framework/ready/landing-zone/design-area/multi-tenant/considerations-recommendations" TargetMode="External"/><Relationship Id="rId2255" Type="http://schemas.openxmlformats.org/officeDocument/2006/relationships/hyperlink" Target="https://learn.microsoft.com/azure/cloud-adoption-framework/ready/landing-zone/design-area/multi-tenant/considerations-recommendations" TargetMode="External"/><Relationship Id="rId227" Type="http://schemas.openxmlformats.org/officeDocument/2006/relationships/hyperlink" Target="https://learn.microsoft.com/azure/cloud-adoption-framework/ready/landing-zone/design-area/multi-tenant/considerations-recommendations" TargetMode="External"/><Relationship Id="rId781" Type="http://schemas.openxmlformats.org/officeDocument/2006/relationships/hyperlink" Target="https://learn.microsoft.com/azure/cloud-adoption-framework/ready/landing-zone/design-area/multi-tenant/considerations-recommendations" TargetMode="External"/><Relationship Id="rId879" Type="http://schemas.openxmlformats.org/officeDocument/2006/relationships/hyperlink" Target="https://learn.microsoft.com/azure/cloud-adoption-framework/ready/landing-zone/design-area/multi-tenant/considerations-recommendations" TargetMode="External"/><Relationship Id="rId2462" Type="http://schemas.openxmlformats.org/officeDocument/2006/relationships/hyperlink" Target="https://learn.microsoft.com/learn/modules/explore-basic-services-identity-types/" TargetMode="External"/><Relationship Id="rId2767" Type="http://schemas.openxmlformats.org/officeDocument/2006/relationships/vmlDrawing" Target="../drawings/vmlDrawing1.vml"/><Relationship Id="rId434" Type="http://schemas.openxmlformats.org/officeDocument/2006/relationships/hyperlink" Target="https://learn.microsoft.com/azure/cloud-adoption-framework/ready/landing-zone/design-area/multi-tenant/considerations-recommendations" TargetMode="External"/><Relationship Id="rId641" Type="http://schemas.openxmlformats.org/officeDocument/2006/relationships/hyperlink" Target="https://learn.microsoft.com/azure/cloud-adoption-framework/ready/landing-zone/design-area/multi-tenant/considerations-recommendations" TargetMode="External"/><Relationship Id="rId739" Type="http://schemas.openxmlformats.org/officeDocument/2006/relationships/hyperlink" Target="https://learn.microsoft.com/azure/cloud-adoption-framework/ready/landing-zone/design-area/multi-tenant/considerations-recommendations" TargetMode="External"/><Relationship Id="rId1064" Type="http://schemas.openxmlformats.org/officeDocument/2006/relationships/hyperlink" Target="https://learn.microsoft.com/azure/cloud-adoption-framework/ready/landing-zone/design-area/multi-tenant/considerations-recommendations" TargetMode="External"/><Relationship Id="rId1271" Type="http://schemas.openxmlformats.org/officeDocument/2006/relationships/hyperlink" Target="https://learn.microsoft.com/azure/cloud-adoption-framework/ready/landing-zone/design-area/multi-tenant/considerations-recommendations" TargetMode="External"/><Relationship Id="rId1369" Type="http://schemas.openxmlformats.org/officeDocument/2006/relationships/hyperlink" Target="https://learn.microsoft.com/azure/cloud-adoption-framework/ready/landing-zone/design-area/multi-tenant/considerations-recommendations" TargetMode="External"/><Relationship Id="rId1576" Type="http://schemas.openxmlformats.org/officeDocument/2006/relationships/hyperlink" Target="https://learn.microsoft.com/azure/cloud-adoption-framework/ready/landing-zone/design-area/multi-tenant/considerations-recommendations" TargetMode="External"/><Relationship Id="rId2115" Type="http://schemas.openxmlformats.org/officeDocument/2006/relationships/hyperlink" Target="https://learn.microsoft.com/azure/cloud-adoption-framework/ready/landing-zone/design-area/multi-tenant/considerations-recommendations" TargetMode="External"/><Relationship Id="rId2322" Type="http://schemas.openxmlformats.org/officeDocument/2006/relationships/hyperlink" Target="https://learn.microsoft.com/azure/cloud-adoption-framework/ready/landing-zone/design-area/multi-tenant/considerations-recommendations" TargetMode="External"/><Relationship Id="rId501" Type="http://schemas.openxmlformats.org/officeDocument/2006/relationships/hyperlink" Target="https://learn.microsoft.com/azure/cloud-adoption-framework/ready/landing-zone/design-area/multi-tenant/considerations-recommendations" TargetMode="External"/><Relationship Id="rId946" Type="http://schemas.openxmlformats.org/officeDocument/2006/relationships/hyperlink" Target="https://learn.microsoft.com/azure/cloud-adoption-framework/ready/landing-zone/design-area/multi-tenant/considerations-recommendations" TargetMode="External"/><Relationship Id="rId1131" Type="http://schemas.openxmlformats.org/officeDocument/2006/relationships/hyperlink" Target="https://learn.microsoft.com/azure/cloud-adoption-framework/ready/landing-zone/design-area/multi-tenant/considerations-recommendations" TargetMode="External"/><Relationship Id="rId1229" Type="http://schemas.openxmlformats.org/officeDocument/2006/relationships/hyperlink" Target="https://learn.microsoft.com/azure/cloud-adoption-framework/ready/landing-zone/design-area/multi-tenant/considerations-recommendations" TargetMode="External"/><Relationship Id="rId1783" Type="http://schemas.openxmlformats.org/officeDocument/2006/relationships/hyperlink" Target="https://learn.microsoft.com/azure/cloud-adoption-framework/ready/landing-zone/design-area/multi-tenant/considerations-recommendations" TargetMode="External"/><Relationship Id="rId1990" Type="http://schemas.openxmlformats.org/officeDocument/2006/relationships/hyperlink" Target="https://learn.microsoft.com/azure/cloud-adoption-framework/ready/landing-zone/design-area/multi-tenant/considerations-recommendations" TargetMode="External"/><Relationship Id="rId2627" Type="http://schemas.openxmlformats.org/officeDocument/2006/relationships/hyperlink" Target="https://learn.microsoft.com/azure/cloud-adoption-framework/ready/landing-zone/design-area/management-monitor" TargetMode="External"/><Relationship Id="rId75" Type="http://schemas.openxmlformats.org/officeDocument/2006/relationships/hyperlink" Target="https://learn.microsoft.com/azure/cloud-adoption-framework/ready/landing-zone/design-area/multi-tenant/considerations-recommendations" TargetMode="External"/><Relationship Id="rId806" Type="http://schemas.openxmlformats.org/officeDocument/2006/relationships/hyperlink" Target="https://learn.microsoft.com/azure/cloud-adoption-framework/ready/landing-zone/design-area/multi-tenant/considerations-recommendations" TargetMode="External"/><Relationship Id="rId1436" Type="http://schemas.openxmlformats.org/officeDocument/2006/relationships/hyperlink" Target="https://learn.microsoft.com/azure/cloud-adoption-framework/ready/landing-zone/design-area/multi-tenant/considerations-recommendations" TargetMode="External"/><Relationship Id="rId1643" Type="http://schemas.openxmlformats.org/officeDocument/2006/relationships/hyperlink" Target="https://learn.microsoft.com/azure/cloud-adoption-framework/ready/landing-zone/design-area/multi-tenant/considerations-recommendations" TargetMode="External"/><Relationship Id="rId1850" Type="http://schemas.openxmlformats.org/officeDocument/2006/relationships/hyperlink" Target="https://learn.microsoft.com/azure/cloud-adoption-framework/ready/landing-zone/design-area/multi-tenant/considerations-recommendations" TargetMode="External"/><Relationship Id="rId1503" Type="http://schemas.openxmlformats.org/officeDocument/2006/relationships/hyperlink" Target="https://learn.microsoft.com/azure/cloud-adoption-framework/ready/landing-zone/design-area/multi-tenant/considerations-recommendations" TargetMode="External"/><Relationship Id="rId1710" Type="http://schemas.openxmlformats.org/officeDocument/2006/relationships/hyperlink" Target="https://learn.microsoft.com/azure/cloud-adoption-framework/ready/landing-zone/design-area/multi-tenant/considerations-recommendations" TargetMode="External"/><Relationship Id="rId1948" Type="http://schemas.openxmlformats.org/officeDocument/2006/relationships/hyperlink" Target="https://learn.microsoft.com/azure/cloud-adoption-framework/ready/landing-zone/design-area/multi-tenant/considerations-recommendations" TargetMode="External"/><Relationship Id="rId291" Type="http://schemas.openxmlformats.org/officeDocument/2006/relationships/hyperlink" Target="https://learn.microsoft.com/azure/cloud-adoption-framework/ready/landing-zone/design-area/multi-tenant/considerations-recommendations" TargetMode="External"/><Relationship Id="rId1808" Type="http://schemas.openxmlformats.org/officeDocument/2006/relationships/hyperlink" Target="https://learn.microsoft.com/azure/cloud-adoption-framework/ready/landing-zone/design-area/multi-tenant/considerations-recommendations" TargetMode="External"/><Relationship Id="rId151" Type="http://schemas.openxmlformats.org/officeDocument/2006/relationships/hyperlink" Target="https://learn.microsoft.com/azure/cloud-adoption-framework/ready/landing-zone/design-area/multi-tenant/considerations-recommendations" TargetMode="External"/><Relationship Id="rId389" Type="http://schemas.openxmlformats.org/officeDocument/2006/relationships/hyperlink" Target="https://learn.microsoft.com/azure/cloud-adoption-framework/ready/landing-zone/design-area/multi-tenant/considerations-recommendations" TargetMode="External"/><Relationship Id="rId596" Type="http://schemas.openxmlformats.org/officeDocument/2006/relationships/hyperlink" Target="https://learn.microsoft.com/azure/cloud-adoption-framework/ready/landing-zone/design-area/multi-tenant/considerations-recommendations" TargetMode="External"/><Relationship Id="rId2277" Type="http://schemas.openxmlformats.org/officeDocument/2006/relationships/hyperlink" Target="https://learn.microsoft.com/azure/cloud-adoption-framework/ready/landing-zone/design-area/multi-tenant/considerations-recommendations" TargetMode="External"/><Relationship Id="rId2484" Type="http://schemas.openxmlformats.org/officeDocument/2006/relationships/hyperlink" Target="https://learn.microsoft.com/azure/reliability/reliability-spring-apps" TargetMode="External"/><Relationship Id="rId2691" Type="http://schemas.openxmlformats.org/officeDocument/2006/relationships/hyperlink" Target="https://learn.microsoft.com/azure/ai-services/content-safety/concepts/jailbreak-detection" TargetMode="External"/><Relationship Id="rId249" Type="http://schemas.openxmlformats.org/officeDocument/2006/relationships/hyperlink" Target="https://learn.microsoft.com/azure/cloud-adoption-framework/ready/landing-zone/design-area/multi-tenant/considerations-recommendations" TargetMode="External"/><Relationship Id="rId456" Type="http://schemas.openxmlformats.org/officeDocument/2006/relationships/hyperlink" Target="https://learn.microsoft.com/azure/cloud-adoption-framework/ready/landing-zone/design-area/multi-tenant/considerations-recommendations" TargetMode="External"/><Relationship Id="rId663" Type="http://schemas.openxmlformats.org/officeDocument/2006/relationships/hyperlink" Target="https://learn.microsoft.com/azure/cloud-adoption-framework/ready/landing-zone/design-area/multi-tenant/considerations-recommendations" TargetMode="External"/><Relationship Id="rId870" Type="http://schemas.openxmlformats.org/officeDocument/2006/relationships/hyperlink" Target="https://learn.microsoft.com/azure/cloud-adoption-framework/ready/landing-zone/design-area/multi-tenant/considerations-recommendations" TargetMode="External"/><Relationship Id="rId1086" Type="http://schemas.openxmlformats.org/officeDocument/2006/relationships/hyperlink" Target="https://learn.microsoft.com/azure/cloud-adoption-framework/ready/landing-zone/design-area/multi-tenant/considerations-recommendations" TargetMode="External"/><Relationship Id="rId1293" Type="http://schemas.openxmlformats.org/officeDocument/2006/relationships/hyperlink" Target="https://learn.microsoft.com/azure/cloud-adoption-framework/ready/landing-zone/design-area/multi-tenant/considerations-recommendations" TargetMode="External"/><Relationship Id="rId2137" Type="http://schemas.openxmlformats.org/officeDocument/2006/relationships/hyperlink" Target="https://learn.microsoft.com/azure/cloud-adoption-framework/ready/landing-zone/design-area/multi-tenant/considerations-recommendations" TargetMode="External"/><Relationship Id="rId2344" Type="http://schemas.openxmlformats.org/officeDocument/2006/relationships/hyperlink" Target="https://learn.microsoft.com/azure/cloud-adoption-framework/ready/landing-zone/design-area/multi-tenant/considerations-recommendations" TargetMode="External"/><Relationship Id="rId2551" Type="http://schemas.openxmlformats.org/officeDocument/2006/relationships/hyperlink" Target="https://learn.microsoft.com/azure/reliability/migrate-app-gateway-v2" TargetMode="External"/><Relationship Id="rId109" Type="http://schemas.openxmlformats.org/officeDocument/2006/relationships/hyperlink" Target="https://learn.microsoft.com/azure/cloud-adoption-framework/ready/landing-zone/design-area/multi-tenant/considerations-recommendations" TargetMode="External"/><Relationship Id="rId316" Type="http://schemas.openxmlformats.org/officeDocument/2006/relationships/hyperlink" Target="https://learn.microsoft.com/azure/cloud-adoption-framework/ready/landing-zone/design-area/multi-tenant/considerations-recommendations" TargetMode="External"/><Relationship Id="rId523" Type="http://schemas.openxmlformats.org/officeDocument/2006/relationships/hyperlink" Target="https://learn.microsoft.com/azure/cloud-adoption-framework/ready/landing-zone/design-area/multi-tenant/considerations-recommendations" TargetMode="External"/><Relationship Id="rId968" Type="http://schemas.openxmlformats.org/officeDocument/2006/relationships/hyperlink" Target="https://learn.microsoft.com/azure/cloud-adoption-framework/ready/landing-zone/design-area/multi-tenant/considerations-recommendations" TargetMode="External"/><Relationship Id="rId1153" Type="http://schemas.openxmlformats.org/officeDocument/2006/relationships/hyperlink" Target="https://learn.microsoft.com/azure/cloud-adoption-framework/ready/landing-zone/design-area/multi-tenant/considerations-recommendations" TargetMode="External"/><Relationship Id="rId1598" Type="http://schemas.openxmlformats.org/officeDocument/2006/relationships/hyperlink" Target="https://learn.microsoft.com/azure/cloud-adoption-framework/ready/landing-zone/design-area/multi-tenant/considerations-recommendations" TargetMode="External"/><Relationship Id="rId2204" Type="http://schemas.openxmlformats.org/officeDocument/2006/relationships/hyperlink" Target="https://learn.microsoft.com/azure/cloud-adoption-framework/ready/landing-zone/design-area/multi-tenant/considerations-recommendations" TargetMode="External"/><Relationship Id="rId2649" Type="http://schemas.openxmlformats.org/officeDocument/2006/relationships/hyperlink" Target="https://learn.microsoft.com/azure/architecture/ai-ml/architecture/baseline-openai-e2e-chat" TargetMode="External"/><Relationship Id="rId97" Type="http://schemas.openxmlformats.org/officeDocument/2006/relationships/hyperlink" Target="https://learn.microsoft.com/azure/cloud-adoption-framework/ready/landing-zone/design-area/multi-tenant/considerations-recommendations" TargetMode="External"/><Relationship Id="rId730" Type="http://schemas.openxmlformats.org/officeDocument/2006/relationships/hyperlink" Target="https://learn.microsoft.com/azure/cloud-adoption-framework/ready/landing-zone/design-area/multi-tenant/considerations-recommendations" TargetMode="External"/><Relationship Id="rId828" Type="http://schemas.openxmlformats.org/officeDocument/2006/relationships/hyperlink" Target="https://learn.microsoft.com/azure/cloud-adoption-framework/ready/landing-zone/design-area/multi-tenant/considerations-recommendations" TargetMode="External"/><Relationship Id="rId1013" Type="http://schemas.openxmlformats.org/officeDocument/2006/relationships/hyperlink" Target="https://learn.microsoft.com/azure/cloud-adoption-framework/ready/landing-zone/design-area/multi-tenant/considerations-recommendations" TargetMode="External"/><Relationship Id="rId1360" Type="http://schemas.openxmlformats.org/officeDocument/2006/relationships/hyperlink" Target="https://learn.microsoft.com/azure/cloud-adoption-framework/ready/landing-zone/design-area/multi-tenant/considerations-recommendations" TargetMode="External"/><Relationship Id="rId1458" Type="http://schemas.openxmlformats.org/officeDocument/2006/relationships/hyperlink" Target="https://learn.microsoft.com/azure/cloud-adoption-framework/ready/landing-zone/design-area/multi-tenant/considerations-recommendations" TargetMode="External"/><Relationship Id="rId1665" Type="http://schemas.openxmlformats.org/officeDocument/2006/relationships/hyperlink" Target="https://learn.microsoft.com/azure/cloud-adoption-framework/ready/landing-zone/design-area/multi-tenant/considerations-recommendations" TargetMode="External"/><Relationship Id="rId1872" Type="http://schemas.openxmlformats.org/officeDocument/2006/relationships/hyperlink" Target="https://learn.microsoft.com/azure/cloud-adoption-framework/ready/landing-zone/design-area/multi-tenant/considerations-recommendations" TargetMode="External"/><Relationship Id="rId2411" Type="http://schemas.openxmlformats.org/officeDocument/2006/relationships/hyperlink" Target="https://learn.microsoft.com/security/benchmark/azure/baselines/api-management-security-baseline?toc=%2Fazure%2Fapi-management%2F&amp;bc=%2Fazure%2Fapi-management%2Fbreadcrumb%2Ftoc.json" TargetMode="External"/><Relationship Id="rId2509" Type="http://schemas.openxmlformats.org/officeDocument/2006/relationships/hyperlink" Target="https://learn.microsoft.com/rest/api/storageservices/define-stored-access-policy" TargetMode="External"/><Relationship Id="rId2716" Type="http://schemas.openxmlformats.org/officeDocument/2006/relationships/hyperlink" Target="https://learn.microsoft.com/azure/cloud-adoption-framework/ready/considerations/infrastructure-as-code" TargetMode="External"/><Relationship Id="rId1220" Type="http://schemas.openxmlformats.org/officeDocument/2006/relationships/hyperlink" Target="https://learn.microsoft.com/azure/cloud-adoption-framework/ready/landing-zone/design-area/multi-tenant/considerations-recommendations" TargetMode="External"/><Relationship Id="rId1318" Type="http://schemas.openxmlformats.org/officeDocument/2006/relationships/hyperlink" Target="https://learn.microsoft.com/azure/cloud-adoption-framework/ready/landing-zone/design-area/multi-tenant/considerations-recommendations" TargetMode="External"/><Relationship Id="rId1525" Type="http://schemas.openxmlformats.org/officeDocument/2006/relationships/hyperlink" Target="https://learn.microsoft.com/azure/cloud-adoption-framework/ready/landing-zone/design-area/multi-tenant/considerations-recommendations" TargetMode="External"/><Relationship Id="rId1732" Type="http://schemas.openxmlformats.org/officeDocument/2006/relationships/hyperlink" Target="https://learn.microsoft.com/azure/cloud-adoption-framework/ready/landing-zone/design-area/multi-tenant/considerations-recommendations" TargetMode="External"/><Relationship Id="rId24" Type="http://schemas.openxmlformats.org/officeDocument/2006/relationships/hyperlink" Target="https://learn.microsoft.com/azure/cloud-adoption-framework/ready/landing-zone/design-area/multi-tenant/considerations-recommendations" TargetMode="External"/><Relationship Id="rId2299" Type="http://schemas.openxmlformats.org/officeDocument/2006/relationships/hyperlink" Target="https://learn.microsoft.com/azure/cloud-adoption-framework/ready/landing-zone/design-area/multi-tenant/considerations-recommendations" TargetMode="External"/><Relationship Id="rId173" Type="http://schemas.openxmlformats.org/officeDocument/2006/relationships/hyperlink" Target="https://learn.microsoft.com/azure/cloud-adoption-framework/ready/landing-zone/design-area/multi-tenant/considerations-recommendations" TargetMode="External"/><Relationship Id="rId380" Type="http://schemas.openxmlformats.org/officeDocument/2006/relationships/hyperlink" Target="https://learn.microsoft.com/azure/cloud-adoption-framework/ready/landing-zone/design-area/multi-tenant/considerations-recommendations" TargetMode="External"/><Relationship Id="rId2061" Type="http://schemas.openxmlformats.org/officeDocument/2006/relationships/hyperlink" Target="https://learn.microsoft.com/azure/cloud-adoption-framework/ready/landing-zone/design-area/multi-tenant/considerations-recommendations" TargetMode="External"/><Relationship Id="rId240" Type="http://schemas.openxmlformats.org/officeDocument/2006/relationships/hyperlink" Target="https://learn.microsoft.com/azure/cloud-adoption-framework/ready/landing-zone/design-area/multi-tenant/considerations-recommendations" TargetMode="External"/><Relationship Id="rId478" Type="http://schemas.openxmlformats.org/officeDocument/2006/relationships/hyperlink" Target="https://learn.microsoft.com/azure/cloud-adoption-framework/ready/landing-zone/design-area/multi-tenant/considerations-recommendations" TargetMode="External"/><Relationship Id="rId685" Type="http://schemas.openxmlformats.org/officeDocument/2006/relationships/hyperlink" Target="https://learn.microsoft.com/azure/cloud-adoption-framework/ready/landing-zone/design-area/multi-tenant/considerations-recommendations" TargetMode="External"/><Relationship Id="rId892" Type="http://schemas.openxmlformats.org/officeDocument/2006/relationships/hyperlink" Target="https://learn.microsoft.com/azure/cloud-adoption-framework/ready/landing-zone/design-area/multi-tenant/considerations-recommendations" TargetMode="External"/><Relationship Id="rId2159" Type="http://schemas.openxmlformats.org/officeDocument/2006/relationships/hyperlink" Target="https://learn.microsoft.com/azure/cloud-adoption-framework/ready/landing-zone/design-area/multi-tenant/considerations-recommendations" TargetMode="External"/><Relationship Id="rId2366" Type="http://schemas.openxmlformats.org/officeDocument/2006/relationships/hyperlink" Target="https://learn.microsoft.com/azure/key-vault/general/monitor-key-vault" TargetMode="External"/><Relationship Id="rId2573" Type="http://schemas.openxmlformats.org/officeDocument/2006/relationships/hyperlink" Target="https://learn.microsoft.com/azure/frontdoor/best-practices" TargetMode="External"/><Relationship Id="rId100" Type="http://schemas.openxmlformats.org/officeDocument/2006/relationships/hyperlink" Target="https://learn.microsoft.com/azure/cloud-adoption-framework/ready/landing-zone/design-area/multi-tenant/considerations-recommendations" TargetMode="External"/><Relationship Id="rId338" Type="http://schemas.openxmlformats.org/officeDocument/2006/relationships/hyperlink" Target="https://learn.microsoft.com/azure/cloud-adoption-framework/ready/landing-zone/design-area/multi-tenant/considerations-recommendations" TargetMode="External"/><Relationship Id="rId545" Type="http://schemas.openxmlformats.org/officeDocument/2006/relationships/hyperlink" Target="https://learn.microsoft.com/azure/cloud-adoption-framework/ready/landing-zone/design-area/multi-tenant/considerations-recommendations" TargetMode="External"/><Relationship Id="rId752" Type="http://schemas.openxmlformats.org/officeDocument/2006/relationships/hyperlink" Target="https://learn.microsoft.com/azure/cloud-adoption-framework/ready/landing-zone/design-area/multi-tenant/considerations-recommendations" TargetMode="External"/><Relationship Id="rId1175" Type="http://schemas.openxmlformats.org/officeDocument/2006/relationships/hyperlink" Target="https://learn.microsoft.com/azure/cloud-adoption-framework/ready/landing-zone/design-area/multi-tenant/considerations-recommendations" TargetMode="External"/><Relationship Id="rId1382" Type="http://schemas.openxmlformats.org/officeDocument/2006/relationships/hyperlink" Target="https://learn.microsoft.com/azure/cloud-adoption-framework/ready/landing-zone/design-area/multi-tenant/considerations-recommendations" TargetMode="External"/><Relationship Id="rId2019" Type="http://schemas.openxmlformats.org/officeDocument/2006/relationships/hyperlink" Target="https://learn.microsoft.com/azure/cloud-adoption-framework/ready/landing-zone/design-area/multi-tenant/considerations-recommendations" TargetMode="External"/><Relationship Id="rId2226" Type="http://schemas.openxmlformats.org/officeDocument/2006/relationships/hyperlink" Target="https://learn.microsoft.com/azure/cloud-adoption-framework/ready/landing-zone/design-area/multi-tenant/considerations-recommendations" TargetMode="External"/><Relationship Id="rId2433" Type="http://schemas.openxmlformats.org/officeDocument/2006/relationships/hyperlink" Target="https://learn.microsoft.com/azure/app-service/deploy-configure-credentials" TargetMode="External"/><Relationship Id="rId2640" Type="http://schemas.openxmlformats.org/officeDocument/2006/relationships/hyperlink" Target="https://learn.microsoft.com/azure/ai-studio/concepts/evaluation-approach-gen-ai" TargetMode="External"/><Relationship Id="rId405" Type="http://schemas.openxmlformats.org/officeDocument/2006/relationships/hyperlink" Target="https://learn.microsoft.com/azure/cloud-adoption-framework/ready/landing-zone/design-area/multi-tenant/considerations-recommendations" TargetMode="External"/><Relationship Id="rId612" Type="http://schemas.openxmlformats.org/officeDocument/2006/relationships/hyperlink" Target="https://learn.microsoft.com/azure/cloud-adoption-framework/ready/landing-zone/design-area/multi-tenant/considerations-recommendations" TargetMode="External"/><Relationship Id="rId1035" Type="http://schemas.openxmlformats.org/officeDocument/2006/relationships/hyperlink" Target="https://learn.microsoft.com/azure/cloud-adoption-framework/ready/landing-zone/design-area/multi-tenant/considerations-recommendations" TargetMode="External"/><Relationship Id="rId1242" Type="http://schemas.openxmlformats.org/officeDocument/2006/relationships/hyperlink" Target="https://learn.microsoft.com/azure/cloud-adoption-framework/ready/landing-zone/design-area/multi-tenant/considerations-recommendations" TargetMode="External"/><Relationship Id="rId1687" Type="http://schemas.openxmlformats.org/officeDocument/2006/relationships/hyperlink" Target="https://learn.microsoft.com/azure/cloud-adoption-framework/ready/landing-zone/design-area/multi-tenant/considerations-recommendations" TargetMode="External"/><Relationship Id="rId1894" Type="http://schemas.openxmlformats.org/officeDocument/2006/relationships/hyperlink" Target="https://learn.microsoft.com/azure/cloud-adoption-framework/ready/landing-zone/design-area/multi-tenant/considerations-recommendations" TargetMode="External"/><Relationship Id="rId2500" Type="http://schemas.openxmlformats.org/officeDocument/2006/relationships/hyperlink" Target="https://learn.microsoft.com/azure/storage/common/storage-require-secure-transfer" TargetMode="External"/><Relationship Id="rId2738" Type="http://schemas.openxmlformats.org/officeDocument/2006/relationships/hyperlink" Target="https://learn.microsoft.com/azure/security/fundamentals/data-encryption-best-practices" TargetMode="External"/><Relationship Id="rId917" Type="http://schemas.openxmlformats.org/officeDocument/2006/relationships/hyperlink" Target="https://learn.microsoft.com/azure/cloud-adoption-framework/ready/landing-zone/design-area/multi-tenant/considerations-recommendations" TargetMode="External"/><Relationship Id="rId1102" Type="http://schemas.openxmlformats.org/officeDocument/2006/relationships/hyperlink" Target="https://learn.microsoft.com/azure/cloud-adoption-framework/ready/landing-zone/design-area/multi-tenant/considerations-recommendations" TargetMode="External"/><Relationship Id="rId1547" Type="http://schemas.openxmlformats.org/officeDocument/2006/relationships/hyperlink" Target="https://learn.microsoft.com/azure/cloud-adoption-framework/ready/landing-zone/design-area/multi-tenant/considerations-recommendations" TargetMode="External"/><Relationship Id="rId1754" Type="http://schemas.openxmlformats.org/officeDocument/2006/relationships/hyperlink" Target="https://learn.microsoft.com/azure/cloud-adoption-framework/ready/landing-zone/design-area/multi-tenant/considerations-recommendations" TargetMode="External"/><Relationship Id="rId1961" Type="http://schemas.openxmlformats.org/officeDocument/2006/relationships/hyperlink" Target="https://learn.microsoft.com/azure/cloud-adoption-framework/ready/landing-zone/design-area/multi-tenant/considerations-recommendations" TargetMode="External"/><Relationship Id="rId46" Type="http://schemas.openxmlformats.org/officeDocument/2006/relationships/hyperlink" Target="https://learn.microsoft.com/azure/cloud-adoption-framework/ready/landing-zone/design-area/multi-tenant/considerations-recommendations" TargetMode="External"/><Relationship Id="rId1407" Type="http://schemas.openxmlformats.org/officeDocument/2006/relationships/hyperlink" Target="https://learn.microsoft.com/azure/cloud-adoption-framework/ready/landing-zone/design-area/multi-tenant/considerations-recommendations" TargetMode="External"/><Relationship Id="rId1614" Type="http://schemas.openxmlformats.org/officeDocument/2006/relationships/hyperlink" Target="https://learn.microsoft.com/azure/cloud-adoption-framework/ready/landing-zone/design-area/multi-tenant/considerations-recommendations" TargetMode="External"/><Relationship Id="rId1821" Type="http://schemas.openxmlformats.org/officeDocument/2006/relationships/hyperlink" Target="https://learn.microsoft.com/azure/cloud-adoption-framework/ready/landing-zone/design-area/multi-tenant/considerations-recommendations" TargetMode="External"/><Relationship Id="rId195" Type="http://schemas.openxmlformats.org/officeDocument/2006/relationships/hyperlink" Target="https://learn.microsoft.com/azure/cloud-adoption-framework/ready/landing-zone/design-area/multi-tenant/considerations-recommendations" TargetMode="External"/><Relationship Id="rId1919" Type="http://schemas.openxmlformats.org/officeDocument/2006/relationships/hyperlink" Target="https://learn.microsoft.com/azure/cloud-adoption-framework/ready/landing-zone/design-area/multi-tenant/considerations-recommendations" TargetMode="External"/><Relationship Id="rId2083" Type="http://schemas.openxmlformats.org/officeDocument/2006/relationships/hyperlink" Target="https://learn.microsoft.com/azure/cloud-adoption-framework/ready/landing-zone/design-area/multi-tenant/considerations-recommendations" TargetMode="External"/><Relationship Id="rId2290" Type="http://schemas.openxmlformats.org/officeDocument/2006/relationships/hyperlink" Target="https://learn.microsoft.com/azure/cloud-adoption-framework/ready/landing-zone/design-area/multi-tenant/considerations-recommendations" TargetMode="External"/><Relationship Id="rId2388" Type="http://schemas.openxmlformats.org/officeDocument/2006/relationships/hyperlink" Target="https://learn.microsoft.com/azure/api-management/api-management-howto-app-insights" TargetMode="External"/><Relationship Id="rId2595" Type="http://schemas.openxmlformats.org/officeDocument/2006/relationships/hyperlink" Target="https://learn.microsoft.com/azure/virtual-machines/availability" TargetMode="External"/><Relationship Id="rId262" Type="http://schemas.openxmlformats.org/officeDocument/2006/relationships/hyperlink" Target="https://learn.microsoft.com/azure/cloud-adoption-framework/ready/landing-zone/design-area/multi-tenant/considerations-recommendations" TargetMode="External"/><Relationship Id="rId567" Type="http://schemas.openxmlformats.org/officeDocument/2006/relationships/hyperlink" Target="https://learn.microsoft.com/azure/cloud-adoption-framework/ready/landing-zone/design-area/multi-tenant/considerations-recommendations" TargetMode="External"/><Relationship Id="rId1197" Type="http://schemas.openxmlformats.org/officeDocument/2006/relationships/hyperlink" Target="https://learn.microsoft.com/azure/cloud-adoption-framework/ready/landing-zone/design-area/multi-tenant/considerations-recommendations" TargetMode="External"/><Relationship Id="rId2150" Type="http://schemas.openxmlformats.org/officeDocument/2006/relationships/hyperlink" Target="https://learn.microsoft.com/azure/cloud-adoption-framework/ready/landing-zone/design-area/multi-tenant/considerations-recommendations" TargetMode="External"/><Relationship Id="rId2248" Type="http://schemas.openxmlformats.org/officeDocument/2006/relationships/hyperlink" Target="https://learn.microsoft.com/azure/cloud-adoption-framework/ready/landing-zone/design-area/multi-tenant/considerations-recommendations" TargetMode="External"/><Relationship Id="rId122" Type="http://schemas.openxmlformats.org/officeDocument/2006/relationships/hyperlink" Target="https://learn.microsoft.com/azure/cloud-adoption-framework/ready/landing-zone/design-area/multi-tenant/considerations-recommendations" TargetMode="External"/><Relationship Id="rId774" Type="http://schemas.openxmlformats.org/officeDocument/2006/relationships/hyperlink" Target="https://learn.microsoft.com/azure/cloud-adoption-framework/ready/landing-zone/design-area/multi-tenant/considerations-recommendations" TargetMode="External"/><Relationship Id="rId981" Type="http://schemas.openxmlformats.org/officeDocument/2006/relationships/hyperlink" Target="https://learn.microsoft.com/azure/cloud-adoption-framework/ready/landing-zone/design-area/multi-tenant/considerations-recommendations" TargetMode="External"/><Relationship Id="rId1057" Type="http://schemas.openxmlformats.org/officeDocument/2006/relationships/hyperlink" Target="https://learn.microsoft.com/azure/cloud-adoption-framework/ready/landing-zone/design-area/multi-tenant/considerations-recommendations" TargetMode="External"/><Relationship Id="rId2010" Type="http://schemas.openxmlformats.org/officeDocument/2006/relationships/hyperlink" Target="https://learn.microsoft.com/azure/cloud-adoption-framework/ready/landing-zone/design-area/multi-tenant/considerations-recommendations" TargetMode="External"/><Relationship Id="rId2455" Type="http://schemas.openxmlformats.org/officeDocument/2006/relationships/hyperlink" Target="https://learn.microsoft.com/azure/service-bus-messaging/transport-layer-security-enforce-minimum-version" TargetMode="External"/><Relationship Id="rId2662" Type="http://schemas.openxmlformats.org/officeDocument/2006/relationships/hyperlink" Target="https://learn.microsoft.com/azure/ai-services/openai/concepts/fine-tuning-considerations" TargetMode="External"/><Relationship Id="rId427" Type="http://schemas.openxmlformats.org/officeDocument/2006/relationships/hyperlink" Target="https://learn.microsoft.com/azure/cloud-adoption-framework/ready/landing-zone/design-area/multi-tenant/considerations-recommendations" TargetMode="External"/><Relationship Id="rId634" Type="http://schemas.openxmlformats.org/officeDocument/2006/relationships/hyperlink" Target="https://learn.microsoft.com/azure/cloud-adoption-framework/ready/landing-zone/design-area/multi-tenant/considerations-recommendations" TargetMode="External"/><Relationship Id="rId841" Type="http://schemas.openxmlformats.org/officeDocument/2006/relationships/hyperlink" Target="https://learn.microsoft.com/azure/cloud-adoption-framework/ready/landing-zone/design-area/multi-tenant/considerations-recommendations" TargetMode="External"/><Relationship Id="rId1264" Type="http://schemas.openxmlformats.org/officeDocument/2006/relationships/hyperlink" Target="https://learn.microsoft.com/azure/cloud-adoption-framework/ready/landing-zone/design-area/multi-tenant/considerations-recommendations" TargetMode="External"/><Relationship Id="rId1471" Type="http://schemas.openxmlformats.org/officeDocument/2006/relationships/hyperlink" Target="https://learn.microsoft.com/azure/cloud-adoption-framework/ready/landing-zone/design-area/multi-tenant/considerations-recommendations" TargetMode="External"/><Relationship Id="rId1569" Type="http://schemas.openxmlformats.org/officeDocument/2006/relationships/hyperlink" Target="https://learn.microsoft.com/azure/cloud-adoption-framework/ready/landing-zone/design-area/multi-tenant/considerations-recommendations" TargetMode="External"/><Relationship Id="rId2108" Type="http://schemas.openxmlformats.org/officeDocument/2006/relationships/hyperlink" Target="https://learn.microsoft.com/azure/cloud-adoption-framework/ready/landing-zone/design-area/multi-tenant/considerations-recommendations" TargetMode="External"/><Relationship Id="rId2315" Type="http://schemas.openxmlformats.org/officeDocument/2006/relationships/hyperlink" Target="https://learn.microsoft.com/azure/cloud-adoption-framework/ready/landing-zone/design-area/multi-tenant/considerations-recommendations" TargetMode="External"/><Relationship Id="rId2522" Type="http://schemas.openxmlformats.org/officeDocument/2006/relationships/hyperlink" Target="https://learn.microsoft.com/azure/event-hubs/configure-customer-managed-key" TargetMode="External"/><Relationship Id="rId701" Type="http://schemas.openxmlformats.org/officeDocument/2006/relationships/hyperlink" Target="https://learn.microsoft.com/azure/cloud-adoption-framework/ready/landing-zone/design-area/multi-tenant/considerations-recommendations" TargetMode="External"/><Relationship Id="rId939" Type="http://schemas.openxmlformats.org/officeDocument/2006/relationships/hyperlink" Target="https://learn.microsoft.com/azure/cloud-adoption-framework/ready/landing-zone/design-area/multi-tenant/considerations-recommendations" TargetMode="External"/><Relationship Id="rId1124" Type="http://schemas.openxmlformats.org/officeDocument/2006/relationships/hyperlink" Target="https://learn.microsoft.com/azure/cloud-adoption-framework/ready/landing-zone/design-area/multi-tenant/considerations-recommendations" TargetMode="External"/><Relationship Id="rId1331" Type="http://schemas.openxmlformats.org/officeDocument/2006/relationships/hyperlink" Target="https://learn.microsoft.com/azure/cloud-adoption-framework/ready/landing-zone/design-area/multi-tenant/considerations-recommendations" TargetMode="External"/><Relationship Id="rId1776" Type="http://schemas.openxmlformats.org/officeDocument/2006/relationships/hyperlink" Target="https://learn.microsoft.com/azure/cloud-adoption-framework/ready/landing-zone/design-area/multi-tenant/considerations-recommendations" TargetMode="External"/><Relationship Id="rId1983" Type="http://schemas.openxmlformats.org/officeDocument/2006/relationships/hyperlink" Target="https://learn.microsoft.com/azure/cloud-adoption-framework/ready/landing-zone/design-area/multi-tenant/considerations-recommendations" TargetMode="External"/><Relationship Id="rId68" Type="http://schemas.openxmlformats.org/officeDocument/2006/relationships/hyperlink" Target="https://learn.microsoft.com/azure/cloud-adoption-framework/ready/landing-zone/design-area/multi-tenant/considerations-recommendations" TargetMode="External"/><Relationship Id="rId1429" Type="http://schemas.openxmlformats.org/officeDocument/2006/relationships/hyperlink" Target="https://learn.microsoft.com/azure/cloud-adoption-framework/ready/landing-zone/design-area/multi-tenant/considerations-recommendations" TargetMode="External"/><Relationship Id="rId1636" Type="http://schemas.openxmlformats.org/officeDocument/2006/relationships/hyperlink" Target="https://learn.microsoft.com/azure/cloud-adoption-framework/ready/landing-zone/design-area/multi-tenant/considerations-recommendations" TargetMode="External"/><Relationship Id="rId1843" Type="http://schemas.openxmlformats.org/officeDocument/2006/relationships/hyperlink" Target="https://learn.microsoft.com/azure/cloud-adoption-framework/ready/landing-zone/design-area/multi-tenant/considerations-recommendations" TargetMode="External"/><Relationship Id="rId1703" Type="http://schemas.openxmlformats.org/officeDocument/2006/relationships/hyperlink" Target="https://learn.microsoft.com/azure/cloud-adoption-framework/ready/landing-zone/design-area/multi-tenant/considerations-recommendations" TargetMode="External"/><Relationship Id="rId1910" Type="http://schemas.openxmlformats.org/officeDocument/2006/relationships/hyperlink" Target="https://learn.microsoft.com/azure/cloud-adoption-framework/ready/landing-zone/design-area/multi-tenant/considerations-recommendations" TargetMode="External"/><Relationship Id="rId284" Type="http://schemas.openxmlformats.org/officeDocument/2006/relationships/hyperlink" Target="https://learn.microsoft.com/azure/cloud-adoption-framework/ready/landing-zone/design-area/multi-tenant/considerations-recommendations" TargetMode="External"/><Relationship Id="rId491" Type="http://schemas.openxmlformats.org/officeDocument/2006/relationships/hyperlink" Target="https://learn.microsoft.com/azure/cloud-adoption-framework/ready/landing-zone/design-area/multi-tenant/considerations-recommendations" TargetMode="External"/><Relationship Id="rId2172" Type="http://schemas.openxmlformats.org/officeDocument/2006/relationships/hyperlink" Target="https://learn.microsoft.com/azure/cloud-adoption-framework/ready/landing-zone/design-area/multi-tenant/considerations-recommendations" TargetMode="External"/><Relationship Id="rId144" Type="http://schemas.openxmlformats.org/officeDocument/2006/relationships/hyperlink" Target="https://learn.microsoft.com/azure/cloud-adoption-framework/ready/landing-zone/design-area/multi-tenant/considerations-recommendations" TargetMode="External"/><Relationship Id="rId589" Type="http://schemas.openxmlformats.org/officeDocument/2006/relationships/hyperlink" Target="https://learn.microsoft.com/azure/cloud-adoption-framework/ready/landing-zone/design-area/multi-tenant/considerations-recommendations" TargetMode="External"/><Relationship Id="rId796" Type="http://schemas.openxmlformats.org/officeDocument/2006/relationships/hyperlink" Target="https://learn.microsoft.com/azure/cloud-adoption-framework/ready/landing-zone/design-area/multi-tenant/considerations-recommendations" TargetMode="External"/><Relationship Id="rId2477" Type="http://schemas.openxmlformats.org/officeDocument/2006/relationships/hyperlink" Target="https://learn.microsoft.com/azure/frontdoor/best-practices" TargetMode="External"/><Relationship Id="rId2684" Type="http://schemas.openxmlformats.org/officeDocument/2006/relationships/hyperlink" Target="https://learn.microsoft.com/azure/ai-services/speech-service/how-to-custom-speech-continuous-integration-continuous-deployment" TargetMode="External"/><Relationship Id="rId351" Type="http://schemas.openxmlformats.org/officeDocument/2006/relationships/hyperlink" Target="https://learn.microsoft.com/azure/cloud-adoption-framework/ready/landing-zone/design-area/multi-tenant/considerations-recommendations" TargetMode="External"/><Relationship Id="rId449" Type="http://schemas.openxmlformats.org/officeDocument/2006/relationships/hyperlink" Target="https://learn.microsoft.com/azure/cloud-adoption-framework/ready/landing-zone/design-area/multi-tenant/considerations-recommendations" TargetMode="External"/><Relationship Id="rId656" Type="http://schemas.openxmlformats.org/officeDocument/2006/relationships/hyperlink" Target="https://learn.microsoft.com/azure/cloud-adoption-framework/ready/landing-zone/design-area/multi-tenant/considerations-recommendations" TargetMode="External"/><Relationship Id="rId863" Type="http://schemas.openxmlformats.org/officeDocument/2006/relationships/hyperlink" Target="https://learn.microsoft.com/azure/cloud-adoption-framework/ready/landing-zone/design-area/multi-tenant/considerations-recommendations" TargetMode="External"/><Relationship Id="rId1079" Type="http://schemas.openxmlformats.org/officeDocument/2006/relationships/hyperlink" Target="https://learn.microsoft.com/azure/cloud-adoption-framework/ready/landing-zone/design-area/multi-tenant/considerations-recommendations" TargetMode="External"/><Relationship Id="rId1286" Type="http://schemas.openxmlformats.org/officeDocument/2006/relationships/hyperlink" Target="https://learn.microsoft.com/azure/cloud-adoption-framework/ready/landing-zone/design-area/multi-tenant/considerations-recommendations" TargetMode="External"/><Relationship Id="rId1493" Type="http://schemas.openxmlformats.org/officeDocument/2006/relationships/hyperlink" Target="https://learn.microsoft.com/azure/cloud-adoption-framework/ready/landing-zone/design-area/multi-tenant/considerations-recommendations" TargetMode="External"/><Relationship Id="rId2032" Type="http://schemas.openxmlformats.org/officeDocument/2006/relationships/hyperlink" Target="https://learn.microsoft.com/azure/cloud-adoption-framework/ready/landing-zone/design-area/multi-tenant/considerations-recommendations" TargetMode="External"/><Relationship Id="rId2337" Type="http://schemas.openxmlformats.org/officeDocument/2006/relationships/hyperlink" Target="https://learn.microsoft.com/azure/cloud-adoption-framework/ready/landing-zone/design-area/multi-tenant/considerations-recommendations" TargetMode="External"/><Relationship Id="rId2544" Type="http://schemas.openxmlformats.org/officeDocument/2006/relationships/hyperlink" Target="https://learn.microsoft.com/learn/paths/secure-application-delivery/" TargetMode="External"/><Relationship Id="rId211" Type="http://schemas.openxmlformats.org/officeDocument/2006/relationships/hyperlink" Target="https://learn.microsoft.com/azure/cloud-adoption-framework/ready/landing-zone/design-area/multi-tenant/considerations-recommendations" TargetMode="External"/><Relationship Id="rId309" Type="http://schemas.openxmlformats.org/officeDocument/2006/relationships/hyperlink" Target="https://learn.microsoft.com/azure/cloud-adoption-framework/ready/landing-zone/design-area/multi-tenant/considerations-recommendations" TargetMode="External"/><Relationship Id="rId516" Type="http://schemas.openxmlformats.org/officeDocument/2006/relationships/hyperlink" Target="https://learn.microsoft.com/azure/cloud-adoption-framework/ready/landing-zone/design-area/multi-tenant/considerations-recommendations" TargetMode="External"/><Relationship Id="rId1146" Type="http://schemas.openxmlformats.org/officeDocument/2006/relationships/hyperlink" Target="https://learn.microsoft.com/azure/cloud-adoption-framework/ready/landing-zone/design-area/multi-tenant/considerations-recommendations" TargetMode="External"/><Relationship Id="rId1798" Type="http://schemas.openxmlformats.org/officeDocument/2006/relationships/hyperlink" Target="https://learn.microsoft.com/azure/cloud-adoption-framework/ready/landing-zone/design-area/multi-tenant/considerations-recommendations" TargetMode="External"/><Relationship Id="rId2751" Type="http://schemas.openxmlformats.org/officeDocument/2006/relationships/hyperlink" Target="https://learn.microsoft.com/azure/key-vault/general/best-practices" TargetMode="External"/><Relationship Id="rId723" Type="http://schemas.openxmlformats.org/officeDocument/2006/relationships/hyperlink" Target="https://learn.microsoft.com/azure/cloud-adoption-framework/ready/landing-zone/design-area/multi-tenant/considerations-recommendations" TargetMode="External"/><Relationship Id="rId930" Type="http://schemas.openxmlformats.org/officeDocument/2006/relationships/hyperlink" Target="https://learn.microsoft.com/azure/cloud-adoption-framework/ready/landing-zone/design-area/multi-tenant/considerations-recommendations" TargetMode="External"/><Relationship Id="rId1006" Type="http://schemas.openxmlformats.org/officeDocument/2006/relationships/hyperlink" Target="https://learn.microsoft.com/azure/cloud-adoption-framework/ready/landing-zone/design-area/multi-tenant/considerations-recommendations" TargetMode="External"/><Relationship Id="rId1353" Type="http://schemas.openxmlformats.org/officeDocument/2006/relationships/hyperlink" Target="https://learn.microsoft.com/azure/cloud-adoption-framework/ready/landing-zone/design-area/multi-tenant/considerations-recommendations" TargetMode="External"/><Relationship Id="rId1560" Type="http://schemas.openxmlformats.org/officeDocument/2006/relationships/hyperlink" Target="https://learn.microsoft.com/azure/cloud-adoption-framework/ready/landing-zone/design-area/multi-tenant/considerations-recommendations" TargetMode="External"/><Relationship Id="rId1658" Type="http://schemas.openxmlformats.org/officeDocument/2006/relationships/hyperlink" Target="https://learn.microsoft.com/azure/cloud-adoption-framework/ready/landing-zone/design-area/multi-tenant/considerations-recommendations" TargetMode="External"/><Relationship Id="rId1865" Type="http://schemas.openxmlformats.org/officeDocument/2006/relationships/hyperlink" Target="https://learn.microsoft.com/azure/cloud-adoption-framework/ready/landing-zone/design-area/multi-tenant/considerations-recommendations" TargetMode="External"/><Relationship Id="rId2404" Type="http://schemas.openxmlformats.org/officeDocument/2006/relationships/hyperlink" Target="https://learn.microsoft.com/azure/api-management/api-management-sample-flexible-throttling" TargetMode="External"/><Relationship Id="rId2611" Type="http://schemas.openxmlformats.org/officeDocument/2006/relationships/hyperlink" Target="https://learn.microsoft.com/azure/active-directory/privileged-identity-management/pim-create-roles-and-resource-roles-review" TargetMode="External"/><Relationship Id="rId2709" Type="http://schemas.openxmlformats.org/officeDocument/2006/relationships/hyperlink" Target="https://learn.microsoft.com/azure/ai-services/openai/how-to/manage-costs" TargetMode="External"/><Relationship Id="rId1213" Type="http://schemas.openxmlformats.org/officeDocument/2006/relationships/hyperlink" Target="https://learn.microsoft.com/azure/cloud-adoption-framework/ready/landing-zone/design-area/multi-tenant/considerations-recommendations" TargetMode="External"/><Relationship Id="rId1420" Type="http://schemas.openxmlformats.org/officeDocument/2006/relationships/hyperlink" Target="https://learn.microsoft.com/azure/cloud-adoption-framework/ready/landing-zone/design-area/multi-tenant/considerations-recommendations" TargetMode="External"/><Relationship Id="rId1518" Type="http://schemas.openxmlformats.org/officeDocument/2006/relationships/hyperlink" Target="https://learn.microsoft.com/azure/cloud-adoption-framework/ready/landing-zone/design-area/multi-tenant/considerations-recommendations" TargetMode="External"/><Relationship Id="rId1725" Type="http://schemas.openxmlformats.org/officeDocument/2006/relationships/hyperlink" Target="https://learn.microsoft.com/azure/cloud-adoption-framework/ready/landing-zone/design-area/multi-tenant/considerations-recommendations" TargetMode="External"/><Relationship Id="rId1932" Type="http://schemas.openxmlformats.org/officeDocument/2006/relationships/hyperlink" Target="https://learn.microsoft.com/azure/cloud-adoption-framework/ready/landing-zone/design-area/multi-tenant/considerations-recommendations" TargetMode="External"/><Relationship Id="rId17" Type="http://schemas.openxmlformats.org/officeDocument/2006/relationships/hyperlink" Target="https://learn.microsoft.com/azure/cloud-adoption-framework/ready/landing-zone/design-area/multi-tenant/considerations-recommendations" TargetMode="External"/><Relationship Id="rId2194" Type="http://schemas.openxmlformats.org/officeDocument/2006/relationships/hyperlink" Target="https://learn.microsoft.com/azure/cloud-adoption-framework/ready/landing-zone/design-area/multi-tenant/considerations-recommendations" TargetMode="External"/><Relationship Id="rId166" Type="http://schemas.openxmlformats.org/officeDocument/2006/relationships/hyperlink" Target="https://learn.microsoft.com/azure/cloud-adoption-framework/ready/landing-zone/design-area/multi-tenant/considerations-recommendations" TargetMode="External"/><Relationship Id="rId373" Type="http://schemas.openxmlformats.org/officeDocument/2006/relationships/hyperlink" Target="https://learn.microsoft.com/azure/cloud-adoption-framework/ready/landing-zone/design-area/multi-tenant/considerations-recommendations" TargetMode="External"/><Relationship Id="rId580" Type="http://schemas.openxmlformats.org/officeDocument/2006/relationships/hyperlink" Target="https://learn.microsoft.com/azure/cloud-adoption-framework/ready/landing-zone/design-area/multi-tenant/considerations-recommendations" TargetMode="External"/><Relationship Id="rId2054" Type="http://schemas.openxmlformats.org/officeDocument/2006/relationships/hyperlink" Target="https://learn.microsoft.com/azure/cloud-adoption-framework/ready/landing-zone/design-area/multi-tenant/considerations-recommendations" TargetMode="External"/><Relationship Id="rId2261" Type="http://schemas.openxmlformats.org/officeDocument/2006/relationships/hyperlink" Target="https://learn.microsoft.com/azure/cloud-adoption-framework/ready/landing-zone/design-area/multi-tenant/considerations-recommendations" TargetMode="External"/><Relationship Id="rId2499" Type="http://schemas.openxmlformats.org/officeDocument/2006/relationships/hyperlink" Target="https://learn.microsoft.com/azure/storage/blobs/immutable-storage-overview" TargetMode="External"/><Relationship Id="rId1" Type="http://schemas.openxmlformats.org/officeDocument/2006/relationships/hyperlink" Target="https://learn.microsoft.com/azure/cloud-adoption-framework/ready/landing-zone/design-area/multi-tenant/considerations-recommendations" TargetMode="External"/><Relationship Id="rId233" Type="http://schemas.openxmlformats.org/officeDocument/2006/relationships/hyperlink" Target="https://learn.microsoft.com/azure/cloud-adoption-framework/ready/landing-zone/design-area/multi-tenant/considerations-recommendations" TargetMode="External"/><Relationship Id="rId440" Type="http://schemas.openxmlformats.org/officeDocument/2006/relationships/hyperlink" Target="https://learn.microsoft.com/azure/cloud-adoption-framework/ready/landing-zone/design-area/multi-tenant/considerations-recommendations" TargetMode="External"/><Relationship Id="rId678" Type="http://schemas.openxmlformats.org/officeDocument/2006/relationships/hyperlink" Target="https://learn.microsoft.com/azure/cloud-adoption-framework/ready/landing-zone/design-area/multi-tenant/considerations-recommendations" TargetMode="External"/><Relationship Id="rId885" Type="http://schemas.openxmlformats.org/officeDocument/2006/relationships/hyperlink" Target="https://learn.microsoft.com/azure/cloud-adoption-framework/ready/landing-zone/design-area/multi-tenant/considerations-recommendations" TargetMode="External"/><Relationship Id="rId1070" Type="http://schemas.openxmlformats.org/officeDocument/2006/relationships/hyperlink" Target="https://learn.microsoft.com/azure/cloud-adoption-framework/ready/landing-zone/design-area/multi-tenant/considerations-recommendations" TargetMode="External"/><Relationship Id="rId2121" Type="http://schemas.openxmlformats.org/officeDocument/2006/relationships/hyperlink" Target="https://learn.microsoft.com/azure/cloud-adoption-framework/ready/landing-zone/design-area/multi-tenant/considerations-recommendations" TargetMode="External"/><Relationship Id="rId2359" Type="http://schemas.openxmlformats.org/officeDocument/2006/relationships/hyperlink" Target="https://learn.microsoft.com/azure/key-vault/general/overview" TargetMode="External"/><Relationship Id="rId2566" Type="http://schemas.openxmlformats.org/officeDocument/2006/relationships/hyperlink" Target="https://learn.microsoft.com/azure/frontdoor/best-practices" TargetMode="External"/><Relationship Id="rId2773" Type="http://schemas.openxmlformats.org/officeDocument/2006/relationships/ctrlProp" Target="../ctrlProps/ctrlProp6.xml"/><Relationship Id="rId300" Type="http://schemas.openxmlformats.org/officeDocument/2006/relationships/hyperlink" Target="https://learn.microsoft.com/azure/cloud-adoption-framework/ready/landing-zone/design-area/multi-tenant/considerations-recommendations" TargetMode="External"/><Relationship Id="rId538" Type="http://schemas.openxmlformats.org/officeDocument/2006/relationships/hyperlink" Target="https://learn.microsoft.com/azure/cloud-adoption-framework/ready/landing-zone/design-area/multi-tenant/considerations-recommendations" TargetMode="External"/><Relationship Id="rId745" Type="http://schemas.openxmlformats.org/officeDocument/2006/relationships/hyperlink" Target="https://learn.microsoft.com/azure/cloud-adoption-framework/ready/landing-zone/design-area/multi-tenant/considerations-recommendations" TargetMode="External"/><Relationship Id="rId952" Type="http://schemas.openxmlformats.org/officeDocument/2006/relationships/hyperlink" Target="https://learn.microsoft.com/azure/cloud-adoption-framework/ready/landing-zone/design-area/multi-tenant/considerations-recommendations" TargetMode="External"/><Relationship Id="rId1168" Type="http://schemas.openxmlformats.org/officeDocument/2006/relationships/hyperlink" Target="https://learn.microsoft.com/azure/cloud-adoption-framework/ready/landing-zone/design-area/multi-tenant/considerations-recommendations" TargetMode="External"/><Relationship Id="rId1375" Type="http://schemas.openxmlformats.org/officeDocument/2006/relationships/hyperlink" Target="https://learn.microsoft.com/azure/cloud-adoption-framework/ready/landing-zone/design-area/multi-tenant/considerations-recommendations" TargetMode="External"/><Relationship Id="rId1582" Type="http://schemas.openxmlformats.org/officeDocument/2006/relationships/hyperlink" Target="https://learn.microsoft.com/azure/cloud-adoption-framework/ready/landing-zone/design-area/multi-tenant/considerations-recommendations" TargetMode="External"/><Relationship Id="rId2219" Type="http://schemas.openxmlformats.org/officeDocument/2006/relationships/hyperlink" Target="https://learn.microsoft.com/azure/cloud-adoption-framework/ready/landing-zone/design-area/multi-tenant/considerations-recommendations" TargetMode="External"/><Relationship Id="rId2426" Type="http://schemas.openxmlformats.org/officeDocument/2006/relationships/hyperlink" Target="https://learn.microsoft.com/azure/app-service/app-service-key-vault-references" TargetMode="External"/><Relationship Id="rId2633" Type="http://schemas.openxmlformats.org/officeDocument/2006/relationships/hyperlink" Target="https://learn.microsoft.com/azure/machine-learning/how-to-create-attach-compute-studio" TargetMode="External"/><Relationship Id="rId81" Type="http://schemas.openxmlformats.org/officeDocument/2006/relationships/hyperlink" Target="https://learn.microsoft.com/azure/cloud-adoption-framework/ready/landing-zone/design-area/multi-tenant/considerations-recommendations" TargetMode="External"/><Relationship Id="rId605" Type="http://schemas.openxmlformats.org/officeDocument/2006/relationships/hyperlink" Target="https://learn.microsoft.com/azure/cloud-adoption-framework/ready/landing-zone/design-area/multi-tenant/considerations-recommendations" TargetMode="External"/><Relationship Id="rId812" Type="http://schemas.openxmlformats.org/officeDocument/2006/relationships/hyperlink" Target="https://learn.microsoft.com/azure/cloud-adoption-framework/ready/landing-zone/design-area/multi-tenant/considerations-recommendations" TargetMode="External"/><Relationship Id="rId1028" Type="http://schemas.openxmlformats.org/officeDocument/2006/relationships/hyperlink" Target="https://learn.microsoft.com/azure/cloud-adoption-framework/ready/landing-zone/design-area/multi-tenant/considerations-recommendations" TargetMode="External"/><Relationship Id="rId1235" Type="http://schemas.openxmlformats.org/officeDocument/2006/relationships/hyperlink" Target="https://learn.microsoft.com/azure/cloud-adoption-framework/ready/landing-zone/design-area/multi-tenant/considerations-recommendations" TargetMode="External"/><Relationship Id="rId1442" Type="http://schemas.openxmlformats.org/officeDocument/2006/relationships/hyperlink" Target="https://learn.microsoft.com/azure/cloud-adoption-framework/ready/landing-zone/design-area/multi-tenant/considerations-recommendations" TargetMode="External"/><Relationship Id="rId1887" Type="http://schemas.openxmlformats.org/officeDocument/2006/relationships/hyperlink" Target="https://learn.microsoft.com/azure/cloud-adoption-framework/ready/landing-zone/design-area/multi-tenant/considerations-recommendations" TargetMode="External"/><Relationship Id="rId1302" Type="http://schemas.openxmlformats.org/officeDocument/2006/relationships/hyperlink" Target="https://learn.microsoft.com/azure/cloud-adoption-framework/ready/landing-zone/design-area/multi-tenant/considerations-recommendations" TargetMode="External"/><Relationship Id="rId1747" Type="http://schemas.openxmlformats.org/officeDocument/2006/relationships/hyperlink" Target="https://learn.microsoft.com/azure/cloud-adoption-framework/ready/landing-zone/design-area/multi-tenant/considerations-recommendations" TargetMode="External"/><Relationship Id="rId1954" Type="http://schemas.openxmlformats.org/officeDocument/2006/relationships/hyperlink" Target="https://learn.microsoft.com/azure/cloud-adoption-framework/ready/landing-zone/design-area/multi-tenant/considerations-recommendations" TargetMode="External"/><Relationship Id="rId2700" Type="http://schemas.openxmlformats.org/officeDocument/2006/relationships/hyperlink" Target="https://learn.microsoft.com/azure/ai-services/openai/how-to/latency" TargetMode="External"/><Relationship Id="rId39" Type="http://schemas.openxmlformats.org/officeDocument/2006/relationships/hyperlink" Target="https://learn.microsoft.com/azure/cloud-adoption-framework/ready/landing-zone/design-area/multi-tenant/considerations-recommendations" TargetMode="External"/><Relationship Id="rId1607" Type="http://schemas.openxmlformats.org/officeDocument/2006/relationships/hyperlink" Target="https://learn.microsoft.com/azure/cloud-adoption-framework/ready/landing-zone/design-area/multi-tenant/considerations-recommendations" TargetMode="External"/><Relationship Id="rId1814" Type="http://schemas.openxmlformats.org/officeDocument/2006/relationships/hyperlink" Target="https://learn.microsoft.com/azure/cloud-adoption-framework/ready/landing-zone/design-area/multi-tenant/considerations-recommendations" TargetMode="External"/><Relationship Id="rId188" Type="http://schemas.openxmlformats.org/officeDocument/2006/relationships/hyperlink" Target="https://learn.microsoft.com/azure/cloud-adoption-framework/ready/landing-zone/design-area/multi-tenant/considerations-recommendations" TargetMode="External"/><Relationship Id="rId395" Type="http://schemas.openxmlformats.org/officeDocument/2006/relationships/hyperlink" Target="https://learn.microsoft.com/azure/cloud-adoption-framework/ready/landing-zone/design-area/multi-tenant/considerations-recommendations" TargetMode="External"/><Relationship Id="rId2076" Type="http://schemas.openxmlformats.org/officeDocument/2006/relationships/hyperlink" Target="https://learn.microsoft.com/azure/cloud-adoption-framework/ready/landing-zone/design-area/multi-tenant/considerations-recommendations" TargetMode="External"/><Relationship Id="rId2283" Type="http://schemas.openxmlformats.org/officeDocument/2006/relationships/hyperlink" Target="https://learn.microsoft.com/azure/cloud-adoption-framework/ready/landing-zone/design-area/multi-tenant/considerations-recommendations" TargetMode="External"/><Relationship Id="rId2490" Type="http://schemas.openxmlformats.org/officeDocument/2006/relationships/hyperlink" Target="https://learn.microsoft.com/security/benchmark/azure/baselines/storage-security-baseline" TargetMode="External"/><Relationship Id="rId2588" Type="http://schemas.openxmlformats.org/officeDocument/2006/relationships/hyperlink" Target="https://learn.microsoft.com/azure/virtual-machine-scale-sets/virtual-machine-scale-sets-automatic-instance-repairs" TargetMode="External"/><Relationship Id="rId255" Type="http://schemas.openxmlformats.org/officeDocument/2006/relationships/hyperlink" Target="https://learn.microsoft.com/azure/cloud-adoption-framework/ready/landing-zone/design-area/multi-tenant/considerations-recommendations" TargetMode="External"/><Relationship Id="rId462" Type="http://schemas.openxmlformats.org/officeDocument/2006/relationships/hyperlink" Target="https://learn.microsoft.com/azure/cloud-adoption-framework/ready/landing-zone/design-area/multi-tenant/considerations-recommendations" TargetMode="External"/><Relationship Id="rId1092" Type="http://schemas.openxmlformats.org/officeDocument/2006/relationships/hyperlink" Target="https://learn.microsoft.com/azure/cloud-adoption-framework/ready/landing-zone/design-area/multi-tenant/considerations-recommendations" TargetMode="External"/><Relationship Id="rId1397" Type="http://schemas.openxmlformats.org/officeDocument/2006/relationships/hyperlink" Target="https://learn.microsoft.com/azure/cloud-adoption-framework/ready/landing-zone/design-area/multi-tenant/considerations-recommendations" TargetMode="External"/><Relationship Id="rId2143" Type="http://schemas.openxmlformats.org/officeDocument/2006/relationships/hyperlink" Target="https://learn.microsoft.com/azure/cloud-adoption-framework/ready/landing-zone/design-area/multi-tenant/considerations-recommendations" TargetMode="External"/><Relationship Id="rId2350" Type="http://schemas.openxmlformats.org/officeDocument/2006/relationships/hyperlink" Target="https://learn.microsoft.com/azure/cloud-adoption-framework/ready/landing-zone/design-area/multi-tenant/considerations-recommendations" TargetMode="External"/><Relationship Id="rId115" Type="http://schemas.openxmlformats.org/officeDocument/2006/relationships/hyperlink" Target="https://learn.microsoft.com/azure/cloud-adoption-framework/ready/landing-zone/design-area/multi-tenant/considerations-recommendations" TargetMode="External"/><Relationship Id="rId322" Type="http://schemas.openxmlformats.org/officeDocument/2006/relationships/hyperlink" Target="https://learn.microsoft.com/azure/cloud-adoption-framework/ready/landing-zone/design-area/multi-tenant/considerations-recommendations" TargetMode="External"/><Relationship Id="rId767" Type="http://schemas.openxmlformats.org/officeDocument/2006/relationships/hyperlink" Target="https://learn.microsoft.com/azure/cloud-adoption-framework/ready/landing-zone/design-area/multi-tenant/considerations-recommendations" TargetMode="External"/><Relationship Id="rId974" Type="http://schemas.openxmlformats.org/officeDocument/2006/relationships/hyperlink" Target="https://learn.microsoft.com/azure/cloud-adoption-framework/ready/landing-zone/design-area/multi-tenant/considerations-recommendations" TargetMode="External"/><Relationship Id="rId2003" Type="http://schemas.openxmlformats.org/officeDocument/2006/relationships/hyperlink" Target="https://learn.microsoft.com/azure/cloud-adoption-framework/ready/landing-zone/design-area/multi-tenant/considerations-recommendations" TargetMode="External"/><Relationship Id="rId2210" Type="http://schemas.openxmlformats.org/officeDocument/2006/relationships/hyperlink" Target="https://learn.microsoft.com/azure/cloud-adoption-framework/ready/landing-zone/design-area/multi-tenant/considerations-recommendations" TargetMode="External"/><Relationship Id="rId2448" Type="http://schemas.openxmlformats.org/officeDocument/2006/relationships/hyperlink" Target="https://learn.microsoft.com/azure/ddos-protection/ddos-protection-overview" TargetMode="External"/><Relationship Id="rId2655" Type="http://schemas.openxmlformats.org/officeDocument/2006/relationships/hyperlink" Target="https://techcommunity.microsoft.com/t5/fasttrack-for-azure/optimizing-azure-openai-a-guide-to-limits-quotas-and-best/ba-p/4076268" TargetMode="External"/><Relationship Id="rId627" Type="http://schemas.openxmlformats.org/officeDocument/2006/relationships/hyperlink" Target="https://learn.microsoft.com/azure/cloud-adoption-framework/ready/landing-zone/design-area/multi-tenant/considerations-recommendations" TargetMode="External"/><Relationship Id="rId834" Type="http://schemas.openxmlformats.org/officeDocument/2006/relationships/hyperlink" Target="https://learn.microsoft.com/azure/cloud-adoption-framework/ready/landing-zone/design-area/multi-tenant/considerations-recommendations" TargetMode="External"/><Relationship Id="rId1257" Type="http://schemas.openxmlformats.org/officeDocument/2006/relationships/hyperlink" Target="https://learn.microsoft.com/azure/cloud-adoption-framework/ready/landing-zone/design-area/multi-tenant/considerations-recommendations" TargetMode="External"/><Relationship Id="rId1464" Type="http://schemas.openxmlformats.org/officeDocument/2006/relationships/hyperlink" Target="https://learn.microsoft.com/azure/cloud-adoption-framework/ready/landing-zone/design-area/multi-tenant/considerations-recommendations" TargetMode="External"/><Relationship Id="rId1671" Type="http://schemas.openxmlformats.org/officeDocument/2006/relationships/hyperlink" Target="https://learn.microsoft.com/azure/cloud-adoption-framework/ready/landing-zone/design-area/multi-tenant/considerations-recommendations" TargetMode="External"/><Relationship Id="rId2308" Type="http://schemas.openxmlformats.org/officeDocument/2006/relationships/hyperlink" Target="https://learn.microsoft.com/azure/cloud-adoption-framework/ready/landing-zone/design-area/multi-tenant/considerations-recommendations" TargetMode="External"/><Relationship Id="rId2515" Type="http://schemas.openxmlformats.org/officeDocument/2006/relationships/hyperlink" Target="https://learn.microsoft.com/azure/storage/blobs/secure-file-transfer-protocol-support" TargetMode="External"/><Relationship Id="rId2722" Type="http://schemas.openxmlformats.org/officeDocument/2006/relationships/hyperlink" Target="https://learn.microsoft.com/azure/ai-studio/how-to/disaster-recovery" TargetMode="External"/><Relationship Id="rId901" Type="http://schemas.openxmlformats.org/officeDocument/2006/relationships/hyperlink" Target="https://learn.microsoft.com/azure/cloud-adoption-framework/ready/landing-zone/design-area/multi-tenant/considerations-recommendations" TargetMode="External"/><Relationship Id="rId1117" Type="http://schemas.openxmlformats.org/officeDocument/2006/relationships/hyperlink" Target="https://learn.microsoft.com/azure/cloud-adoption-framework/ready/landing-zone/design-area/multi-tenant/considerations-recommendations" TargetMode="External"/><Relationship Id="rId1324" Type="http://schemas.openxmlformats.org/officeDocument/2006/relationships/hyperlink" Target="https://learn.microsoft.com/azure/cloud-adoption-framework/ready/landing-zone/design-area/multi-tenant/considerations-recommendations" TargetMode="External"/><Relationship Id="rId1531" Type="http://schemas.openxmlformats.org/officeDocument/2006/relationships/hyperlink" Target="https://learn.microsoft.com/azure/cloud-adoption-framework/ready/landing-zone/design-area/multi-tenant/considerations-recommendations" TargetMode="External"/><Relationship Id="rId1769" Type="http://schemas.openxmlformats.org/officeDocument/2006/relationships/hyperlink" Target="https://learn.microsoft.com/azure/cloud-adoption-framework/ready/landing-zone/design-area/multi-tenant/considerations-recommendations" TargetMode="External"/><Relationship Id="rId1976" Type="http://schemas.openxmlformats.org/officeDocument/2006/relationships/hyperlink" Target="https://learn.microsoft.com/azure/cloud-adoption-framework/ready/landing-zone/design-area/multi-tenant/considerations-recommendations" TargetMode="External"/><Relationship Id="rId30" Type="http://schemas.openxmlformats.org/officeDocument/2006/relationships/hyperlink" Target="https://learn.microsoft.com/azure/cloud-adoption-framework/ready/landing-zone/design-area/multi-tenant/considerations-recommendations" TargetMode="External"/><Relationship Id="rId1629" Type="http://schemas.openxmlformats.org/officeDocument/2006/relationships/hyperlink" Target="https://learn.microsoft.com/azure/cloud-adoption-framework/ready/landing-zone/design-area/multi-tenant/considerations-recommendations" TargetMode="External"/><Relationship Id="rId1836" Type="http://schemas.openxmlformats.org/officeDocument/2006/relationships/hyperlink" Target="https://learn.microsoft.com/azure/cloud-adoption-framework/ready/landing-zone/design-area/multi-tenant/considerations-recommendations" TargetMode="External"/><Relationship Id="rId1903" Type="http://schemas.openxmlformats.org/officeDocument/2006/relationships/hyperlink" Target="https://learn.microsoft.com/azure/cloud-adoption-framework/ready/landing-zone/design-area/multi-tenant/considerations-recommendations" TargetMode="External"/><Relationship Id="rId2098" Type="http://schemas.openxmlformats.org/officeDocument/2006/relationships/hyperlink" Target="https://learn.microsoft.com/azure/cloud-adoption-framework/ready/landing-zone/design-area/multi-tenant/considerations-recommendations" TargetMode="External"/><Relationship Id="rId277" Type="http://schemas.openxmlformats.org/officeDocument/2006/relationships/hyperlink" Target="https://learn.microsoft.com/azure/cloud-adoption-framework/ready/landing-zone/design-area/multi-tenant/considerations-recommendations" TargetMode="External"/><Relationship Id="rId484" Type="http://schemas.openxmlformats.org/officeDocument/2006/relationships/hyperlink" Target="https://learn.microsoft.com/azure/cloud-adoption-framework/ready/landing-zone/design-area/multi-tenant/considerations-recommendations" TargetMode="External"/><Relationship Id="rId2165" Type="http://schemas.openxmlformats.org/officeDocument/2006/relationships/hyperlink" Target="https://learn.microsoft.com/azure/cloud-adoption-framework/ready/landing-zone/design-area/multi-tenant/considerations-recommendations" TargetMode="External"/><Relationship Id="rId137" Type="http://schemas.openxmlformats.org/officeDocument/2006/relationships/hyperlink" Target="https://learn.microsoft.com/azure/cloud-adoption-framework/ready/landing-zone/design-area/multi-tenant/considerations-recommendations" TargetMode="External"/><Relationship Id="rId344" Type="http://schemas.openxmlformats.org/officeDocument/2006/relationships/hyperlink" Target="https://learn.microsoft.com/azure/cloud-adoption-framework/ready/landing-zone/design-area/multi-tenant/considerations-recommendations" TargetMode="External"/><Relationship Id="rId691" Type="http://schemas.openxmlformats.org/officeDocument/2006/relationships/hyperlink" Target="https://learn.microsoft.com/azure/cloud-adoption-framework/ready/landing-zone/design-area/multi-tenant/considerations-recommendations" TargetMode="External"/><Relationship Id="rId789" Type="http://schemas.openxmlformats.org/officeDocument/2006/relationships/hyperlink" Target="https://learn.microsoft.com/azure/cloud-adoption-framework/ready/landing-zone/design-area/multi-tenant/considerations-recommendations" TargetMode="External"/><Relationship Id="rId996" Type="http://schemas.openxmlformats.org/officeDocument/2006/relationships/hyperlink" Target="https://learn.microsoft.com/azure/cloud-adoption-framework/ready/landing-zone/design-area/multi-tenant/considerations-recommendations" TargetMode="External"/><Relationship Id="rId2025" Type="http://schemas.openxmlformats.org/officeDocument/2006/relationships/hyperlink" Target="https://learn.microsoft.com/azure/cloud-adoption-framework/ready/landing-zone/design-area/multi-tenant/considerations-recommendations" TargetMode="External"/><Relationship Id="rId2372" Type="http://schemas.openxmlformats.org/officeDocument/2006/relationships/hyperlink" Target="https://learn.microsoft.com/azure/defender-for-cloud/concept-cloud-security-posture-management" TargetMode="External"/><Relationship Id="rId2677" Type="http://schemas.openxmlformats.org/officeDocument/2006/relationships/hyperlink" Target="https://learn.microsoft.com/azure/search/search-reliability" TargetMode="External"/><Relationship Id="rId551" Type="http://schemas.openxmlformats.org/officeDocument/2006/relationships/hyperlink" Target="https://learn.microsoft.com/azure/cloud-adoption-framework/ready/landing-zone/design-area/multi-tenant/considerations-recommendations" TargetMode="External"/><Relationship Id="rId649" Type="http://schemas.openxmlformats.org/officeDocument/2006/relationships/hyperlink" Target="https://learn.microsoft.com/azure/cloud-adoption-framework/ready/landing-zone/design-area/multi-tenant/considerations-recommendations" TargetMode="External"/><Relationship Id="rId856" Type="http://schemas.openxmlformats.org/officeDocument/2006/relationships/hyperlink" Target="https://learn.microsoft.com/azure/cloud-adoption-framework/ready/landing-zone/design-area/multi-tenant/considerations-recommendations" TargetMode="External"/><Relationship Id="rId1181" Type="http://schemas.openxmlformats.org/officeDocument/2006/relationships/hyperlink" Target="https://learn.microsoft.com/azure/cloud-adoption-framework/ready/landing-zone/design-area/multi-tenant/considerations-recommendations" TargetMode="External"/><Relationship Id="rId1279" Type="http://schemas.openxmlformats.org/officeDocument/2006/relationships/hyperlink" Target="https://learn.microsoft.com/azure/cloud-adoption-framework/ready/landing-zone/design-area/multi-tenant/considerations-recommendations" TargetMode="External"/><Relationship Id="rId1486" Type="http://schemas.openxmlformats.org/officeDocument/2006/relationships/hyperlink" Target="https://learn.microsoft.com/azure/cloud-adoption-framework/ready/landing-zone/design-area/multi-tenant/considerations-recommendations" TargetMode="External"/><Relationship Id="rId2232" Type="http://schemas.openxmlformats.org/officeDocument/2006/relationships/hyperlink" Target="https://learn.microsoft.com/azure/cloud-adoption-framework/ready/landing-zone/design-area/multi-tenant/considerations-recommendations" TargetMode="External"/><Relationship Id="rId2537" Type="http://schemas.openxmlformats.org/officeDocument/2006/relationships/hyperlink" Target="https://learn.microsoft.com/learn/paths/implement-resource-mgmt-security/" TargetMode="External"/><Relationship Id="rId204" Type="http://schemas.openxmlformats.org/officeDocument/2006/relationships/hyperlink" Target="https://learn.microsoft.com/azure/cloud-adoption-framework/ready/landing-zone/design-area/multi-tenant/considerations-recommendations" TargetMode="External"/><Relationship Id="rId411" Type="http://schemas.openxmlformats.org/officeDocument/2006/relationships/hyperlink" Target="https://learn.microsoft.com/azure/cloud-adoption-framework/ready/landing-zone/design-area/multi-tenant/considerations-recommendations" TargetMode="External"/><Relationship Id="rId509" Type="http://schemas.openxmlformats.org/officeDocument/2006/relationships/hyperlink" Target="https://learn.microsoft.com/azure/cloud-adoption-framework/ready/landing-zone/design-area/multi-tenant/considerations-recommendations" TargetMode="External"/><Relationship Id="rId1041" Type="http://schemas.openxmlformats.org/officeDocument/2006/relationships/hyperlink" Target="https://learn.microsoft.com/azure/cloud-adoption-framework/ready/landing-zone/design-area/multi-tenant/considerations-recommendations" TargetMode="External"/><Relationship Id="rId1139" Type="http://schemas.openxmlformats.org/officeDocument/2006/relationships/hyperlink" Target="https://learn.microsoft.com/azure/cloud-adoption-framework/ready/landing-zone/design-area/multi-tenant/considerations-recommendations" TargetMode="External"/><Relationship Id="rId1346" Type="http://schemas.openxmlformats.org/officeDocument/2006/relationships/hyperlink" Target="https://learn.microsoft.com/azure/cloud-adoption-framework/ready/landing-zone/design-area/multi-tenant/considerations-recommendations" TargetMode="External"/><Relationship Id="rId1693" Type="http://schemas.openxmlformats.org/officeDocument/2006/relationships/hyperlink" Target="https://learn.microsoft.com/azure/cloud-adoption-framework/ready/landing-zone/design-area/multi-tenant/considerations-recommendations" TargetMode="External"/><Relationship Id="rId1998" Type="http://schemas.openxmlformats.org/officeDocument/2006/relationships/hyperlink" Target="https://learn.microsoft.com/azure/cloud-adoption-framework/ready/landing-zone/design-area/multi-tenant/considerations-recommendations" TargetMode="External"/><Relationship Id="rId2744" Type="http://schemas.openxmlformats.org/officeDocument/2006/relationships/hyperlink" Target="https://techcommunity.microsoft.com/t5/azure-architecture-blog/azure-openai-private-endpoints-connecting-across-vnet-s/ba-p/3913325" TargetMode="External"/><Relationship Id="rId716" Type="http://schemas.openxmlformats.org/officeDocument/2006/relationships/hyperlink" Target="https://learn.microsoft.com/azure/cloud-adoption-framework/ready/landing-zone/design-area/multi-tenant/considerations-recommendations" TargetMode="External"/><Relationship Id="rId923" Type="http://schemas.openxmlformats.org/officeDocument/2006/relationships/hyperlink" Target="https://learn.microsoft.com/azure/cloud-adoption-framework/ready/landing-zone/design-area/multi-tenant/considerations-recommendations" TargetMode="External"/><Relationship Id="rId1553" Type="http://schemas.openxmlformats.org/officeDocument/2006/relationships/hyperlink" Target="https://learn.microsoft.com/azure/cloud-adoption-framework/ready/landing-zone/design-area/multi-tenant/considerations-recommendations" TargetMode="External"/><Relationship Id="rId1760" Type="http://schemas.openxmlformats.org/officeDocument/2006/relationships/hyperlink" Target="https://learn.microsoft.com/azure/cloud-adoption-framework/ready/landing-zone/design-area/multi-tenant/considerations-recommendations" TargetMode="External"/><Relationship Id="rId1858" Type="http://schemas.openxmlformats.org/officeDocument/2006/relationships/hyperlink" Target="https://learn.microsoft.com/azure/cloud-adoption-framework/ready/landing-zone/design-area/multi-tenant/considerations-recommendations" TargetMode="External"/><Relationship Id="rId2604" Type="http://schemas.openxmlformats.org/officeDocument/2006/relationships/hyperlink" Target="https://learn.microsoft.com/azure/backup/backup-azure-enhanced-soft-delete-about" TargetMode="External"/><Relationship Id="rId52" Type="http://schemas.openxmlformats.org/officeDocument/2006/relationships/hyperlink" Target="https://learn.microsoft.com/azure/cloud-adoption-framework/ready/landing-zone/design-area/multi-tenant/considerations-recommendations" TargetMode="External"/><Relationship Id="rId1206" Type="http://schemas.openxmlformats.org/officeDocument/2006/relationships/hyperlink" Target="https://learn.microsoft.com/azure/cloud-adoption-framework/ready/landing-zone/design-area/multi-tenant/considerations-recommendations" TargetMode="External"/><Relationship Id="rId1413" Type="http://schemas.openxmlformats.org/officeDocument/2006/relationships/hyperlink" Target="https://learn.microsoft.com/azure/cloud-adoption-framework/ready/landing-zone/design-area/multi-tenant/considerations-recommendations" TargetMode="External"/><Relationship Id="rId1620" Type="http://schemas.openxmlformats.org/officeDocument/2006/relationships/hyperlink" Target="https://learn.microsoft.com/azure/cloud-adoption-framework/ready/landing-zone/design-area/multi-tenant/considerations-recommendations" TargetMode="External"/><Relationship Id="rId1718" Type="http://schemas.openxmlformats.org/officeDocument/2006/relationships/hyperlink" Target="https://learn.microsoft.com/azure/cloud-adoption-framework/ready/landing-zone/design-area/multi-tenant/considerations-recommendations" TargetMode="External"/><Relationship Id="rId1925" Type="http://schemas.openxmlformats.org/officeDocument/2006/relationships/hyperlink" Target="https://learn.microsoft.com/azure/cloud-adoption-framework/ready/landing-zone/design-area/multi-tenant/considerations-recommendations" TargetMode="External"/><Relationship Id="rId299" Type="http://schemas.openxmlformats.org/officeDocument/2006/relationships/hyperlink" Target="https://learn.microsoft.com/azure/cloud-adoption-framework/ready/landing-zone/design-area/multi-tenant/considerations-recommendations" TargetMode="External"/><Relationship Id="rId2187" Type="http://schemas.openxmlformats.org/officeDocument/2006/relationships/hyperlink" Target="https://learn.microsoft.com/azure/cloud-adoption-framework/ready/landing-zone/design-area/multi-tenant/considerations-recommendations" TargetMode="External"/><Relationship Id="rId2394" Type="http://schemas.openxmlformats.org/officeDocument/2006/relationships/hyperlink" Target="https://learn.microsoft.com/azure/api-management/api-management-howto-create-groups" TargetMode="External"/><Relationship Id="rId159" Type="http://schemas.openxmlformats.org/officeDocument/2006/relationships/hyperlink" Target="https://learn.microsoft.com/azure/cloud-adoption-framework/ready/landing-zone/design-area/multi-tenant/considerations-recommendations" TargetMode="External"/><Relationship Id="rId366" Type="http://schemas.openxmlformats.org/officeDocument/2006/relationships/hyperlink" Target="https://learn.microsoft.com/azure/cloud-adoption-framework/ready/landing-zone/design-area/multi-tenant/considerations-recommendations" TargetMode="External"/><Relationship Id="rId573" Type="http://schemas.openxmlformats.org/officeDocument/2006/relationships/hyperlink" Target="https://learn.microsoft.com/azure/cloud-adoption-framework/ready/landing-zone/design-area/multi-tenant/considerations-recommendations" TargetMode="External"/><Relationship Id="rId780" Type="http://schemas.openxmlformats.org/officeDocument/2006/relationships/hyperlink" Target="https://learn.microsoft.com/azure/cloud-adoption-framework/ready/landing-zone/design-area/multi-tenant/considerations-recommendations" TargetMode="External"/><Relationship Id="rId2047" Type="http://schemas.openxmlformats.org/officeDocument/2006/relationships/hyperlink" Target="https://learn.microsoft.com/azure/cloud-adoption-framework/ready/landing-zone/design-area/multi-tenant/considerations-recommendations" TargetMode="External"/><Relationship Id="rId2254" Type="http://schemas.openxmlformats.org/officeDocument/2006/relationships/hyperlink" Target="https://learn.microsoft.com/azure/cloud-adoption-framework/ready/landing-zone/design-area/multi-tenant/considerations-recommendations" TargetMode="External"/><Relationship Id="rId2461" Type="http://schemas.openxmlformats.org/officeDocument/2006/relationships/hyperlink" Target="https://learn.microsoft.com/azure/service-bus-messaging/authenticate-application" TargetMode="External"/><Relationship Id="rId2699" Type="http://schemas.openxmlformats.org/officeDocument/2006/relationships/hyperlink" Target="https://learn.microsoft.com/azure/ai-services/openai/how-to/manage-costs" TargetMode="External"/><Relationship Id="rId226" Type="http://schemas.openxmlformats.org/officeDocument/2006/relationships/hyperlink" Target="https://learn.microsoft.com/azure/cloud-adoption-framework/ready/landing-zone/design-area/multi-tenant/considerations-recommendations" TargetMode="External"/><Relationship Id="rId433" Type="http://schemas.openxmlformats.org/officeDocument/2006/relationships/hyperlink" Target="https://learn.microsoft.com/azure/cloud-adoption-framework/ready/landing-zone/design-area/multi-tenant/considerations-recommendations" TargetMode="External"/><Relationship Id="rId878" Type="http://schemas.openxmlformats.org/officeDocument/2006/relationships/hyperlink" Target="https://learn.microsoft.com/azure/cloud-adoption-framework/ready/landing-zone/design-area/multi-tenant/considerations-recommendations" TargetMode="External"/><Relationship Id="rId1063" Type="http://schemas.openxmlformats.org/officeDocument/2006/relationships/hyperlink" Target="https://learn.microsoft.com/azure/cloud-adoption-framework/ready/landing-zone/design-area/multi-tenant/considerations-recommendations" TargetMode="External"/><Relationship Id="rId1270" Type="http://schemas.openxmlformats.org/officeDocument/2006/relationships/hyperlink" Target="https://learn.microsoft.com/azure/cloud-adoption-framework/ready/landing-zone/design-area/multi-tenant/considerations-recommendations" TargetMode="External"/><Relationship Id="rId2114" Type="http://schemas.openxmlformats.org/officeDocument/2006/relationships/hyperlink" Target="https://learn.microsoft.com/azure/cloud-adoption-framework/ready/landing-zone/design-area/multi-tenant/considerations-recommendations" TargetMode="External"/><Relationship Id="rId2559" Type="http://schemas.openxmlformats.org/officeDocument/2006/relationships/hyperlink" Target="https://learn.microsoft.com/azure/active-directory/app-proxy/application-proxy" TargetMode="External"/><Relationship Id="rId2766" Type="http://schemas.openxmlformats.org/officeDocument/2006/relationships/drawing" Target="../drawings/drawing1.xml"/><Relationship Id="rId640" Type="http://schemas.openxmlformats.org/officeDocument/2006/relationships/hyperlink" Target="https://learn.microsoft.com/azure/cloud-adoption-framework/ready/landing-zone/design-area/multi-tenant/considerations-recommendations" TargetMode="External"/><Relationship Id="rId738" Type="http://schemas.openxmlformats.org/officeDocument/2006/relationships/hyperlink" Target="https://learn.microsoft.com/azure/cloud-adoption-framework/ready/landing-zone/design-area/multi-tenant/considerations-recommendations" TargetMode="External"/><Relationship Id="rId945" Type="http://schemas.openxmlformats.org/officeDocument/2006/relationships/hyperlink" Target="https://learn.microsoft.com/azure/cloud-adoption-framework/ready/landing-zone/design-area/multi-tenant/considerations-recommendations" TargetMode="External"/><Relationship Id="rId1368" Type="http://schemas.openxmlformats.org/officeDocument/2006/relationships/hyperlink" Target="https://learn.microsoft.com/azure/cloud-adoption-framework/ready/landing-zone/design-area/multi-tenant/considerations-recommendations" TargetMode="External"/><Relationship Id="rId1575" Type="http://schemas.openxmlformats.org/officeDocument/2006/relationships/hyperlink" Target="https://learn.microsoft.com/azure/cloud-adoption-framework/ready/landing-zone/design-area/multi-tenant/considerations-recommendations" TargetMode="External"/><Relationship Id="rId1782" Type="http://schemas.openxmlformats.org/officeDocument/2006/relationships/hyperlink" Target="https://learn.microsoft.com/azure/cloud-adoption-framework/ready/landing-zone/design-area/multi-tenant/considerations-recommendations" TargetMode="External"/><Relationship Id="rId2321" Type="http://schemas.openxmlformats.org/officeDocument/2006/relationships/hyperlink" Target="https://learn.microsoft.com/azure/cloud-adoption-framework/ready/landing-zone/design-area/multi-tenant/considerations-recommendations" TargetMode="External"/><Relationship Id="rId2419" Type="http://schemas.openxmlformats.org/officeDocument/2006/relationships/hyperlink" Target="https://learn.microsoft.com/azure/api-management/api-management-howto-mutual-certificates" TargetMode="External"/><Relationship Id="rId2626" Type="http://schemas.openxmlformats.org/officeDocument/2006/relationships/hyperlink" Target="https://learn.microsoft.com/azure/service-health/alerts-activity-log-service-notifications-portal" TargetMode="External"/><Relationship Id="rId74" Type="http://schemas.openxmlformats.org/officeDocument/2006/relationships/hyperlink" Target="https://learn.microsoft.com/azure/cloud-adoption-framework/ready/landing-zone/design-area/multi-tenant/considerations-recommendations" TargetMode="External"/><Relationship Id="rId500" Type="http://schemas.openxmlformats.org/officeDocument/2006/relationships/hyperlink" Target="https://learn.microsoft.com/azure/cloud-adoption-framework/ready/landing-zone/design-area/multi-tenant/considerations-recommendations" TargetMode="External"/><Relationship Id="rId805" Type="http://schemas.openxmlformats.org/officeDocument/2006/relationships/hyperlink" Target="https://learn.microsoft.com/azure/cloud-adoption-framework/ready/landing-zone/design-area/multi-tenant/considerations-recommendations" TargetMode="External"/><Relationship Id="rId1130" Type="http://schemas.openxmlformats.org/officeDocument/2006/relationships/hyperlink" Target="https://learn.microsoft.com/azure/cloud-adoption-framework/ready/landing-zone/design-area/multi-tenant/considerations-recommendations" TargetMode="External"/><Relationship Id="rId1228" Type="http://schemas.openxmlformats.org/officeDocument/2006/relationships/hyperlink" Target="https://learn.microsoft.com/azure/cloud-adoption-framework/ready/landing-zone/design-area/multi-tenant/considerations-recommendations" TargetMode="External"/><Relationship Id="rId1435" Type="http://schemas.openxmlformats.org/officeDocument/2006/relationships/hyperlink" Target="https://learn.microsoft.com/azure/cloud-adoption-framework/ready/landing-zone/design-area/multi-tenant/considerations-recommendations" TargetMode="External"/><Relationship Id="rId1642" Type="http://schemas.openxmlformats.org/officeDocument/2006/relationships/hyperlink" Target="https://learn.microsoft.com/azure/cloud-adoption-framework/ready/landing-zone/design-area/multi-tenant/considerations-recommendations" TargetMode="External"/><Relationship Id="rId1947" Type="http://schemas.openxmlformats.org/officeDocument/2006/relationships/hyperlink" Target="https://learn.microsoft.com/azure/cloud-adoption-framework/ready/landing-zone/design-area/multi-tenant/considerations-recommendations" TargetMode="External"/><Relationship Id="rId1502" Type="http://schemas.openxmlformats.org/officeDocument/2006/relationships/hyperlink" Target="https://learn.microsoft.com/azure/cloud-adoption-framework/ready/landing-zone/design-area/multi-tenant/considerations-recommendations" TargetMode="External"/><Relationship Id="rId1807" Type="http://schemas.openxmlformats.org/officeDocument/2006/relationships/hyperlink" Target="https://learn.microsoft.com/azure/cloud-adoption-framework/ready/landing-zone/design-area/multi-tenant/considerations-recommendations" TargetMode="External"/><Relationship Id="rId290" Type="http://schemas.openxmlformats.org/officeDocument/2006/relationships/hyperlink" Target="https://learn.microsoft.com/azure/cloud-adoption-framework/ready/landing-zone/design-area/multi-tenant/considerations-recommendations" TargetMode="External"/><Relationship Id="rId388" Type="http://schemas.openxmlformats.org/officeDocument/2006/relationships/hyperlink" Target="https://learn.microsoft.com/azure/cloud-adoption-framework/ready/landing-zone/design-area/multi-tenant/considerations-recommendations" TargetMode="External"/><Relationship Id="rId2069" Type="http://schemas.openxmlformats.org/officeDocument/2006/relationships/hyperlink" Target="https://learn.microsoft.com/azure/cloud-adoption-framework/ready/landing-zone/design-area/multi-tenant/considerations-recommendations" TargetMode="External"/><Relationship Id="rId150" Type="http://schemas.openxmlformats.org/officeDocument/2006/relationships/hyperlink" Target="https://learn.microsoft.com/azure/cloud-adoption-framework/ready/landing-zone/design-area/multi-tenant/considerations-recommendations" TargetMode="External"/><Relationship Id="rId595" Type="http://schemas.openxmlformats.org/officeDocument/2006/relationships/hyperlink" Target="https://learn.microsoft.com/azure/cloud-adoption-framework/ready/landing-zone/design-area/multi-tenant/considerations-recommendations" TargetMode="External"/><Relationship Id="rId2276" Type="http://schemas.openxmlformats.org/officeDocument/2006/relationships/hyperlink" Target="https://learn.microsoft.com/azure/cloud-adoption-framework/ready/landing-zone/design-area/multi-tenant/considerations-recommendations" TargetMode="External"/><Relationship Id="rId2483" Type="http://schemas.openxmlformats.org/officeDocument/2006/relationships/hyperlink" Target="https://learn.microsoft.com/azure/architecture/web-apps/spring-apps/architectures/spring-apps-multi-region" TargetMode="External"/><Relationship Id="rId2690" Type="http://schemas.openxmlformats.org/officeDocument/2006/relationships/hyperlink" Target="https://www.microsoft.com/research/project/guidelines-for-human-ai-interaction/" TargetMode="External"/><Relationship Id="rId248" Type="http://schemas.openxmlformats.org/officeDocument/2006/relationships/hyperlink" Target="https://learn.microsoft.com/azure/cloud-adoption-framework/ready/landing-zone/design-area/multi-tenant/considerations-recommendations" TargetMode="External"/><Relationship Id="rId455" Type="http://schemas.openxmlformats.org/officeDocument/2006/relationships/hyperlink" Target="https://learn.microsoft.com/azure/cloud-adoption-framework/ready/landing-zone/design-area/multi-tenant/considerations-recommendations" TargetMode="External"/><Relationship Id="rId662" Type="http://schemas.openxmlformats.org/officeDocument/2006/relationships/hyperlink" Target="https://learn.microsoft.com/azure/cloud-adoption-framework/ready/landing-zone/design-area/multi-tenant/considerations-recommendations" TargetMode="External"/><Relationship Id="rId1085" Type="http://schemas.openxmlformats.org/officeDocument/2006/relationships/hyperlink" Target="https://learn.microsoft.com/azure/cloud-adoption-framework/ready/landing-zone/design-area/multi-tenant/considerations-recommendations" TargetMode="External"/><Relationship Id="rId1292" Type="http://schemas.openxmlformats.org/officeDocument/2006/relationships/hyperlink" Target="https://learn.microsoft.com/azure/cloud-adoption-framework/ready/landing-zone/design-area/multi-tenant/considerations-recommendations" TargetMode="External"/><Relationship Id="rId2136" Type="http://schemas.openxmlformats.org/officeDocument/2006/relationships/hyperlink" Target="https://learn.microsoft.com/azure/cloud-adoption-framework/ready/landing-zone/design-area/multi-tenant/considerations-recommendations" TargetMode="External"/><Relationship Id="rId2343" Type="http://schemas.openxmlformats.org/officeDocument/2006/relationships/hyperlink" Target="https://learn.microsoft.com/azure/cloud-adoption-framework/ready/landing-zone/design-area/multi-tenant/considerations-recommendations" TargetMode="External"/><Relationship Id="rId2550" Type="http://schemas.openxmlformats.org/officeDocument/2006/relationships/hyperlink" Target="https://learn.microsoft.com/learn/paths/secure-application-delivery/" TargetMode="External"/><Relationship Id="rId108" Type="http://schemas.openxmlformats.org/officeDocument/2006/relationships/hyperlink" Target="https://learn.microsoft.com/azure/cloud-adoption-framework/ready/landing-zone/design-area/multi-tenant/considerations-recommendations" TargetMode="External"/><Relationship Id="rId315" Type="http://schemas.openxmlformats.org/officeDocument/2006/relationships/hyperlink" Target="https://learn.microsoft.com/azure/cloud-adoption-framework/ready/landing-zone/design-area/multi-tenant/considerations-recommendations" TargetMode="External"/><Relationship Id="rId522" Type="http://schemas.openxmlformats.org/officeDocument/2006/relationships/hyperlink" Target="https://learn.microsoft.com/azure/cloud-adoption-framework/ready/landing-zone/design-area/multi-tenant/considerations-recommendations" TargetMode="External"/><Relationship Id="rId967" Type="http://schemas.openxmlformats.org/officeDocument/2006/relationships/hyperlink" Target="https://learn.microsoft.com/azure/cloud-adoption-framework/ready/landing-zone/design-area/multi-tenant/considerations-recommendations" TargetMode="External"/><Relationship Id="rId1152" Type="http://schemas.openxmlformats.org/officeDocument/2006/relationships/hyperlink" Target="https://learn.microsoft.com/azure/cloud-adoption-framework/ready/landing-zone/design-area/multi-tenant/considerations-recommendations" TargetMode="External"/><Relationship Id="rId1597" Type="http://schemas.openxmlformats.org/officeDocument/2006/relationships/hyperlink" Target="https://learn.microsoft.com/azure/cloud-adoption-framework/ready/landing-zone/design-area/multi-tenant/considerations-recommendations" TargetMode="External"/><Relationship Id="rId2203" Type="http://schemas.openxmlformats.org/officeDocument/2006/relationships/hyperlink" Target="https://learn.microsoft.com/azure/cloud-adoption-framework/ready/landing-zone/design-area/multi-tenant/considerations-recommendations" TargetMode="External"/><Relationship Id="rId2410" Type="http://schemas.openxmlformats.org/officeDocument/2006/relationships/hyperlink" Target="https://learn.microsoft.com/security/benchmark/azure/baselines/api-management-security-baseline?toc=%2Fazure%2Fapi-management%2F&amp;bc=%2Fazure%2Fapi-management%2Fbreadcrumb%2Ftoc.json" TargetMode="External"/><Relationship Id="rId2648" Type="http://schemas.openxmlformats.org/officeDocument/2006/relationships/hyperlink" Target="https://github.com/Azure-Samples/openai-enterprise-iac" TargetMode="External"/><Relationship Id="rId96" Type="http://schemas.openxmlformats.org/officeDocument/2006/relationships/hyperlink" Target="https://learn.microsoft.com/azure/cloud-adoption-framework/ready/landing-zone/design-area/multi-tenant/considerations-recommendations" TargetMode="External"/><Relationship Id="rId827" Type="http://schemas.openxmlformats.org/officeDocument/2006/relationships/hyperlink" Target="https://learn.microsoft.com/azure/cloud-adoption-framework/ready/landing-zone/design-area/multi-tenant/considerations-recommendations" TargetMode="External"/><Relationship Id="rId1012" Type="http://schemas.openxmlformats.org/officeDocument/2006/relationships/hyperlink" Target="https://learn.microsoft.com/azure/cloud-adoption-framework/ready/landing-zone/design-area/multi-tenant/considerations-recommendations" TargetMode="External"/><Relationship Id="rId1457" Type="http://schemas.openxmlformats.org/officeDocument/2006/relationships/hyperlink" Target="https://learn.microsoft.com/azure/cloud-adoption-framework/ready/landing-zone/design-area/multi-tenant/considerations-recommendations" TargetMode="External"/><Relationship Id="rId1664" Type="http://schemas.openxmlformats.org/officeDocument/2006/relationships/hyperlink" Target="https://learn.microsoft.com/azure/cloud-adoption-framework/ready/landing-zone/design-area/multi-tenant/considerations-recommendations" TargetMode="External"/><Relationship Id="rId1871" Type="http://schemas.openxmlformats.org/officeDocument/2006/relationships/hyperlink" Target="https://learn.microsoft.com/azure/cloud-adoption-framework/ready/landing-zone/design-area/multi-tenant/considerations-recommendations" TargetMode="External"/><Relationship Id="rId2508" Type="http://schemas.openxmlformats.org/officeDocument/2006/relationships/hyperlink" Target="https://learn.microsoft.com/azure/storage/common/sas-expiration-policy" TargetMode="External"/><Relationship Id="rId2715" Type="http://schemas.openxmlformats.org/officeDocument/2006/relationships/hyperlink" Target="https://learn.microsoft.com/purview/insider-risk-management" TargetMode="External"/><Relationship Id="rId1317" Type="http://schemas.openxmlformats.org/officeDocument/2006/relationships/hyperlink" Target="https://learn.microsoft.com/azure/cloud-adoption-framework/ready/landing-zone/design-area/multi-tenant/considerations-recommendations" TargetMode="External"/><Relationship Id="rId1524" Type="http://schemas.openxmlformats.org/officeDocument/2006/relationships/hyperlink" Target="https://learn.microsoft.com/azure/cloud-adoption-framework/ready/landing-zone/design-area/multi-tenant/considerations-recommendations" TargetMode="External"/><Relationship Id="rId1731" Type="http://schemas.openxmlformats.org/officeDocument/2006/relationships/hyperlink" Target="https://learn.microsoft.com/azure/cloud-adoption-framework/ready/landing-zone/design-area/multi-tenant/considerations-recommendations" TargetMode="External"/><Relationship Id="rId1969" Type="http://schemas.openxmlformats.org/officeDocument/2006/relationships/hyperlink" Target="https://learn.microsoft.com/azure/cloud-adoption-framework/ready/landing-zone/design-area/multi-tenant/considerations-recommendations" TargetMode="External"/><Relationship Id="rId23" Type="http://schemas.openxmlformats.org/officeDocument/2006/relationships/hyperlink" Target="https://learn.microsoft.com/azure/cloud-adoption-framework/ready/landing-zone/design-area/multi-tenant/considerations-recommendations" TargetMode="External"/><Relationship Id="rId1829" Type="http://schemas.openxmlformats.org/officeDocument/2006/relationships/hyperlink" Target="https://learn.microsoft.com/azure/cloud-adoption-framework/ready/landing-zone/design-area/multi-tenant/considerations-recommendations" TargetMode="External"/><Relationship Id="rId2298" Type="http://schemas.openxmlformats.org/officeDocument/2006/relationships/hyperlink" Target="https://learn.microsoft.com/azure/cloud-adoption-framework/ready/landing-zone/design-area/multi-tenant/considerations-recommendations" TargetMode="External"/><Relationship Id="rId172" Type="http://schemas.openxmlformats.org/officeDocument/2006/relationships/hyperlink" Target="https://learn.microsoft.com/azure/cloud-adoption-framework/ready/landing-zone/design-area/multi-tenant/considerations-recommendations" TargetMode="External"/><Relationship Id="rId477" Type="http://schemas.openxmlformats.org/officeDocument/2006/relationships/hyperlink" Target="https://learn.microsoft.com/azure/cloud-adoption-framework/ready/landing-zone/design-area/multi-tenant/considerations-recommendations" TargetMode="External"/><Relationship Id="rId684" Type="http://schemas.openxmlformats.org/officeDocument/2006/relationships/hyperlink" Target="https://learn.microsoft.com/azure/cloud-adoption-framework/ready/landing-zone/design-area/multi-tenant/considerations-recommendations" TargetMode="External"/><Relationship Id="rId2060" Type="http://schemas.openxmlformats.org/officeDocument/2006/relationships/hyperlink" Target="https://learn.microsoft.com/azure/cloud-adoption-framework/ready/landing-zone/design-area/multi-tenant/considerations-recommendations" TargetMode="External"/><Relationship Id="rId2158" Type="http://schemas.openxmlformats.org/officeDocument/2006/relationships/hyperlink" Target="https://learn.microsoft.com/azure/cloud-adoption-framework/ready/landing-zone/design-area/multi-tenant/considerations-recommendations" TargetMode="External"/><Relationship Id="rId2365" Type="http://schemas.openxmlformats.org/officeDocument/2006/relationships/hyperlink" Target="https://learn.microsoft.com/azure/key-vault/general/best-practices" TargetMode="External"/><Relationship Id="rId337" Type="http://schemas.openxmlformats.org/officeDocument/2006/relationships/hyperlink" Target="https://learn.microsoft.com/azure/cloud-adoption-framework/ready/landing-zone/design-area/multi-tenant/considerations-recommendations" TargetMode="External"/><Relationship Id="rId891" Type="http://schemas.openxmlformats.org/officeDocument/2006/relationships/hyperlink" Target="https://learn.microsoft.com/azure/cloud-adoption-framework/ready/landing-zone/design-area/multi-tenant/considerations-recommendations" TargetMode="External"/><Relationship Id="rId989" Type="http://schemas.openxmlformats.org/officeDocument/2006/relationships/hyperlink" Target="https://learn.microsoft.com/azure/cloud-adoption-framework/ready/landing-zone/design-area/multi-tenant/considerations-recommendations" TargetMode="External"/><Relationship Id="rId2018" Type="http://schemas.openxmlformats.org/officeDocument/2006/relationships/hyperlink" Target="https://learn.microsoft.com/azure/cloud-adoption-framework/ready/landing-zone/design-area/multi-tenant/considerations-recommendations" TargetMode="External"/><Relationship Id="rId2572" Type="http://schemas.openxmlformats.org/officeDocument/2006/relationships/hyperlink" Target="https://learn.microsoft.com/azure/frontdoor/best-practices" TargetMode="External"/><Relationship Id="rId544" Type="http://schemas.openxmlformats.org/officeDocument/2006/relationships/hyperlink" Target="https://learn.microsoft.com/azure/cloud-adoption-framework/ready/landing-zone/design-area/multi-tenant/considerations-recommendations" TargetMode="External"/><Relationship Id="rId751" Type="http://schemas.openxmlformats.org/officeDocument/2006/relationships/hyperlink" Target="https://learn.microsoft.com/azure/cloud-adoption-framework/ready/landing-zone/design-area/multi-tenant/considerations-recommendations" TargetMode="External"/><Relationship Id="rId849" Type="http://schemas.openxmlformats.org/officeDocument/2006/relationships/hyperlink" Target="https://learn.microsoft.com/azure/cloud-adoption-framework/ready/landing-zone/design-area/multi-tenant/considerations-recommendations" TargetMode="External"/><Relationship Id="rId1174" Type="http://schemas.openxmlformats.org/officeDocument/2006/relationships/hyperlink" Target="https://learn.microsoft.com/azure/cloud-adoption-framework/ready/landing-zone/design-area/multi-tenant/considerations-recommendations" TargetMode="External"/><Relationship Id="rId1381" Type="http://schemas.openxmlformats.org/officeDocument/2006/relationships/hyperlink" Target="https://learn.microsoft.com/azure/cloud-adoption-framework/ready/landing-zone/design-area/multi-tenant/considerations-recommendations" TargetMode="External"/><Relationship Id="rId1479" Type="http://schemas.openxmlformats.org/officeDocument/2006/relationships/hyperlink" Target="https://learn.microsoft.com/azure/cloud-adoption-framework/ready/landing-zone/design-area/multi-tenant/considerations-recommendations" TargetMode="External"/><Relationship Id="rId1686" Type="http://schemas.openxmlformats.org/officeDocument/2006/relationships/hyperlink" Target="https://learn.microsoft.com/azure/cloud-adoption-framework/ready/landing-zone/design-area/multi-tenant/considerations-recommendations" TargetMode="External"/><Relationship Id="rId2225" Type="http://schemas.openxmlformats.org/officeDocument/2006/relationships/hyperlink" Target="https://learn.microsoft.com/azure/cloud-adoption-framework/ready/landing-zone/design-area/multi-tenant/considerations-recommendations" TargetMode="External"/><Relationship Id="rId2432" Type="http://schemas.openxmlformats.org/officeDocument/2006/relationships/hyperlink" Target="https://learn.microsoft.com/azure/app-service/deploy-best-practices" TargetMode="External"/><Relationship Id="rId404" Type="http://schemas.openxmlformats.org/officeDocument/2006/relationships/hyperlink" Target="https://learn.microsoft.com/azure/cloud-adoption-framework/ready/landing-zone/design-area/multi-tenant/considerations-recommendations" TargetMode="External"/><Relationship Id="rId611" Type="http://schemas.openxmlformats.org/officeDocument/2006/relationships/hyperlink" Target="https://learn.microsoft.com/azure/cloud-adoption-framework/ready/landing-zone/design-area/multi-tenant/considerations-recommendations" TargetMode="External"/><Relationship Id="rId1034" Type="http://schemas.openxmlformats.org/officeDocument/2006/relationships/hyperlink" Target="https://learn.microsoft.com/azure/cloud-adoption-framework/ready/landing-zone/design-area/multi-tenant/considerations-recommendations" TargetMode="External"/><Relationship Id="rId1241" Type="http://schemas.openxmlformats.org/officeDocument/2006/relationships/hyperlink" Target="https://learn.microsoft.com/azure/cloud-adoption-framework/ready/landing-zone/design-area/multi-tenant/considerations-recommendations" TargetMode="External"/><Relationship Id="rId1339" Type="http://schemas.openxmlformats.org/officeDocument/2006/relationships/hyperlink" Target="https://learn.microsoft.com/azure/cloud-adoption-framework/ready/landing-zone/design-area/multi-tenant/considerations-recommendations" TargetMode="External"/><Relationship Id="rId1893" Type="http://schemas.openxmlformats.org/officeDocument/2006/relationships/hyperlink" Target="https://learn.microsoft.com/azure/cloud-adoption-framework/ready/landing-zone/design-area/multi-tenant/considerations-recommendations" TargetMode="External"/><Relationship Id="rId2737" Type="http://schemas.openxmlformats.org/officeDocument/2006/relationships/hyperlink" Target="https://learn.microsoft.com/azure/ai-services/openai/how-to/role-based-access-control" TargetMode="External"/><Relationship Id="rId709" Type="http://schemas.openxmlformats.org/officeDocument/2006/relationships/hyperlink" Target="https://learn.microsoft.com/azure/cloud-adoption-framework/ready/landing-zone/design-area/multi-tenant/considerations-recommendations" TargetMode="External"/><Relationship Id="rId916" Type="http://schemas.openxmlformats.org/officeDocument/2006/relationships/hyperlink" Target="https://learn.microsoft.com/azure/cloud-adoption-framework/ready/landing-zone/design-area/multi-tenant/considerations-recommendations" TargetMode="External"/><Relationship Id="rId1101" Type="http://schemas.openxmlformats.org/officeDocument/2006/relationships/hyperlink" Target="https://learn.microsoft.com/azure/cloud-adoption-framework/ready/landing-zone/design-area/multi-tenant/considerations-recommendations" TargetMode="External"/><Relationship Id="rId1546" Type="http://schemas.openxmlformats.org/officeDocument/2006/relationships/hyperlink" Target="https://learn.microsoft.com/azure/cloud-adoption-framework/ready/landing-zone/design-area/multi-tenant/considerations-recommendations" TargetMode="External"/><Relationship Id="rId1753" Type="http://schemas.openxmlformats.org/officeDocument/2006/relationships/hyperlink" Target="https://learn.microsoft.com/azure/cloud-adoption-framework/ready/landing-zone/design-area/multi-tenant/considerations-recommendations" TargetMode="External"/><Relationship Id="rId1960" Type="http://schemas.openxmlformats.org/officeDocument/2006/relationships/hyperlink" Target="https://learn.microsoft.com/azure/cloud-adoption-framework/ready/landing-zone/design-area/multi-tenant/considerations-recommendations" TargetMode="External"/><Relationship Id="rId45" Type="http://schemas.openxmlformats.org/officeDocument/2006/relationships/hyperlink" Target="https://learn.microsoft.com/azure/cloud-adoption-framework/ready/landing-zone/design-area/multi-tenant/considerations-recommendations" TargetMode="External"/><Relationship Id="rId1406" Type="http://schemas.openxmlformats.org/officeDocument/2006/relationships/hyperlink" Target="https://learn.microsoft.com/azure/cloud-adoption-framework/ready/landing-zone/design-area/multi-tenant/considerations-recommendations" TargetMode="External"/><Relationship Id="rId1613" Type="http://schemas.openxmlformats.org/officeDocument/2006/relationships/hyperlink" Target="https://learn.microsoft.com/azure/cloud-adoption-framework/ready/landing-zone/design-area/multi-tenant/considerations-recommendations" TargetMode="External"/><Relationship Id="rId1820" Type="http://schemas.openxmlformats.org/officeDocument/2006/relationships/hyperlink" Target="https://learn.microsoft.com/azure/cloud-adoption-framework/ready/landing-zone/design-area/multi-tenant/considerations-recommendations" TargetMode="External"/><Relationship Id="rId194" Type="http://schemas.openxmlformats.org/officeDocument/2006/relationships/hyperlink" Target="https://learn.microsoft.com/azure/cloud-adoption-framework/ready/landing-zone/design-area/multi-tenant/considerations-recommendations" TargetMode="External"/><Relationship Id="rId1918" Type="http://schemas.openxmlformats.org/officeDocument/2006/relationships/hyperlink" Target="https://learn.microsoft.com/azure/cloud-adoption-framework/ready/landing-zone/design-area/multi-tenant/considerations-recommendations" TargetMode="External"/><Relationship Id="rId2082" Type="http://schemas.openxmlformats.org/officeDocument/2006/relationships/hyperlink" Target="https://learn.microsoft.com/azure/cloud-adoption-framework/ready/landing-zone/design-area/multi-tenant/considerations-recommendations" TargetMode="External"/><Relationship Id="rId261" Type="http://schemas.openxmlformats.org/officeDocument/2006/relationships/hyperlink" Target="https://learn.microsoft.com/azure/cloud-adoption-framework/ready/landing-zone/design-area/multi-tenant/considerations-recommendations" TargetMode="External"/><Relationship Id="rId499" Type="http://schemas.openxmlformats.org/officeDocument/2006/relationships/hyperlink" Target="https://learn.microsoft.com/azure/cloud-adoption-framework/ready/landing-zone/design-area/multi-tenant/considerations-recommendations" TargetMode="External"/><Relationship Id="rId2387" Type="http://schemas.openxmlformats.org/officeDocument/2006/relationships/hyperlink" Target="https://learn.microsoft.com/azure/api-management/api-management-howto-use-azure-monitor" TargetMode="External"/><Relationship Id="rId2594" Type="http://schemas.openxmlformats.org/officeDocument/2006/relationships/hyperlink" Target="https://learn.microsoft.com/azure/virtual-machines/availability-set-overview" TargetMode="External"/><Relationship Id="rId359" Type="http://schemas.openxmlformats.org/officeDocument/2006/relationships/hyperlink" Target="https://learn.microsoft.com/azure/cloud-adoption-framework/ready/landing-zone/design-area/multi-tenant/considerations-recommendations" TargetMode="External"/><Relationship Id="rId566" Type="http://schemas.openxmlformats.org/officeDocument/2006/relationships/hyperlink" Target="https://learn.microsoft.com/azure/cloud-adoption-framework/ready/landing-zone/design-area/multi-tenant/considerations-recommendations" TargetMode="External"/><Relationship Id="rId773" Type="http://schemas.openxmlformats.org/officeDocument/2006/relationships/hyperlink" Target="https://learn.microsoft.com/azure/cloud-adoption-framework/ready/landing-zone/design-area/multi-tenant/considerations-recommendations" TargetMode="External"/><Relationship Id="rId1196" Type="http://schemas.openxmlformats.org/officeDocument/2006/relationships/hyperlink" Target="https://learn.microsoft.com/azure/cloud-adoption-framework/ready/landing-zone/design-area/multi-tenant/considerations-recommendations" TargetMode="External"/><Relationship Id="rId2247" Type="http://schemas.openxmlformats.org/officeDocument/2006/relationships/hyperlink" Target="https://learn.microsoft.com/azure/cloud-adoption-framework/ready/landing-zone/design-area/multi-tenant/considerations-recommendations" TargetMode="External"/><Relationship Id="rId2454" Type="http://schemas.openxmlformats.org/officeDocument/2006/relationships/hyperlink" Target="https://learn.microsoft.com/learn/modules/plan-implement-administer-conditional-access/" TargetMode="External"/><Relationship Id="rId121" Type="http://schemas.openxmlformats.org/officeDocument/2006/relationships/hyperlink" Target="https://learn.microsoft.com/azure/cloud-adoption-framework/ready/landing-zone/design-area/multi-tenant/considerations-recommendations" TargetMode="External"/><Relationship Id="rId219" Type="http://schemas.openxmlformats.org/officeDocument/2006/relationships/hyperlink" Target="https://learn.microsoft.com/azure/cloud-adoption-framework/ready/landing-zone/design-area/multi-tenant/considerations-recommendations" TargetMode="External"/><Relationship Id="rId426" Type="http://schemas.openxmlformats.org/officeDocument/2006/relationships/hyperlink" Target="https://learn.microsoft.com/azure/cloud-adoption-framework/ready/landing-zone/design-area/multi-tenant/considerations-recommendations" TargetMode="External"/><Relationship Id="rId633" Type="http://schemas.openxmlformats.org/officeDocument/2006/relationships/hyperlink" Target="https://learn.microsoft.com/azure/cloud-adoption-framework/ready/landing-zone/design-area/multi-tenant/considerations-recommendations" TargetMode="External"/><Relationship Id="rId980" Type="http://schemas.openxmlformats.org/officeDocument/2006/relationships/hyperlink" Target="https://learn.microsoft.com/azure/cloud-adoption-framework/ready/landing-zone/design-area/multi-tenant/considerations-recommendations" TargetMode="External"/><Relationship Id="rId1056" Type="http://schemas.openxmlformats.org/officeDocument/2006/relationships/hyperlink" Target="https://learn.microsoft.com/azure/cloud-adoption-framework/ready/landing-zone/design-area/multi-tenant/considerations-recommendations" TargetMode="External"/><Relationship Id="rId1263" Type="http://schemas.openxmlformats.org/officeDocument/2006/relationships/hyperlink" Target="https://learn.microsoft.com/azure/cloud-adoption-framework/ready/landing-zone/design-area/multi-tenant/considerations-recommendations" TargetMode="External"/><Relationship Id="rId2107" Type="http://schemas.openxmlformats.org/officeDocument/2006/relationships/hyperlink" Target="https://learn.microsoft.com/azure/cloud-adoption-framework/ready/landing-zone/design-area/multi-tenant/considerations-recommendations" TargetMode="External"/><Relationship Id="rId2314" Type="http://schemas.openxmlformats.org/officeDocument/2006/relationships/hyperlink" Target="https://learn.microsoft.com/azure/cloud-adoption-framework/ready/landing-zone/design-area/multi-tenant/considerations-recommendations" TargetMode="External"/><Relationship Id="rId2661" Type="http://schemas.openxmlformats.org/officeDocument/2006/relationships/hyperlink" Target="https://learn.microsoft.com/azure/machine-learning/prompt-flow/concept-model-monitoring-generative-ai-evaluation-metrics?view=azureml-api-2" TargetMode="External"/><Relationship Id="rId2759" Type="http://schemas.openxmlformats.org/officeDocument/2006/relationships/hyperlink" Target="https://learn.microsoft.com/azure/ai-services/openai/how-to/monitor-openai" TargetMode="External"/><Relationship Id="rId840" Type="http://schemas.openxmlformats.org/officeDocument/2006/relationships/hyperlink" Target="https://learn.microsoft.com/azure/cloud-adoption-framework/ready/landing-zone/design-area/multi-tenant/considerations-recommendations" TargetMode="External"/><Relationship Id="rId938" Type="http://schemas.openxmlformats.org/officeDocument/2006/relationships/hyperlink" Target="https://learn.microsoft.com/azure/cloud-adoption-framework/ready/landing-zone/design-area/multi-tenant/considerations-recommendations" TargetMode="External"/><Relationship Id="rId1470" Type="http://schemas.openxmlformats.org/officeDocument/2006/relationships/hyperlink" Target="https://learn.microsoft.com/azure/cloud-adoption-framework/ready/landing-zone/design-area/multi-tenant/considerations-recommendations" TargetMode="External"/><Relationship Id="rId1568" Type="http://schemas.openxmlformats.org/officeDocument/2006/relationships/hyperlink" Target="https://learn.microsoft.com/azure/cloud-adoption-framework/ready/landing-zone/design-area/multi-tenant/considerations-recommendations" TargetMode="External"/><Relationship Id="rId1775" Type="http://schemas.openxmlformats.org/officeDocument/2006/relationships/hyperlink" Target="https://learn.microsoft.com/azure/cloud-adoption-framework/ready/landing-zone/design-area/multi-tenant/considerations-recommendations" TargetMode="External"/><Relationship Id="rId2521" Type="http://schemas.openxmlformats.org/officeDocument/2006/relationships/hyperlink" Target="https://learn.microsoft.com/azure/storage/blobs/anonymous-read-access-configure?tabs=portal" TargetMode="External"/><Relationship Id="rId2619" Type="http://schemas.openxmlformats.org/officeDocument/2006/relationships/hyperlink" Target="https://learn.microsoft.com/azure/machine-learning/how-to-network-isolation-planning?view=azureml-api-2&amp;branch=main" TargetMode="External"/><Relationship Id="rId67" Type="http://schemas.openxmlformats.org/officeDocument/2006/relationships/hyperlink" Target="https://learn.microsoft.com/azure/cloud-adoption-framework/ready/landing-zone/design-area/multi-tenant/considerations-recommendations" TargetMode="External"/><Relationship Id="rId700" Type="http://schemas.openxmlformats.org/officeDocument/2006/relationships/hyperlink" Target="https://learn.microsoft.com/azure/cloud-adoption-framework/ready/landing-zone/design-area/multi-tenant/considerations-recommendations" TargetMode="External"/><Relationship Id="rId1123" Type="http://schemas.openxmlformats.org/officeDocument/2006/relationships/hyperlink" Target="https://learn.microsoft.com/azure/cloud-adoption-framework/ready/landing-zone/design-area/multi-tenant/considerations-recommendations" TargetMode="External"/><Relationship Id="rId1330" Type="http://schemas.openxmlformats.org/officeDocument/2006/relationships/hyperlink" Target="https://learn.microsoft.com/azure/cloud-adoption-framework/ready/landing-zone/design-area/multi-tenant/considerations-recommendations" TargetMode="External"/><Relationship Id="rId1428" Type="http://schemas.openxmlformats.org/officeDocument/2006/relationships/hyperlink" Target="https://learn.microsoft.com/azure/cloud-adoption-framework/ready/landing-zone/design-area/multi-tenant/considerations-recommendations" TargetMode="External"/><Relationship Id="rId1635" Type="http://schemas.openxmlformats.org/officeDocument/2006/relationships/hyperlink" Target="https://learn.microsoft.com/azure/cloud-adoption-framework/ready/landing-zone/design-area/multi-tenant/considerations-recommendations" TargetMode="External"/><Relationship Id="rId1982" Type="http://schemas.openxmlformats.org/officeDocument/2006/relationships/hyperlink" Target="https://learn.microsoft.com/azure/cloud-adoption-framework/ready/landing-zone/design-area/multi-tenant/considerations-recommendations" TargetMode="External"/><Relationship Id="rId1842" Type="http://schemas.openxmlformats.org/officeDocument/2006/relationships/hyperlink" Target="https://learn.microsoft.com/azure/cloud-adoption-framework/ready/landing-zone/design-area/multi-tenant/considerations-recommendations" TargetMode="External"/><Relationship Id="rId1702" Type="http://schemas.openxmlformats.org/officeDocument/2006/relationships/hyperlink" Target="https://learn.microsoft.com/azure/cloud-adoption-framework/ready/landing-zone/design-area/multi-tenant/considerations-recommendations" TargetMode="External"/><Relationship Id="rId283" Type="http://schemas.openxmlformats.org/officeDocument/2006/relationships/hyperlink" Target="https://learn.microsoft.com/azure/cloud-adoption-framework/ready/landing-zone/design-area/multi-tenant/considerations-recommendations" TargetMode="External"/><Relationship Id="rId490" Type="http://schemas.openxmlformats.org/officeDocument/2006/relationships/hyperlink" Target="https://learn.microsoft.com/azure/cloud-adoption-framework/ready/landing-zone/design-area/multi-tenant/considerations-recommendations" TargetMode="External"/><Relationship Id="rId2171" Type="http://schemas.openxmlformats.org/officeDocument/2006/relationships/hyperlink" Target="https://learn.microsoft.com/azure/cloud-adoption-framework/ready/landing-zone/design-area/multi-tenant/considerations-recommendations" TargetMode="External"/><Relationship Id="rId143" Type="http://schemas.openxmlformats.org/officeDocument/2006/relationships/hyperlink" Target="https://learn.microsoft.com/azure/cloud-adoption-framework/ready/landing-zone/design-area/multi-tenant/considerations-recommendations" TargetMode="External"/><Relationship Id="rId350" Type="http://schemas.openxmlformats.org/officeDocument/2006/relationships/hyperlink" Target="https://learn.microsoft.com/azure/cloud-adoption-framework/ready/landing-zone/design-area/multi-tenant/considerations-recommendations" TargetMode="External"/><Relationship Id="rId588" Type="http://schemas.openxmlformats.org/officeDocument/2006/relationships/hyperlink" Target="https://learn.microsoft.com/azure/cloud-adoption-framework/ready/landing-zone/design-area/multi-tenant/considerations-recommendations" TargetMode="External"/><Relationship Id="rId795" Type="http://schemas.openxmlformats.org/officeDocument/2006/relationships/hyperlink" Target="https://learn.microsoft.com/azure/cloud-adoption-framework/ready/landing-zone/design-area/multi-tenant/considerations-recommendations" TargetMode="External"/><Relationship Id="rId2031" Type="http://schemas.openxmlformats.org/officeDocument/2006/relationships/hyperlink" Target="https://learn.microsoft.com/azure/cloud-adoption-framework/ready/landing-zone/design-area/multi-tenant/considerations-recommendations" TargetMode="External"/><Relationship Id="rId2269" Type="http://schemas.openxmlformats.org/officeDocument/2006/relationships/hyperlink" Target="https://learn.microsoft.com/azure/cloud-adoption-framework/ready/landing-zone/design-area/multi-tenant/considerations-recommendations" TargetMode="External"/><Relationship Id="rId2476" Type="http://schemas.openxmlformats.org/officeDocument/2006/relationships/hyperlink" Target="https://learn.microsoft.com/azure/frontdoor/best-practices" TargetMode="External"/><Relationship Id="rId2683" Type="http://schemas.openxmlformats.org/officeDocument/2006/relationships/hyperlink" Target="https://github.com/abacaj/chatgpt-backup" TargetMode="External"/><Relationship Id="rId9" Type="http://schemas.openxmlformats.org/officeDocument/2006/relationships/hyperlink" Target="https://learn.microsoft.com/azure/cloud-adoption-framework/ready/landing-zone/design-area/multi-tenant/considerations-recommendations" TargetMode="External"/><Relationship Id="rId210" Type="http://schemas.openxmlformats.org/officeDocument/2006/relationships/hyperlink" Target="https://learn.microsoft.com/azure/cloud-adoption-framework/ready/landing-zone/design-area/multi-tenant/considerations-recommendations" TargetMode="External"/><Relationship Id="rId448" Type="http://schemas.openxmlformats.org/officeDocument/2006/relationships/hyperlink" Target="https://learn.microsoft.com/azure/cloud-adoption-framework/ready/landing-zone/design-area/multi-tenant/considerations-recommendations" TargetMode="External"/><Relationship Id="rId655" Type="http://schemas.openxmlformats.org/officeDocument/2006/relationships/hyperlink" Target="https://learn.microsoft.com/azure/cloud-adoption-framework/ready/landing-zone/design-area/multi-tenant/considerations-recommendations" TargetMode="External"/><Relationship Id="rId862" Type="http://schemas.openxmlformats.org/officeDocument/2006/relationships/hyperlink" Target="https://learn.microsoft.com/azure/cloud-adoption-framework/ready/landing-zone/design-area/multi-tenant/considerations-recommendations" TargetMode="External"/><Relationship Id="rId1078" Type="http://schemas.openxmlformats.org/officeDocument/2006/relationships/hyperlink" Target="https://learn.microsoft.com/azure/cloud-adoption-framework/ready/landing-zone/design-area/multi-tenant/considerations-recommendations" TargetMode="External"/><Relationship Id="rId1285" Type="http://schemas.openxmlformats.org/officeDocument/2006/relationships/hyperlink" Target="https://learn.microsoft.com/azure/cloud-adoption-framework/ready/landing-zone/design-area/multi-tenant/considerations-recommendations" TargetMode="External"/><Relationship Id="rId1492" Type="http://schemas.openxmlformats.org/officeDocument/2006/relationships/hyperlink" Target="https://learn.microsoft.com/azure/cloud-adoption-framework/ready/landing-zone/design-area/multi-tenant/considerations-recommendations" TargetMode="External"/><Relationship Id="rId2129" Type="http://schemas.openxmlformats.org/officeDocument/2006/relationships/hyperlink" Target="https://learn.microsoft.com/azure/cloud-adoption-framework/ready/landing-zone/design-area/multi-tenant/considerations-recommendations" TargetMode="External"/><Relationship Id="rId2336" Type="http://schemas.openxmlformats.org/officeDocument/2006/relationships/hyperlink" Target="https://learn.microsoft.com/azure/cloud-adoption-framework/ready/landing-zone/design-area/multi-tenant/considerations-recommendations" TargetMode="External"/><Relationship Id="rId2543" Type="http://schemas.openxmlformats.org/officeDocument/2006/relationships/hyperlink" Target="https://learn.microsoft.com/azure/application-gateway/configuration-infrastructure" TargetMode="External"/><Relationship Id="rId2750" Type="http://schemas.openxmlformats.org/officeDocument/2006/relationships/hyperlink" Target="https://learn.microsoft.com/azure/ai-services/diagnostic-logging" TargetMode="External"/><Relationship Id="rId308" Type="http://schemas.openxmlformats.org/officeDocument/2006/relationships/hyperlink" Target="https://learn.microsoft.com/azure/cloud-adoption-framework/ready/landing-zone/design-area/multi-tenant/considerations-recommendations" TargetMode="External"/><Relationship Id="rId515" Type="http://schemas.openxmlformats.org/officeDocument/2006/relationships/hyperlink" Target="https://learn.microsoft.com/azure/cloud-adoption-framework/ready/landing-zone/design-area/multi-tenant/considerations-recommendations" TargetMode="External"/><Relationship Id="rId722" Type="http://schemas.openxmlformats.org/officeDocument/2006/relationships/hyperlink" Target="https://learn.microsoft.com/azure/cloud-adoption-framework/ready/landing-zone/design-area/multi-tenant/considerations-recommendations" TargetMode="External"/><Relationship Id="rId1145" Type="http://schemas.openxmlformats.org/officeDocument/2006/relationships/hyperlink" Target="https://learn.microsoft.com/azure/cloud-adoption-framework/ready/landing-zone/design-area/multi-tenant/considerations-recommendations" TargetMode="External"/><Relationship Id="rId1352" Type="http://schemas.openxmlformats.org/officeDocument/2006/relationships/hyperlink" Target="https://learn.microsoft.com/azure/cloud-adoption-framework/ready/landing-zone/design-area/multi-tenant/considerations-recommendations" TargetMode="External"/><Relationship Id="rId1797" Type="http://schemas.openxmlformats.org/officeDocument/2006/relationships/hyperlink" Target="https://learn.microsoft.com/azure/cloud-adoption-framework/ready/landing-zone/design-area/multi-tenant/considerations-recommendations" TargetMode="External"/><Relationship Id="rId2403" Type="http://schemas.openxmlformats.org/officeDocument/2006/relationships/hyperlink" Target="https://learn.microsoft.com/azure/api-management/api-management-howto-log-event-hubs" TargetMode="External"/><Relationship Id="rId89" Type="http://schemas.openxmlformats.org/officeDocument/2006/relationships/hyperlink" Target="https://learn.microsoft.com/azure/cloud-adoption-framework/ready/landing-zone/design-area/multi-tenant/considerations-recommendations" TargetMode="External"/><Relationship Id="rId1005" Type="http://schemas.openxmlformats.org/officeDocument/2006/relationships/hyperlink" Target="https://learn.microsoft.com/azure/cloud-adoption-framework/ready/landing-zone/design-area/multi-tenant/considerations-recommendations" TargetMode="External"/><Relationship Id="rId1212" Type="http://schemas.openxmlformats.org/officeDocument/2006/relationships/hyperlink" Target="https://learn.microsoft.com/azure/cloud-adoption-framework/ready/landing-zone/design-area/multi-tenant/considerations-recommendations" TargetMode="External"/><Relationship Id="rId1657" Type="http://schemas.openxmlformats.org/officeDocument/2006/relationships/hyperlink" Target="https://learn.microsoft.com/azure/cloud-adoption-framework/ready/landing-zone/design-area/multi-tenant/considerations-recommendations" TargetMode="External"/><Relationship Id="rId1864" Type="http://schemas.openxmlformats.org/officeDocument/2006/relationships/hyperlink" Target="https://learn.microsoft.com/azure/cloud-adoption-framework/ready/landing-zone/design-area/multi-tenant/considerations-recommendations" TargetMode="External"/><Relationship Id="rId2610" Type="http://schemas.openxmlformats.org/officeDocument/2006/relationships/hyperlink" Target="https://learn.microsoft.com/azure/ai-services/openai/how-to/quota?tabs=rest" TargetMode="External"/><Relationship Id="rId2708" Type="http://schemas.openxmlformats.org/officeDocument/2006/relationships/hyperlink" Target="https://learn.microsoft.com/azure/ai-services/openai/how-to/manage-costs" TargetMode="External"/><Relationship Id="rId1517" Type="http://schemas.openxmlformats.org/officeDocument/2006/relationships/hyperlink" Target="https://learn.microsoft.com/azure/cloud-adoption-framework/ready/landing-zone/design-area/multi-tenant/considerations-recommendations" TargetMode="External"/><Relationship Id="rId1724" Type="http://schemas.openxmlformats.org/officeDocument/2006/relationships/hyperlink" Target="https://learn.microsoft.com/azure/cloud-adoption-framework/ready/landing-zone/design-area/multi-tenant/considerations-recommendations" TargetMode="External"/><Relationship Id="rId16" Type="http://schemas.openxmlformats.org/officeDocument/2006/relationships/hyperlink" Target="https://learn.microsoft.com/azure/cloud-adoption-framework/ready/landing-zone/design-area/multi-tenant/considerations-recommendations" TargetMode="External"/><Relationship Id="rId1931" Type="http://schemas.openxmlformats.org/officeDocument/2006/relationships/hyperlink" Target="https://learn.microsoft.com/azure/cloud-adoption-framework/ready/landing-zone/design-area/multi-tenant/considerations-recommendations" TargetMode="External"/><Relationship Id="rId2193" Type="http://schemas.openxmlformats.org/officeDocument/2006/relationships/hyperlink" Target="https://learn.microsoft.com/azure/cloud-adoption-framework/ready/landing-zone/design-area/multi-tenant/considerations-recommendations" TargetMode="External"/><Relationship Id="rId2498" Type="http://schemas.openxmlformats.org/officeDocument/2006/relationships/hyperlink" Target="https://learn.microsoft.com/azure/storage/common/lock-account-resource" TargetMode="External"/><Relationship Id="rId165" Type="http://schemas.openxmlformats.org/officeDocument/2006/relationships/hyperlink" Target="https://learn.microsoft.com/azure/cloud-adoption-framework/ready/landing-zone/design-area/multi-tenant/considerations-recommendations" TargetMode="External"/><Relationship Id="rId372" Type="http://schemas.openxmlformats.org/officeDocument/2006/relationships/hyperlink" Target="https://learn.microsoft.com/azure/cloud-adoption-framework/ready/landing-zone/design-area/multi-tenant/considerations-recommendations" TargetMode="External"/><Relationship Id="rId677" Type="http://schemas.openxmlformats.org/officeDocument/2006/relationships/hyperlink" Target="https://learn.microsoft.com/azure/cloud-adoption-framework/ready/landing-zone/design-area/multi-tenant/considerations-recommendations" TargetMode="External"/><Relationship Id="rId2053" Type="http://schemas.openxmlformats.org/officeDocument/2006/relationships/hyperlink" Target="https://learn.microsoft.com/azure/cloud-adoption-framework/ready/landing-zone/design-area/multi-tenant/considerations-recommendations" TargetMode="External"/><Relationship Id="rId2260" Type="http://schemas.openxmlformats.org/officeDocument/2006/relationships/hyperlink" Target="https://learn.microsoft.com/azure/cloud-adoption-framework/ready/landing-zone/design-area/multi-tenant/considerations-recommendations" TargetMode="External"/><Relationship Id="rId2358" Type="http://schemas.openxmlformats.org/officeDocument/2006/relationships/hyperlink" Target="https://learn.microsoft.com/azure/load-balancer/load-balancer-overview" TargetMode="External"/><Relationship Id="rId232" Type="http://schemas.openxmlformats.org/officeDocument/2006/relationships/hyperlink" Target="https://learn.microsoft.com/azure/cloud-adoption-framework/ready/landing-zone/design-area/multi-tenant/considerations-recommendations" TargetMode="External"/><Relationship Id="rId884" Type="http://schemas.openxmlformats.org/officeDocument/2006/relationships/hyperlink" Target="https://learn.microsoft.com/azure/cloud-adoption-framework/ready/landing-zone/design-area/multi-tenant/considerations-recommendations" TargetMode="External"/><Relationship Id="rId2120" Type="http://schemas.openxmlformats.org/officeDocument/2006/relationships/hyperlink" Target="https://learn.microsoft.com/azure/cloud-adoption-framework/ready/landing-zone/design-area/multi-tenant/considerations-recommendations" TargetMode="External"/><Relationship Id="rId2565" Type="http://schemas.openxmlformats.org/officeDocument/2006/relationships/hyperlink" Target="https://learn.microsoft.com/azure/frontdoor/best-practices" TargetMode="External"/><Relationship Id="rId2772" Type="http://schemas.openxmlformats.org/officeDocument/2006/relationships/ctrlProp" Target="../ctrlProps/ctrlProp5.xml"/><Relationship Id="rId537" Type="http://schemas.openxmlformats.org/officeDocument/2006/relationships/hyperlink" Target="https://learn.microsoft.com/azure/cloud-adoption-framework/ready/landing-zone/design-area/multi-tenant/considerations-recommendations" TargetMode="External"/><Relationship Id="rId744" Type="http://schemas.openxmlformats.org/officeDocument/2006/relationships/hyperlink" Target="https://learn.microsoft.com/azure/cloud-adoption-framework/ready/landing-zone/design-area/multi-tenant/considerations-recommendations" TargetMode="External"/><Relationship Id="rId951" Type="http://schemas.openxmlformats.org/officeDocument/2006/relationships/hyperlink" Target="https://learn.microsoft.com/azure/cloud-adoption-framework/ready/landing-zone/design-area/multi-tenant/considerations-recommendations" TargetMode="External"/><Relationship Id="rId1167" Type="http://schemas.openxmlformats.org/officeDocument/2006/relationships/hyperlink" Target="https://learn.microsoft.com/azure/cloud-adoption-framework/ready/landing-zone/design-area/multi-tenant/considerations-recommendations" TargetMode="External"/><Relationship Id="rId1374" Type="http://schemas.openxmlformats.org/officeDocument/2006/relationships/hyperlink" Target="https://learn.microsoft.com/azure/cloud-adoption-framework/ready/landing-zone/design-area/multi-tenant/considerations-recommendations" TargetMode="External"/><Relationship Id="rId1581" Type="http://schemas.openxmlformats.org/officeDocument/2006/relationships/hyperlink" Target="https://learn.microsoft.com/azure/cloud-adoption-framework/ready/landing-zone/design-area/multi-tenant/considerations-recommendations" TargetMode="External"/><Relationship Id="rId1679" Type="http://schemas.openxmlformats.org/officeDocument/2006/relationships/hyperlink" Target="https://learn.microsoft.com/azure/cloud-adoption-framework/ready/landing-zone/design-area/multi-tenant/considerations-recommendations" TargetMode="External"/><Relationship Id="rId2218" Type="http://schemas.openxmlformats.org/officeDocument/2006/relationships/hyperlink" Target="https://learn.microsoft.com/azure/cloud-adoption-framework/ready/landing-zone/design-area/multi-tenant/considerations-recommendations" TargetMode="External"/><Relationship Id="rId2425" Type="http://schemas.openxmlformats.org/officeDocument/2006/relationships/hyperlink" Target="https://learn.microsoft.com/security/benchmark/azure/baselines/api-management-security-baseline?toc=%2Fazure%2Fapi-management%2F&amp;bc=%2Fazure%2Fapi-management%2Fbreadcrumb%2Ftoc.json" TargetMode="External"/><Relationship Id="rId2632" Type="http://schemas.openxmlformats.org/officeDocument/2006/relationships/hyperlink" Target="https://learn.microsoft.com/azure/ai-studio/how-to/create-manage-compute" TargetMode="External"/><Relationship Id="rId80" Type="http://schemas.openxmlformats.org/officeDocument/2006/relationships/hyperlink" Target="https://learn.microsoft.com/azure/cloud-adoption-framework/ready/landing-zone/design-area/multi-tenant/considerations-recommendations" TargetMode="External"/><Relationship Id="rId604" Type="http://schemas.openxmlformats.org/officeDocument/2006/relationships/hyperlink" Target="https://learn.microsoft.com/azure/cloud-adoption-framework/ready/landing-zone/design-area/multi-tenant/considerations-recommendations" TargetMode="External"/><Relationship Id="rId811" Type="http://schemas.openxmlformats.org/officeDocument/2006/relationships/hyperlink" Target="https://learn.microsoft.com/azure/cloud-adoption-framework/ready/landing-zone/design-area/multi-tenant/considerations-recommendations" TargetMode="External"/><Relationship Id="rId1027" Type="http://schemas.openxmlformats.org/officeDocument/2006/relationships/hyperlink" Target="https://learn.microsoft.com/azure/cloud-adoption-framework/ready/landing-zone/design-area/multi-tenant/considerations-recommendations" TargetMode="External"/><Relationship Id="rId1234" Type="http://schemas.openxmlformats.org/officeDocument/2006/relationships/hyperlink" Target="https://learn.microsoft.com/azure/cloud-adoption-framework/ready/landing-zone/design-area/multi-tenant/considerations-recommendations" TargetMode="External"/><Relationship Id="rId1441" Type="http://schemas.openxmlformats.org/officeDocument/2006/relationships/hyperlink" Target="https://learn.microsoft.com/azure/cloud-adoption-framework/ready/landing-zone/design-area/multi-tenant/considerations-recommendations" TargetMode="External"/><Relationship Id="rId1886" Type="http://schemas.openxmlformats.org/officeDocument/2006/relationships/hyperlink" Target="https://learn.microsoft.com/azure/cloud-adoption-framework/ready/landing-zone/design-area/multi-tenant/considerations-recommendations" TargetMode="External"/><Relationship Id="rId909" Type="http://schemas.openxmlformats.org/officeDocument/2006/relationships/hyperlink" Target="https://learn.microsoft.com/azure/cloud-adoption-framework/ready/landing-zone/design-area/multi-tenant/considerations-recommendations" TargetMode="External"/><Relationship Id="rId1301" Type="http://schemas.openxmlformats.org/officeDocument/2006/relationships/hyperlink" Target="https://learn.microsoft.com/azure/cloud-adoption-framework/ready/landing-zone/design-area/multi-tenant/considerations-recommendations" TargetMode="External"/><Relationship Id="rId1539" Type="http://schemas.openxmlformats.org/officeDocument/2006/relationships/hyperlink" Target="https://learn.microsoft.com/azure/cloud-adoption-framework/ready/landing-zone/design-area/multi-tenant/considerations-recommendations" TargetMode="External"/><Relationship Id="rId1746" Type="http://schemas.openxmlformats.org/officeDocument/2006/relationships/hyperlink" Target="https://learn.microsoft.com/azure/cloud-adoption-framework/ready/landing-zone/design-area/multi-tenant/considerations-recommendations" TargetMode="External"/><Relationship Id="rId1953" Type="http://schemas.openxmlformats.org/officeDocument/2006/relationships/hyperlink" Target="https://learn.microsoft.com/azure/cloud-adoption-framework/ready/landing-zone/design-area/multi-tenant/considerations-recommendations" TargetMode="External"/><Relationship Id="rId38" Type="http://schemas.openxmlformats.org/officeDocument/2006/relationships/hyperlink" Target="https://learn.microsoft.com/azure/cloud-adoption-framework/ready/landing-zone/design-area/multi-tenant/considerations-recommendations" TargetMode="External"/><Relationship Id="rId1606" Type="http://schemas.openxmlformats.org/officeDocument/2006/relationships/hyperlink" Target="https://learn.microsoft.com/azure/cloud-adoption-framework/ready/landing-zone/design-area/multi-tenant/considerations-recommendations" TargetMode="External"/><Relationship Id="rId1813" Type="http://schemas.openxmlformats.org/officeDocument/2006/relationships/hyperlink" Target="https://learn.microsoft.com/azure/cloud-adoption-framework/ready/landing-zone/design-area/multi-tenant/considerations-recommendations" TargetMode="External"/><Relationship Id="rId187" Type="http://schemas.openxmlformats.org/officeDocument/2006/relationships/hyperlink" Target="https://learn.microsoft.com/azure/cloud-adoption-framework/ready/landing-zone/design-area/multi-tenant/considerations-recommendations" TargetMode="External"/><Relationship Id="rId394" Type="http://schemas.openxmlformats.org/officeDocument/2006/relationships/hyperlink" Target="https://learn.microsoft.com/azure/cloud-adoption-framework/ready/landing-zone/design-area/multi-tenant/considerations-recommendations" TargetMode="External"/><Relationship Id="rId2075" Type="http://schemas.openxmlformats.org/officeDocument/2006/relationships/hyperlink" Target="https://learn.microsoft.com/azure/cloud-adoption-framework/ready/landing-zone/design-area/multi-tenant/considerations-recommendations" TargetMode="External"/><Relationship Id="rId2282" Type="http://schemas.openxmlformats.org/officeDocument/2006/relationships/hyperlink" Target="https://learn.microsoft.com/azure/cloud-adoption-framework/ready/landing-zone/design-area/multi-tenant/considerations-recommendations" TargetMode="External"/><Relationship Id="rId254" Type="http://schemas.openxmlformats.org/officeDocument/2006/relationships/hyperlink" Target="https://learn.microsoft.com/azure/cloud-adoption-framework/ready/landing-zone/design-area/multi-tenant/considerations-recommendations" TargetMode="External"/><Relationship Id="rId699" Type="http://schemas.openxmlformats.org/officeDocument/2006/relationships/hyperlink" Target="https://learn.microsoft.com/azure/cloud-adoption-framework/ready/landing-zone/design-area/multi-tenant/considerations-recommendations" TargetMode="External"/><Relationship Id="rId1091" Type="http://schemas.openxmlformats.org/officeDocument/2006/relationships/hyperlink" Target="https://learn.microsoft.com/azure/cloud-adoption-framework/ready/landing-zone/design-area/multi-tenant/considerations-recommendations" TargetMode="External"/><Relationship Id="rId2587" Type="http://schemas.openxmlformats.org/officeDocument/2006/relationships/hyperlink" Target="https://learn.microsoft.com/azure/azure-cache-for-redis/cache-how-to-geo-replication" TargetMode="External"/><Relationship Id="rId114" Type="http://schemas.openxmlformats.org/officeDocument/2006/relationships/hyperlink" Target="https://learn.microsoft.com/azure/cloud-adoption-framework/ready/landing-zone/design-area/multi-tenant/considerations-recommendations" TargetMode="External"/><Relationship Id="rId461" Type="http://schemas.openxmlformats.org/officeDocument/2006/relationships/hyperlink" Target="https://learn.microsoft.com/azure/cloud-adoption-framework/ready/landing-zone/design-area/multi-tenant/considerations-recommendations" TargetMode="External"/><Relationship Id="rId559" Type="http://schemas.openxmlformats.org/officeDocument/2006/relationships/hyperlink" Target="https://learn.microsoft.com/azure/cloud-adoption-framework/ready/landing-zone/design-area/multi-tenant/considerations-recommendations" TargetMode="External"/><Relationship Id="rId766" Type="http://schemas.openxmlformats.org/officeDocument/2006/relationships/hyperlink" Target="https://learn.microsoft.com/azure/cloud-adoption-framework/ready/landing-zone/design-area/multi-tenant/considerations-recommendations" TargetMode="External"/><Relationship Id="rId1189" Type="http://schemas.openxmlformats.org/officeDocument/2006/relationships/hyperlink" Target="https://learn.microsoft.com/azure/cloud-adoption-framework/ready/landing-zone/design-area/multi-tenant/considerations-recommendations" TargetMode="External"/><Relationship Id="rId1396" Type="http://schemas.openxmlformats.org/officeDocument/2006/relationships/hyperlink" Target="https://learn.microsoft.com/azure/cloud-adoption-framework/ready/landing-zone/design-area/multi-tenant/considerations-recommendations" TargetMode="External"/><Relationship Id="rId2142" Type="http://schemas.openxmlformats.org/officeDocument/2006/relationships/hyperlink" Target="https://learn.microsoft.com/azure/cloud-adoption-framework/ready/landing-zone/design-area/multi-tenant/considerations-recommendations" TargetMode="External"/><Relationship Id="rId2447" Type="http://schemas.openxmlformats.org/officeDocument/2006/relationships/hyperlink" Target="https://learn.microsoft.com/azure/defender-for-cloud/defender-for-app-service-introduction" TargetMode="External"/><Relationship Id="rId321" Type="http://schemas.openxmlformats.org/officeDocument/2006/relationships/hyperlink" Target="https://learn.microsoft.com/azure/cloud-adoption-framework/ready/landing-zone/design-area/multi-tenant/considerations-recommendations" TargetMode="External"/><Relationship Id="rId419" Type="http://schemas.openxmlformats.org/officeDocument/2006/relationships/hyperlink" Target="https://learn.microsoft.com/azure/cloud-adoption-framework/ready/landing-zone/design-area/multi-tenant/considerations-recommendations" TargetMode="External"/><Relationship Id="rId626" Type="http://schemas.openxmlformats.org/officeDocument/2006/relationships/hyperlink" Target="https://learn.microsoft.com/azure/cloud-adoption-framework/ready/landing-zone/design-area/multi-tenant/considerations-recommendations" TargetMode="External"/><Relationship Id="rId973" Type="http://schemas.openxmlformats.org/officeDocument/2006/relationships/hyperlink" Target="https://learn.microsoft.com/azure/cloud-adoption-framework/ready/landing-zone/design-area/multi-tenant/considerations-recommendations" TargetMode="External"/><Relationship Id="rId1049" Type="http://schemas.openxmlformats.org/officeDocument/2006/relationships/hyperlink" Target="https://learn.microsoft.com/azure/cloud-adoption-framework/ready/landing-zone/design-area/multi-tenant/considerations-recommendations" TargetMode="External"/><Relationship Id="rId1256" Type="http://schemas.openxmlformats.org/officeDocument/2006/relationships/hyperlink" Target="https://learn.microsoft.com/azure/cloud-adoption-framework/ready/landing-zone/design-area/multi-tenant/considerations-recommendations" TargetMode="External"/><Relationship Id="rId2002" Type="http://schemas.openxmlformats.org/officeDocument/2006/relationships/hyperlink" Target="https://learn.microsoft.com/azure/cloud-adoption-framework/ready/landing-zone/design-area/multi-tenant/considerations-recommendations" TargetMode="External"/><Relationship Id="rId2307" Type="http://schemas.openxmlformats.org/officeDocument/2006/relationships/hyperlink" Target="https://learn.microsoft.com/azure/cloud-adoption-framework/ready/landing-zone/design-area/multi-tenant/considerations-recommendations" TargetMode="External"/><Relationship Id="rId2654" Type="http://schemas.openxmlformats.org/officeDocument/2006/relationships/hyperlink" Target="https://github.com/Azure/azure-openai-benchmark/" TargetMode="External"/><Relationship Id="rId833" Type="http://schemas.openxmlformats.org/officeDocument/2006/relationships/hyperlink" Target="https://learn.microsoft.com/azure/cloud-adoption-framework/ready/landing-zone/design-area/multi-tenant/considerations-recommendations" TargetMode="External"/><Relationship Id="rId1116" Type="http://schemas.openxmlformats.org/officeDocument/2006/relationships/hyperlink" Target="https://learn.microsoft.com/azure/cloud-adoption-framework/ready/landing-zone/design-area/multi-tenant/considerations-recommendations" TargetMode="External"/><Relationship Id="rId1463" Type="http://schemas.openxmlformats.org/officeDocument/2006/relationships/hyperlink" Target="https://learn.microsoft.com/azure/cloud-adoption-framework/ready/landing-zone/design-area/multi-tenant/considerations-recommendations" TargetMode="External"/><Relationship Id="rId1670" Type="http://schemas.openxmlformats.org/officeDocument/2006/relationships/hyperlink" Target="https://learn.microsoft.com/azure/cloud-adoption-framework/ready/landing-zone/design-area/multi-tenant/considerations-recommendations" TargetMode="External"/><Relationship Id="rId1768" Type="http://schemas.openxmlformats.org/officeDocument/2006/relationships/hyperlink" Target="https://learn.microsoft.com/azure/cloud-adoption-framework/ready/landing-zone/design-area/multi-tenant/considerations-recommendations" TargetMode="External"/><Relationship Id="rId2514" Type="http://schemas.openxmlformats.org/officeDocument/2006/relationships/hyperlink" Target="https://learn.microsoft.com/rest/api/storageservices/create-account-sas" TargetMode="External"/><Relationship Id="rId2721" Type="http://schemas.openxmlformats.org/officeDocument/2006/relationships/hyperlink" Target="https://www.azadvertizer.net/azpolicyinitiativesadvertizer/Enforce-Encryption-CMK.html" TargetMode="External"/><Relationship Id="rId900" Type="http://schemas.openxmlformats.org/officeDocument/2006/relationships/hyperlink" Target="https://learn.microsoft.com/azure/cloud-adoption-framework/ready/landing-zone/design-area/multi-tenant/considerations-recommendations" TargetMode="External"/><Relationship Id="rId1323" Type="http://schemas.openxmlformats.org/officeDocument/2006/relationships/hyperlink" Target="https://learn.microsoft.com/azure/cloud-adoption-framework/ready/landing-zone/design-area/multi-tenant/considerations-recommendations" TargetMode="External"/><Relationship Id="rId1530" Type="http://schemas.openxmlformats.org/officeDocument/2006/relationships/hyperlink" Target="https://learn.microsoft.com/azure/cloud-adoption-framework/ready/landing-zone/design-area/multi-tenant/considerations-recommendations" TargetMode="External"/><Relationship Id="rId1628" Type="http://schemas.openxmlformats.org/officeDocument/2006/relationships/hyperlink" Target="https://learn.microsoft.com/azure/cloud-adoption-framework/ready/landing-zone/design-area/multi-tenant/considerations-recommendations" TargetMode="External"/><Relationship Id="rId1975" Type="http://schemas.openxmlformats.org/officeDocument/2006/relationships/hyperlink" Target="https://learn.microsoft.com/azure/cloud-adoption-framework/ready/landing-zone/design-area/multi-tenant/considerations-recommendations" TargetMode="External"/><Relationship Id="rId1835" Type="http://schemas.openxmlformats.org/officeDocument/2006/relationships/hyperlink" Target="https://learn.microsoft.com/azure/cloud-adoption-framework/ready/landing-zone/design-area/multi-tenant/considerations-recommendations" TargetMode="External"/><Relationship Id="rId1902" Type="http://schemas.openxmlformats.org/officeDocument/2006/relationships/hyperlink" Target="https://learn.microsoft.com/azure/cloud-adoption-framework/ready/landing-zone/design-area/multi-tenant/considerations-recommendations" TargetMode="External"/><Relationship Id="rId2097" Type="http://schemas.openxmlformats.org/officeDocument/2006/relationships/hyperlink" Target="https://learn.microsoft.com/azure/cloud-adoption-framework/ready/landing-zone/design-area/multi-tenant/considerations-recommendations" TargetMode="External"/><Relationship Id="rId276" Type="http://schemas.openxmlformats.org/officeDocument/2006/relationships/hyperlink" Target="https://learn.microsoft.com/azure/cloud-adoption-framework/ready/landing-zone/design-area/multi-tenant/considerations-recommendations" TargetMode="External"/><Relationship Id="rId483" Type="http://schemas.openxmlformats.org/officeDocument/2006/relationships/hyperlink" Target="https://learn.microsoft.com/azure/cloud-adoption-framework/ready/landing-zone/design-area/multi-tenant/considerations-recommendations" TargetMode="External"/><Relationship Id="rId690" Type="http://schemas.openxmlformats.org/officeDocument/2006/relationships/hyperlink" Target="https://learn.microsoft.com/azure/cloud-adoption-framework/ready/landing-zone/design-area/multi-tenant/considerations-recommendations" TargetMode="External"/><Relationship Id="rId2164" Type="http://schemas.openxmlformats.org/officeDocument/2006/relationships/hyperlink" Target="https://learn.microsoft.com/azure/cloud-adoption-framework/ready/landing-zone/design-area/multi-tenant/considerations-recommendations" TargetMode="External"/><Relationship Id="rId2371" Type="http://schemas.openxmlformats.org/officeDocument/2006/relationships/hyperlink" Target="https://learn.microsoft.com/azure/active-directory/reports-monitoring/overview-reports" TargetMode="External"/><Relationship Id="rId136" Type="http://schemas.openxmlformats.org/officeDocument/2006/relationships/hyperlink" Target="https://learn.microsoft.com/azure/cloud-adoption-framework/ready/landing-zone/design-area/multi-tenant/considerations-recommendations" TargetMode="External"/><Relationship Id="rId343" Type="http://schemas.openxmlformats.org/officeDocument/2006/relationships/hyperlink" Target="https://learn.microsoft.com/azure/cloud-adoption-framework/ready/landing-zone/design-area/multi-tenant/considerations-recommendations" TargetMode="External"/><Relationship Id="rId550" Type="http://schemas.openxmlformats.org/officeDocument/2006/relationships/hyperlink" Target="https://learn.microsoft.com/azure/cloud-adoption-framework/ready/landing-zone/design-area/multi-tenant/considerations-recommendations" TargetMode="External"/><Relationship Id="rId788" Type="http://schemas.openxmlformats.org/officeDocument/2006/relationships/hyperlink" Target="https://learn.microsoft.com/azure/cloud-adoption-framework/ready/landing-zone/design-area/multi-tenant/considerations-recommendations" TargetMode="External"/><Relationship Id="rId995" Type="http://schemas.openxmlformats.org/officeDocument/2006/relationships/hyperlink" Target="https://learn.microsoft.com/azure/cloud-adoption-framework/ready/landing-zone/design-area/multi-tenant/considerations-recommendations" TargetMode="External"/><Relationship Id="rId1180" Type="http://schemas.openxmlformats.org/officeDocument/2006/relationships/hyperlink" Target="https://learn.microsoft.com/azure/cloud-adoption-framework/ready/landing-zone/design-area/multi-tenant/considerations-recommendations" TargetMode="External"/><Relationship Id="rId2024" Type="http://schemas.openxmlformats.org/officeDocument/2006/relationships/hyperlink" Target="https://learn.microsoft.com/azure/cloud-adoption-framework/ready/landing-zone/design-area/multi-tenant/considerations-recommendations" TargetMode="External"/><Relationship Id="rId2231" Type="http://schemas.openxmlformats.org/officeDocument/2006/relationships/hyperlink" Target="https://learn.microsoft.com/azure/cloud-adoption-framework/ready/landing-zone/design-area/multi-tenant/considerations-recommendations" TargetMode="External"/><Relationship Id="rId2469" Type="http://schemas.openxmlformats.org/officeDocument/2006/relationships/hyperlink" Target="https://github.com/Azure/AzureCAT-AVS/tree/main/networking" TargetMode="External"/><Relationship Id="rId2676" Type="http://schemas.openxmlformats.org/officeDocument/2006/relationships/hyperlink" Target="https://learn.microsoft.com/azure/search/search-reliability" TargetMode="External"/><Relationship Id="rId203" Type="http://schemas.openxmlformats.org/officeDocument/2006/relationships/hyperlink" Target="https://learn.microsoft.com/azure/cloud-adoption-framework/ready/landing-zone/design-area/multi-tenant/considerations-recommendations" TargetMode="External"/><Relationship Id="rId648" Type="http://schemas.openxmlformats.org/officeDocument/2006/relationships/hyperlink" Target="https://learn.microsoft.com/azure/cloud-adoption-framework/ready/landing-zone/design-area/multi-tenant/considerations-recommendations" TargetMode="External"/><Relationship Id="rId855" Type="http://schemas.openxmlformats.org/officeDocument/2006/relationships/hyperlink" Target="https://learn.microsoft.com/azure/cloud-adoption-framework/ready/landing-zone/design-area/multi-tenant/considerations-recommendations" TargetMode="External"/><Relationship Id="rId1040" Type="http://schemas.openxmlformats.org/officeDocument/2006/relationships/hyperlink" Target="https://learn.microsoft.com/azure/cloud-adoption-framework/ready/landing-zone/design-area/multi-tenant/considerations-recommendations" TargetMode="External"/><Relationship Id="rId1278" Type="http://schemas.openxmlformats.org/officeDocument/2006/relationships/hyperlink" Target="https://learn.microsoft.com/azure/cloud-adoption-framework/ready/landing-zone/design-area/multi-tenant/considerations-recommendations" TargetMode="External"/><Relationship Id="rId1485" Type="http://schemas.openxmlformats.org/officeDocument/2006/relationships/hyperlink" Target="https://learn.microsoft.com/azure/cloud-adoption-framework/ready/landing-zone/design-area/multi-tenant/considerations-recommendations" TargetMode="External"/><Relationship Id="rId1692" Type="http://schemas.openxmlformats.org/officeDocument/2006/relationships/hyperlink" Target="https://learn.microsoft.com/azure/cloud-adoption-framework/ready/landing-zone/design-area/multi-tenant/considerations-recommendations" TargetMode="External"/><Relationship Id="rId2329" Type="http://schemas.openxmlformats.org/officeDocument/2006/relationships/hyperlink" Target="https://learn.microsoft.com/azure/cloud-adoption-framework/ready/landing-zone/design-area/multi-tenant/considerations-recommendations" TargetMode="External"/><Relationship Id="rId2536" Type="http://schemas.openxmlformats.org/officeDocument/2006/relationships/hyperlink" Target="https://learn.microsoft.com/azure/event-hubs/event-hubs-ip-filtering" TargetMode="External"/><Relationship Id="rId2743" Type="http://schemas.openxmlformats.org/officeDocument/2006/relationships/hyperlink" Target="https://learn.microsoft.com/azure/ai-services/openai/how-to/role-based-access-control" TargetMode="External"/><Relationship Id="rId410" Type="http://schemas.openxmlformats.org/officeDocument/2006/relationships/hyperlink" Target="https://learn.microsoft.com/azure/cloud-adoption-framework/ready/landing-zone/design-area/multi-tenant/considerations-recommendations" TargetMode="External"/><Relationship Id="rId508" Type="http://schemas.openxmlformats.org/officeDocument/2006/relationships/hyperlink" Target="https://learn.microsoft.com/azure/cloud-adoption-framework/ready/landing-zone/design-area/multi-tenant/considerations-recommendations" TargetMode="External"/><Relationship Id="rId715" Type="http://schemas.openxmlformats.org/officeDocument/2006/relationships/hyperlink" Target="https://learn.microsoft.com/azure/cloud-adoption-framework/ready/landing-zone/design-area/multi-tenant/considerations-recommendations" TargetMode="External"/><Relationship Id="rId922" Type="http://schemas.openxmlformats.org/officeDocument/2006/relationships/hyperlink" Target="https://learn.microsoft.com/azure/cloud-adoption-framework/ready/landing-zone/design-area/multi-tenant/considerations-recommendations" TargetMode="External"/><Relationship Id="rId1138" Type="http://schemas.openxmlformats.org/officeDocument/2006/relationships/hyperlink" Target="https://learn.microsoft.com/azure/cloud-adoption-framework/ready/landing-zone/design-area/multi-tenant/considerations-recommendations" TargetMode="External"/><Relationship Id="rId1345" Type="http://schemas.openxmlformats.org/officeDocument/2006/relationships/hyperlink" Target="https://learn.microsoft.com/azure/cloud-adoption-framework/ready/landing-zone/design-area/multi-tenant/considerations-recommendations" TargetMode="External"/><Relationship Id="rId1552" Type="http://schemas.openxmlformats.org/officeDocument/2006/relationships/hyperlink" Target="https://learn.microsoft.com/azure/cloud-adoption-framework/ready/landing-zone/design-area/multi-tenant/considerations-recommendations" TargetMode="External"/><Relationship Id="rId1997" Type="http://schemas.openxmlformats.org/officeDocument/2006/relationships/hyperlink" Target="https://learn.microsoft.com/azure/cloud-adoption-framework/ready/landing-zone/design-area/multi-tenant/considerations-recommendations" TargetMode="External"/><Relationship Id="rId2603" Type="http://schemas.openxmlformats.org/officeDocument/2006/relationships/hyperlink" Target="https://learn.microsoft.com/azure/storage/blobs/soft-delete-blob-enable" TargetMode="External"/><Relationship Id="rId1205" Type="http://schemas.openxmlformats.org/officeDocument/2006/relationships/hyperlink" Target="https://learn.microsoft.com/azure/cloud-adoption-framework/ready/landing-zone/design-area/multi-tenant/considerations-recommendations" TargetMode="External"/><Relationship Id="rId1857" Type="http://schemas.openxmlformats.org/officeDocument/2006/relationships/hyperlink" Target="https://learn.microsoft.com/azure/cloud-adoption-framework/ready/landing-zone/design-area/multi-tenant/considerations-recommendations" TargetMode="External"/><Relationship Id="rId51" Type="http://schemas.openxmlformats.org/officeDocument/2006/relationships/hyperlink" Target="https://learn.microsoft.com/azure/cloud-adoption-framework/ready/landing-zone/design-area/multi-tenant/considerations-recommendations" TargetMode="External"/><Relationship Id="rId1412" Type="http://schemas.openxmlformats.org/officeDocument/2006/relationships/hyperlink" Target="https://learn.microsoft.com/azure/cloud-adoption-framework/ready/landing-zone/design-area/multi-tenant/considerations-recommendations" TargetMode="External"/><Relationship Id="rId1717" Type="http://schemas.openxmlformats.org/officeDocument/2006/relationships/hyperlink" Target="https://learn.microsoft.com/azure/cloud-adoption-framework/ready/landing-zone/design-area/multi-tenant/considerations-recommendations" TargetMode="External"/><Relationship Id="rId1924" Type="http://schemas.openxmlformats.org/officeDocument/2006/relationships/hyperlink" Target="https://learn.microsoft.com/azure/cloud-adoption-framework/ready/landing-zone/design-area/multi-tenant/considerations-recommendations" TargetMode="External"/><Relationship Id="rId298" Type="http://schemas.openxmlformats.org/officeDocument/2006/relationships/hyperlink" Target="https://learn.microsoft.com/azure/cloud-adoption-framework/ready/landing-zone/design-area/multi-tenant/considerations-recommendations" TargetMode="External"/><Relationship Id="rId158" Type="http://schemas.openxmlformats.org/officeDocument/2006/relationships/hyperlink" Target="https://learn.microsoft.com/azure/cloud-adoption-framework/ready/landing-zone/design-area/multi-tenant/considerations-recommendations" TargetMode="External"/><Relationship Id="rId2186" Type="http://schemas.openxmlformats.org/officeDocument/2006/relationships/hyperlink" Target="https://learn.microsoft.com/azure/cloud-adoption-framework/ready/landing-zone/design-area/multi-tenant/considerations-recommendations" TargetMode="External"/><Relationship Id="rId2393" Type="http://schemas.openxmlformats.org/officeDocument/2006/relationships/hyperlink" Target="https://learn.microsoft.com/azure/api-management/api-management-howto-aad" TargetMode="External"/><Relationship Id="rId2698" Type="http://schemas.openxmlformats.org/officeDocument/2006/relationships/hyperlink" Target="https://github.com/openai/tiktoken" TargetMode="External"/><Relationship Id="rId365" Type="http://schemas.openxmlformats.org/officeDocument/2006/relationships/hyperlink" Target="https://learn.microsoft.com/azure/cloud-adoption-framework/ready/landing-zone/design-area/multi-tenant/considerations-recommendations" TargetMode="External"/><Relationship Id="rId572" Type="http://schemas.openxmlformats.org/officeDocument/2006/relationships/hyperlink" Target="https://learn.microsoft.com/azure/cloud-adoption-framework/ready/landing-zone/design-area/multi-tenant/considerations-recommendations" TargetMode="External"/><Relationship Id="rId2046" Type="http://schemas.openxmlformats.org/officeDocument/2006/relationships/hyperlink" Target="https://learn.microsoft.com/azure/cloud-adoption-framework/ready/landing-zone/design-area/multi-tenant/considerations-recommendations" TargetMode="External"/><Relationship Id="rId2253" Type="http://schemas.openxmlformats.org/officeDocument/2006/relationships/hyperlink" Target="https://learn.microsoft.com/azure/cloud-adoption-framework/ready/landing-zone/design-area/multi-tenant/considerations-recommendations" TargetMode="External"/><Relationship Id="rId2460" Type="http://schemas.openxmlformats.org/officeDocument/2006/relationships/hyperlink" Target="https://learn.microsoft.com/learn/modules/azure-ad-privileged-identity-management/" TargetMode="External"/><Relationship Id="rId225" Type="http://schemas.openxmlformats.org/officeDocument/2006/relationships/hyperlink" Target="https://learn.microsoft.com/azure/cloud-adoption-framework/ready/landing-zone/design-area/multi-tenant/considerations-recommendations" TargetMode="External"/><Relationship Id="rId432" Type="http://schemas.openxmlformats.org/officeDocument/2006/relationships/hyperlink" Target="https://learn.microsoft.com/azure/cloud-adoption-framework/ready/landing-zone/design-area/multi-tenant/considerations-recommendations" TargetMode="External"/><Relationship Id="rId877" Type="http://schemas.openxmlformats.org/officeDocument/2006/relationships/hyperlink" Target="https://learn.microsoft.com/azure/cloud-adoption-framework/ready/landing-zone/design-area/multi-tenant/considerations-recommendations" TargetMode="External"/><Relationship Id="rId1062" Type="http://schemas.openxmlformats.org/officeDocument/2006/relationships/hyperlink" Target="https://learn.microsoft.com/azure/cloud-adoption-framework/ready/landing-zone/design-area/multi-tenant/considerations-recommendations" TargetMode="External"/><Relationship Id="rId2113" Type="http://schemas.openxmlformats.org/officeDocument/2006/relationships/hyperlink" Target="https://learn.microsoft.com/azure/cloud-adoption-framework/ready/landing-zone/design-area/multi-tenant/considerations-recommendations" TargetMode="External"/><Relationship Id="rId2320" Type="http://schemas.openxmlformats.org/officeDocument/2006/relationships/hyperlink" Target="https://learn.microsoft.com/azure/cloud-adoption-framework/ready/landing-zone/design-area/multi-tenant/considerations-recommendations" TargetMode="External"/><Relationship Id="rId2558" Type="http://schemas.openxmlformats.org/officeDocument/2006/relationships/hyperlink" Target="https://learn.microsoft.com/learn/paths/secure-networking-infrastructure/" TargetMode="External"/><Relationship Id="rId2765" Type="http://schemas.openxmlformats.org/officeDocument/2006/relationships/printerSettings" Target="../printerSettings/printerSettings1.bin"/><Relationship Id="rId737" Type="http://schemas.openxmlformats.org/officeDocument/2006/relationships/hyperlink" Target="https://learn.microsoft.com/azure/cloud-adoption-framework/ready/landing-zone/design-area/multi-tenant/considerations-recommendations" TargetMode="External"/><Relationship Id="rId944" Type="http://schemas.openxmlformats.org/officeDocument/2006/relationships/hyperlink" Target="https://learn.microsoft.com/azure/cloud-adoption-framework/ready/landing-zone/design-area/multi-tenant/considerations-recommendations" TargetMode="External"/><Relationship Id="rId1367" Type="http://schemas.openxmlformats.org/officeDocument/2006/relationships/hyperlink" Target="https://learn.microsoft.com/azure/cloud-adoption-framework/ready/landing-zone/design-area/multi-tenant/considerations-recommendations" TargetMode="External"/><Relationship Id="rId1574" Type="http://schemas.openxmlformats.org/officeDocument/2006/relationships/hyperlink" Target="https://learn.microsoft.com/azure/cloud-adoption-framework/ready/landing-zone/design-area/multi-tenant/considerations-recommendations" TargetMode="External"/><Relationship Id="rId1781" Type="http://schemas.openxmlformats.org/officeDocument/2006/relationships/hyperlink" Target="https://learn.microsoft.com/azure/cloud-adoption-framework/ready/landing-zone/design-area/multi-tenant/considerations-recommendations" TargetMode="External"/><Relationship Id="rId2418" Type="http://schemas.openxmlformats.org/officeDocument/2006/relationships/hyperlink" Target="https://learn.microsoft.com/azure/api-management/api-management-howto-mutual-certificates-for-clients" TargetMode="External"/><Relationship Id="rId2625" Type="http://schemas.openxmlformats.org/officeDocument/2006/relationships/hyperlink" Target="https://learn.microsoft.com/azure/ai-studio/how-to/develop/trace-local-sdk" TargetMode="External"/><Relationship Id="rId73" Type="http://schemas.openxmlformats.org/officeDocument/2006/relationships/hyperlink" Target="https://learn.microsoft.com/azure/cloud-adoption-framework/ready/landing-zone/design-area/multi-tenant/considerations-recommendations" TargetMode="External"/><Relationship Id="rId804" Type="http://schemas.openxmlformats.org/officeDocument/2006/relationships/hyperlink" Target="https://learn.microsoft.com/azure/cloud-adoption-framework/ready/landing-zone/design-area/multi-tenant/considerations-recommendations" TargetMode="External"/><Relationship Id="rId1227" Type="http://schemas.openxmlformats.org/officeDocument/2006/relationships/hyperlink" Target="https://learn.microsoft.com/azure/cloud-adoption-framework/ready/landing-zone/design-area/multi-tenant/considerations-recommendations" TargetMode="External"/><Relationship Id="rId1434" Type="http://schemas.openxmlformats.org/officeDocument/2006/relationships/hyperlink" Target="https://learn.microsoft.com/azure/cloud-adoption-framework/ready/landing-zone/design-area/multi-tenant/considerations-recommendations" TargetMode="External"/><Relationship Id="rId1641" Type="http://schemas.openxmlformats.org/officeDocument/2006/relationships/hyperlink" Target="https://learn.microsoft.com/azure/cloud-adoption-framework/ready/landing-zone/design-area/multi-tenant/considerations-recommendations" TargetMode="External"/><Relationship Id="rId1879" Type="http://schemas.openxmlformats.org/officeDocument/2006/relationships/hyperlink" Target="https://learn.microsoft.com/azure/cloud-adoption-framework/ready/landing-zone/design-area/multi-tenant/considerations-recommendations" TargetMode="External"/><Relationship Id="rId1501" Type="http://schemas.openxmlformats.org/officeDocument/2006/relationships/hyperlink" Target="https://learn.microsoft.com/azure/cloud-adoption-framework/ready/landing-zone/design-area/multi-tenant/considerations-recommendations" TargetMode="External"/><Relationship Id="rId1739" Type="http://schemas.openxmlformats.org/officeDocument/2006/relationships/hyperlink" Target="https://learn.microsoft.com/azure/cloud-adoption-framework/ready/landing-zone/design-area/multi-tenant/considerations-recommendations" TargetMode="External"/><Relationship Id="rId1946" Type="http://schemas.openxmlformats.org/officeDocument/2006/relationships/hyperlink" Target="https://learn.microsoft.com/azure/cloud-adoption-framework/ready/landing-zone/design-area/multi-tenant/considerations-recommendations" TargetMode="External"/><Relationship Id="rId1806" Type="http://schemas.openxmlformats.org/officeDocument/2006/relationships/hyperlink" Target="https://learn.microsoft.com/azure/cloud-adoption-framework/ready/landing-zone/design-area/multi-tenant/considerations-recommendations" TargetMode="External"/><Relationship Id="rId387" Type="http://schemas.openxmlformats.org/officeDocument/2006/relationships/hyperlink" Target="https://learn.microsoft.com/azure/cloud-adoption-framework/ready/landing-zone/design-area/multi-tenant/considerations-recommendations" TargetMode="External"/><Relationship Id="rId594" Type="http://schemas.openxmlformats.org/officeDocument/2006/relationships/hyperlink" Target="https://learn.microsoft.com/azure/cloud-adoption-framework/ready/landing-zone/design-area/multi-tenant/considerations-recommendations" TargetMode="External"/><Relationship Id="rId2068" Type="http://schemas.openxmlformats.org/officeDocument/2006/relationships/hyperlink" Target="https://learn.microsoft.com/azure/cloud-adoption-framework/ready/landing-zone/design-area/multi-tenant/considerations-recommendations" TargetMode="External"/><Relationship Id="rId2275" Type="http://schemas.openxmlformats.org/officeDocument/2006/relationships/hyperlink" Target="https://learn.microsoft.com/azure/cloud-adoption-framework/ready/landing-zone/design-area/multi-tenant/considerations-recommendations" TargetMode="External"/><Relationship Id="rId247" Type="http://schemas.openxmlformats.org/officeDocument/2006/relationships/hyperlink" Target="https://learn.microsoft.com/azure/cloud-adoption-framework/ready/landing-zone/design-area/multi-tenant/considerations-recommendations" TargetMode="External"/><Relationship Id="rId899" Type="http://schemas.openxmlformats.org/officeDocument/2006/relationships/hyperlink" Target="https://learn.microsoft.com/azure/cloud-adoption-framework/ready/landing-zone/design-area/multi-tenant/considerations-recommendations" TargetMode="External"/><Relationship Id="rId1084" Type="http://schemas.openxmlformats.org/officeDocument/2006/relationships/hyperlink" Target="https://learn.microsoft.com/azure/cloud-adoption-framework/ready/landing-zone/design-area/multi-tenant/considerations-recommendations" TargetMode="External"/><Relationship Id="rId2482" Type="http://schemas.openxmlformats.org/officeDocument/2006/relationships/hyperlink" Target="https://learn.microsoft.com/azure/spring-apps/concepts-blue-green-deployment-strategies" TargetMode="External"/><Relationship Id="rId107" Type="http://schemas.openxmlformats.org/officeDocument/2006/relationships/hyperlink" Target="https://learn.microsoft.com/azure/cloud-adoption-framework/ready/landing-zone/design-area/multi-tenant/considerations-recommendations" TargetMode="External"/><Relationship Id="rId454" Type="http://schemas.openxmlformats.org/officeDocument/2006/relationships/hyperlink" Target="https://learn.microsoft.com/azure/cloud-adoption-framework/ready/landing-zone/design-area/multi-tenant/considerations-recommendations" TargetMode="External"/><Relationship Id="rId661" Type="http://schemas.openxmlformats.org/officeDocument/2006/relationships/hyperlink" Target="https://learn.microsoft.com/azure/cloud-adoption-framework/ready/landing-zone/design-area/multi-tenant/considerations-recommendations" TargetMode="External"/><Relationship Id="rId759" Type="http://schemas.openxmlformats.org/officeDocument/2006/relationships/hyperlink" Target="https://learn.microsoft.com/azure/cloud-adoption-framework/ready/landing-zone/design-area/multi-tenant/considerations-recommendations" TargetMode="External"/><Relationship Id="rId966" Type="http://schemas.openxmlformats.org/officeDocument/2006/relationships/hyperlink" Target="https://learn.microsoft.com/azure/cloud-adoption-framework/ready/landing-zone/design-area/multi-tenant/considerations-recommendations" TargetMode="External"/><Relationship Id="rId1291" Type="http://schemas.openxmlformats.org/officeDocument/2006/relationships/hyperlink" Target="https://learn.microsoft.com/azure/cloud-adoption-framework/ready/landing-zone/design-area/multi-tenant/considerations-recommendations" TargetMode="External"/><Relationship Id="rId1389" Type="http://schemas.openxmlformats.org/officeDocument/2006/relationships/hyperlink" Target="https://learn.microsoft.com/azure/cloud-adoption-framework/ready/landing-zone/design-area/multi-tenant/considerations-recommendations" TargetMode="External"/><Relationship Id="rId1596" Type="http://schemas.openxmlformats.org/officeDocument/2006/relationships/hyperlink" Target="https://learn.microsoft.com/azure/cloud-adoption-framework/ready/landing-zone/design-area/multi-tenant/considerations-recommendations" TargetMode="External"/><Relationship Id="rId2135" Type="http://schemas.openxmlformats.org/officeDocument/2006/relationships/hyperlink" Target="https://learn.microsoft.com/azure/cloud-adoption-framework/ready/landing-zone/design-area/multi-tenant/considerations-recommendations" TargetMode="External"/><Relationship Id="rId2342" Type="http://schemas.openxmlformats.org/officeDocument/2006/relationships/hyperlink" Target="https://learn.microsoft.com/azure/cloud-adoption-framework/ready/landing-zone/design-area/multi-tenant/considerations-recommendations" TargetMode="External"/><Relationship Id="rId2647" Type="http://schemas.openxmlformats.org/officeDocument/2006/relationships/hyperlink" Target="https://techcommunity.microsoft.com/t5/apps-on-azure-blog/build-an-enterprise-ready-azure-openai-solution-with-azure-api/ba-p/3907562" TargetMode="External"/><Relationship Id="rId314" Type="http://schemas.openxmlformats.org/officeDocument/2006/relationships/hyperlink" Target="https://learn.microsoft.com/azure/cloud-adoption-framework/ready/landing-zone/design-area/multi-tenant/considerations-recommendations" TargetMode="External"/><Relationship Id="rId521" Type="http://schemas.openxmlformats.org/officeDocument/2006/relationships/hyperlink" Target="https://learn.microsoft.com/azure/cloud-adoption-framework/ready/landing-zone/design-area/multi-tenant/considerations-recommendations" TargetMode="External"/><Relationship Id="rId619" Type="http://schemas.openxmlformats.org/officeDocument/2006/relationships/hyperlink" Target="https://learn.microsoft.com/azure/cloud-adoption-framework/ready/landing-zone/design-area/multi-tenant/considerations-recommendations" TargetMode="External"/><Relationship Id="rId1151" Type="http://schemas.openxmlformats.org/officeDocument/2006/relationships/hyperlink" Target="https://learn.microsoft.com/azure/cloud-adoption-framework/ready/landing-zone/design-area/multi-tenant/considerations-recommendations" TargetMode="External"/><Relationship Id="rId1249" Type="http://schemas.openxmlformats.org/officeDocument/2006/relationships/hyperlink" Target="https://learn.microsoft.com/azure/cloud-adoption-framework/ready/landing-zone/design-area/multi-tenant/considerations-recommendations" TargetMode="External"/><Relationship Id="rId2202" Type="http://schemas.openxmlformats.org/officeDocument/2006/relationships/hyperlink" Target="https://learn.microsoft.com/azure/cloud-adoption-framework/ready/landing-zone/design-area/multi-tenant/considerations-recommendations" TargetMode="External"/><Relationship Id="rId95" Type="http://schemas.openxmlformats.org/officeDocument/2006/relationships/hyperlink" Target="https://learn.microsoft.com/azure/cloud-adoption-framework/ready/landing-zone/design-area/multi-tenant/considerations-recommendations" TargetMode="External"/><Relationship Id="rId826" Type="http://schemas.openxmlformats.org/officeDocument/2006/relationships/hyperlink" Target="https://learn.microsoft.com/azure/cloud-adoption-framework/ready/landing-zone/design-area/multi-tenant/considerations-recommendations" TargetMode="External"/><Relationship Id="rId1011" Type="http://schemas.openxmlformats.org/officeDocument/2006/relationships/hyperlink" Target="https://learn.microsoft.com/azure/cloud-adoption-framework/ready/landing-zone/design-area/multi-tenant/considerations-recommendations" TargetMode="External"/><Relationship Id="rId1109" Type="http://schemas.openxmlformats.org/officeDocument/2006/relationships/hyperlink" Target="https://learn.microsoft.com/azure/cloud-adoption-framework/ready/landing-zone/design-area/multi-tenant/considerations-recommendations" TargetMode="External"/><Relationship Id="rId1456" Type="http://schemas.openxmlformats.org/officeDocument/2006/relationships/hyperlink" Target="https://learn.microsoft.com/azure/cloud-adoption-framework/ready/landing-zone/design-area/multi-tenant/considerations-recommendations" TargetMode="External"/><Relationship Id="rId1663" Type="http://schemas.openxmlformats.org/officeDocument/2006/relationships/hyperlink" Target="https://learn.microsoft.com/azure/cloud-adoption-framework/ready/landing-zone/design-area/multi-tenant/considerations-recommendations" TargetMode="External"/><Relationship Id="rId1870" Type="http://schemas.openxmlformats.org/officeDocument/2006/relationships/hyperlink" Target="https://learn.microsoft.com/azure/cloud-adoption-framework/ready/landing-zone/design-area/multi-tenant/considerations-recommendations" TargetMode="External"/><Relationship Id="rId1968" Type="http://schemas.openxmlformats.org/officeDocument/2006/relationships/hyperlink" Target="https://learn.microsoft.com/azure/cloud-adoption-framework/ready/landing-zone/design-area/multi-tenant/considerations-recommendations" TargetMode="External"/><Relationship Id="rId2507" Type="http://schemas.openxmlformats.org/officeDocument/2006/relationships/hyperlink" Target="https://learn.microsoft.com/azure/storage/common/storage-account-keys-manage?tabs=azure-portal" TargetMode="External"/><Relationship Id="rId2714" Type="http://schemas.openxmlformats.org/officeDocument/2006/relationships/hyperlink" Target="https://genai.owasp.org/llm-top-10/" TargetMode="External"/><Relationship Id="rId1316" Type="http://schemas.openxmlformats.org/officeDocument/2006/relationships/hyperlink" Target="https://learn.microsoft.com/azure/cloud-adoption-framework/ready/landing-zone/design-area/multi-tenant/considerations-recommendations" TargetMode="External"/><Relationship Id="rId1523" Type="http://schemas.openxmlformats.org/officeDocument/2006/relationships/hyperlink" Target="https://learn.microsoft.com/azure/cloud-adoption-framework/ready/landing-zone/design-area/multi-tenant/considerations-recommendations" TargetMode="External"/><Relationship Id="rId1730" Type="http://schemas.openxmlformats.org/officeDocument/2006/relationships/hyperlink" Target="https://learn.microsoft.com/azure/cloud-adoption-framework/ready/landing-zone/design-area/multi-tenant/considerations-recommendations" TargetMode="External"/><Relationship Id="rId22" Type="http://schemas.openxmlformats.org/officeDocument/2006/relationships/hyperlink" Target="https://learn.microsoft.com/azure/cloud-adoption-framework/ready/landing-zone/design-area/multi-tenant/considerations-recommendations" TargetMode="External"/><Relationship Id="rId1828" Type="http://schemas.openxmlformats.org/officeDocument/2006/relationships/hyperlink" Target="https://learn.microsoft.com/azure/cloud-adoption-framework/ready/landing-zone/design-area/multi-tenant/considerations-recommendations" TargetMode="External"/><Relationship Id="rId171" Type="http://schemas.openxmlformats.org/officeDocument/2006/relationships/hyperlink" Target="https://learn.microsoft.com/azure/cloud-adoption-framework/ready/landing-zone/design-area/multi-tenant/considerations-recommendations" TargetMode="External"/><Relationship Id="rId2297" Type="http://schemas.openxmlformats.org/officeDocument/2006/relationships/hyperlink" Target="https://learn.microsoft.com/azure/cloud-adoption-framework/ready/landing-zone/design-area/multi-tenant/considerations-recommendations" TargetMode="External"/><Relationship Id="rId269" Type="http://schemas.openxmlformats.org/officeDocument/2006/relationships/hyperlink" Target="https://learn.microsoft.com/azure/cloud-adoption-framework/ready/landing-zone/design-area/multi-tenant/considerations-recommendations" TargetMode="External"/><Relationship Id="rId476" Type="http://schemas.openxmlformats.org/officeDocument/2006/relationships/hyperlink" Target="https://learn.microsoft.com/azure/cloud-adoption-framework/ready/landing-zone/design-area/multi-tenant/considerations-recommendations" TargetMode="External"/><Relationship Id="rId683" Type="http://schemas.openxmlformats.org/officeDocument/2006/relationships/hyperlink" Target="https://learn.microsoft.com/azure/cloud-adoption-framework/ready/landing-zone/design-area/multi-tenant/considerations-recommendations" TargetMode="External"/><Relationship Id="rId890" Type="http://schemas.openxmlformats.org/officeDocument/2006/relationships/hyperlink" Target="https://learn.microsoft.com/azure/cloud-adoption-framework/ready/landing-zone/design-area/multi-tenant/considerations-recommendations" TargetMode="External"/><Relationship Id="rId2157" Type="http://schemas.openxmlformats.org/officeDocument/2006/relationships/hyperlink" Target="https://learn.microsoft.com/azure/cloud-adoption-framework/ready/landing-zone/design-area/multi-tenant/considerations-recommendations" TargetMode="External"/><Relationship Id="rId2364" Type="http://schemas.openxmlformats.org/officeDocument/2006/relationships/hyperlink" Target="https://learn.microsoft.com/azure/key-vault/general/best-practices" TargetMode="External"/><Relationship Id="rId2571" Type="http://schemas.openxmlformats.org/officeDocument/2006/relationships/hyperlink" Target="https://learn.microsoft.com/azure/web-application-firewall/afds/waf-front-door-best-practices" TargetMode="External"/><Relationship Id="rId129" Type="http://schemas.openxmlformats.org/officeDocument/2006/relationships/hyperlink" Target="https://learn.microsoft.com/azure/cloud-adoption-framework/ready/landing-zone/design-area/multi-tenant/considerations-recommendations" TargetMode="External"/><Relationship Id="rId336" Type="http://schemas.openxmlformats.org/officeDocument/2006/relationships/hyperlink" Target="https://learn.microsoft.com/azure/cloud-adoption-framework/ready/landing-zone/design-area/multi-tenant/considerations-recommendations" TargetMode="External"/><Relationship Id="rId543" Type="http://schemas.openxmlformats.org/officeDocument/2006/relationships/hyperlink" Target="https://learn.microsoft.com/azure/cloud-adoption-framework/ready/landing-zone/design-area/multi-tenant/considerations-recommendations" TargetMode="External"/><Relationship Id="rId988" Type="http://schemas.openxmlformats.org/officeDocument/2006/relationships/hyperlink" Target="https://learn.microsoft.com/azure/cloud-adoption-framework/ready/landing-zone/design-area/multi-tenant/considerations-recommendations" TargetMode="External"/><Relationship Id="rId1173" Type="http://schemas.openxmlformats.org/officeDocument/2006/relationships/hyperlink" Target="https://learn.microsoft.com/azure/cloud-adoption-framework/ready/landing-zone/design-area/multi-tenant/considerations-recommendations" TargetMode="External"/><Relationship Id="rId1380" Type="http://schemas.openxmlformats.org/officeDocument/2006/relationships/hyperlink" Target="https://learn.microsoft.com/azure/cloud-adoption-framework/ready/landing-zone/design-area/multi-tenant/considerations-recommendations" TargetMode="External"/><Relationship Id="rId2017" Type="http://schemas.openxmlformats.org/officeDocument/2006/relationships/hyperlink" Target="https://learn.microsoft.com/azure/cloud-adoption-framework/ready/landing-zone/design-area/multi-tenant/considerations-recommendations" TargetMode="External"/><Relationship Id="rId2224" Type="http://schemas.openxmlformats.org/officeDocument/2006/relationships/hyperlink" Target="https://learn.microsoft.com/azure/cloud-adoption-framework/ready/landing-zone/design-area/multi-tenant/considerations-recommendations" TargetMode="External"/><Relationship Id="rId2669" Type="http://schemas.openxmlformats.org/officeDocument/2006/relationships/hyperlink" Target="https://learn.microsoft.com/azure/ai-services/openai/how-to/monitor-openai" TargetMode="External"/><Relationship Id="rId403" Type="http://schemas.openxmlformats.org/officeDocument/2006/relationships/hyperlink" Target="https://learn.microsoft.com/azure/cloud-adoption-framework/ready/landing-zone/design-area/multi-tenant/considerations-recommendations" TargetMode="External"/><Relationship Id="rId750" Type="http://schemas.openxmlformats.org/officeDocument/2006/relationships/hyperlink" Target="https://learn.microsoft.com/azure/cloud-adoption-framework/ready/landing-zone/design-area/multi-tenant/considerations-recommendations" TargetMode="External"/><Relationship Id="rId848" Type="http://schemas.openxmlformats.org/officeDocument/2006/relationships/hyperlink" Target="https://learn.microsoft.com/azure/cloud-adoption-framework/ready/landing-zone/design-area/multi-tenant/considerations-recommendations" TargetMode="External"/><Relationship Id="rId1033" Type="http://schemas.openxmlformats.org/officeDocument/2006/relationships/hyperlink" Target="https://learn.microsoft.com/azure/cloud-adoption-framework/ready/landing-zone/design-area/multi-tenant/considerations-recommendations" TargetMode="External"/><Relationship Id="rId1478" Type="http://schemas.openxmlformats.org/officeDocument/2006/relationships/hyperlink" Target="https://learn.microsoft.com/azure/cloud-adoption-framework/ready/landing-zone/design-area/multi-tenant/considerations-recommendations" TargetMode="External"/><Relationship Id="rId1685" Type="http://schemas.openxmlformats.org/officeDocument/2006/relationships/hyperlink" Target="https://learn.microsoft.com/azure/cloud-adoption-framework/ready/landing-zone/design-area/multi-tenant/considerations-recommendations" TargetMode="External"/><Relationship Id="rId1892" Type="http://schemas.openxmlformats.org/officeDocument/2006/relationships/hyperlink" Target="https://learn.microsoft.com/azure/cloud-adoption-framework/ready/landing-zone/design-area/multi-tenant/considerations-recommendations" TargetMode="External"/><Relationship Id="rId2431" Type="http://schemas.openxmlformats.org/officeDocument/2006/relationships/hyperlink" Target="https://learn.microsoft.com/azure/app-service/overview-authentication-authorization" TargetMode="External"/><Relationship Id="rId2529" Type="http://schemas.openxmlformats.org/officeDocument/2006/relationships/hyperlink" Target="https://learn.microsoft.com/learn/modules/azure-ad-privileged-identity-management/" TargetMode="External"/><Relationship Id="rId2736" Type="http://schemas.openxmlformats.org/officeDocument/2006/relationships/hyperlink" Target="https://learn.microsoft.com/azure/search/search-security-overview" TargetMode="External"/><Relationship Id="rId610" Type="http://schemas.openxmlformats.org/officeDocument/2006/relationships/hyperlink" Target="https://learn.microsoft.com/azure/cloud-adoption-framework/ready/landing-zone/design-area/multi-tenant/considerations-recommendations" TargetMode="External"/><Relationship Id="rId708" Type="http://schemas.openxmlformats.org/officeDocument/2006/relationships/hyperlink" Target="https://learn.microsoft.com/azure/cloud-adoption-framework/ready/landing-zone/design-area/multi-tenant/considerations-recommendations" TargetMode="External"/><Relationship Id="rId915" Type="http://schemas.openxmlformats.org/officeDocument/2006/relationships/hyperlink" Target="https://learn.microsoft.com/azure/cloud-adoption-framework/ready/landing-zone/design-area/multi-tenant/considerations-recommendations" TargetMode="External"/><Relationship Id="rId1240" Type="http://schemas.openxmlformats.org/officeDocument/2006/relationships/hyperlink" Target="https://learn.microsoft.com/azure/cloud-adoption-framework/ready/landing-zone/design-area/multi-tenant/considerations-recommendations" TargetMode="External"/><Relationship Id="rId1338" Type="http://schemas.openxmlformats.org/officeDocument/2006/relationships/hyperlink" Target="https://learn.microsoft.com/azure/cloud-adoption-framework/ready/landing-zone/design-area/multi-tenant/considerations-recommendations" TargetMode="External"/><Relationship Id="rId1545" Type="http://schemas.openxmlformats.org/officeDocument/2006/relationships/hyperlink" Target="https://learn.microsoft.com/azure/cloud-adoption-framework/ready/landing-zone/design-area/multi-tenant/considerations-recommendations" TargetMode="External"/><Relationship Id="rId1100" Type="http://schemas.openxmlformats.org/officeDocument/2006/relationships/hyperlink" Target="https://learn.microsoft.com/azure/cloud-adoption-framework/ready/landing-zone/design-area/multi-tenant/considerations-recommendations" TargetMode="External"/><Relationship Id="rId1405" Type="http://schemas.openxmlformats.org/officeDocument/2006/relationships/hyperlink" Target="https://learn.microsoft.com/azure/cloud-adoption-framework/ready/landing-zone/design-area/multi-tenant/considerations-recommendations" TargetMode="External"/><Relationship Id="rId1752" Type="http://schemas.openxmlformats.org/officeDocument/2006/relationships/hyperlink" Target="https://learn.microsoft.com/azure/cloud-adoption-framework/ready/landing-zone/design-area/multi-tenant/considerations-recommendations" TargetMode="External"/><Relationship Id="rId44" Type="http://schemas.openxmlformats.org/officeDocument/2006/relationships/hyperlink" Target="https://learn.microsoft.com/azure/cloud-adoption-framework/ready/landing-zone/design-area/multi-tenant/considerations-recommendations" TargetMode="External"/><Relationship Id="rId1612" Type="http://schemas.openxmlformats.org/officeDocument/2006/relationships/hyperlink" Target="https://learn.microsoft.com/azure/cloud-adoption-framework/ready/landing-zone/design-area/multi-tenant/considerations-recommendations" TargetMode="External"/><Relationship Id="rId1917" Type="http://schemas.openxmlformats.org/officeDocument/2006/relationships/hyperlink" Target="https://learn.microsoft.com/azure/cloud-adoption-framework/ready/landing-zone/design-area/multi-tenant/considerations-recommendations" TargetMode="External"/><Relationship Id="rId193" Type="http://schemas.openxmlformats.org/officeDocument/2006/relationships/hyperlink" Target="https://learn.microsoft.com/azure/cloud-adoption-framework/ready/landing-zone/design-area/multi-tenant/considerations-recommendations" TargetMode="External"/><Relationship Id="rId498" Type="http://schemas.openxmlformats.org/officeDocument/2006/relationships/hyperlink" Target="https://learn.microsoft.com/azure/cloud-adoption-framework/ready/landing-zone/design-area/multi-tenant/considerations-recommendations" TargetMode="External"/><Relationship Id="rId2081" Type="http://schemas.openxmlformats.org/officeDocument/2006/relationships/hyperlink" Target="https://learn.microsoft.com/azure/cloud-adoption-framework/ready/landing-zone/design-area/multi-tenant/considerations-recommendations" TargetMode="External"/><Relationship Id="rId2179" Type="http://schemas.openxmlformats.org/officeDocument/2006/relationships/hyperlink" Target="https://learn.microsoft.com/azure/cloud-adoption-framework/ready/landing-zone/design-area/multi-tenant/considerations-recommendations" TargetMode="External"/><Relationship Id="rId260" Type="http://schemas.openxmlformats.org/officeDocument/2006/relationships/hyperlink" Target="https://learn.microsoft.com/azure/cloud-adoption-framework/ready/landing-zone/design-area/multi-tenant/considerations-recommendations" TargetMode="External"/><Relationship Id="rId2386" Type="http://schemas.openxmlformats.org/officeDocument/2006/relationships/hyperlink" Target="https://learn.microsoft.com/azure/api-management/monetization-support" TargetMode="External"/><Relationship Id="rId2593" Type="http://schemas.openxmlformats.org/officeDocument/2006/relationships/hyperlink" Target="https://learn.microsoft.com/azure/reliability/availability-zones-overview" TargetMode="External"/><Relationship Id="rId120" Type="http://schemas.openxmlformats.org/officeDocument/2006/relationships/hyperlink" Target="https://learn.microsoft.com/azure/cloud-adoption-framework/ready/landing-zone/design-area/multi-tenant/considerations-recommendations" TargetMode="External"/><Relationship Id="rId358" Type="http://schemas.openxmlformats.org/officeDocument/2006/relationships/hyperlink" Target="https://learn.microsoft.com/azure/cloud-adoption-framework/ready/landing-zone/design-area/multi-tenant/considerations-recommendations" TargetMode="External"/><Relationship Id="rId565" Type="http://schemas.openxmlformats.org/officeDocument/2006/relationships/hyperlink" Target="https://learn.microsoft.com/azure/cloud-adoption-framework/ready/landing-zone/design-area/multi-tenant/considerations-recommendations" TargetMode="External"/><Relationship Id="rId772" Type="http://schemas.openxmlformats.org/officeDocument/2006/relationships/hyperlink" Target="https://learn.microsoft.com/azure/cloud-adoption-framework/ready/landing-zone/design-area/multi-tenant/considerations-recommendations" TargetMode="External"/><Relationship Id="rId1195" Type="http://schemas.openxmlformats.org/officeDocument/2006/relationships/hyperlink" Target="https://learn.microsoft.com/azure/cloud-adoption-framework/ready/landing-zone/design-area/multi-tenant/considerations-recommendations" TargetMode="External"/><Relationship Id="rId2039" Type="http://schemas.openxmlformats.org/officeDocument/2006/relationships/hyperlink" Target="https://learn.microsoft.com/azure/cloud-adoption-framework/ready/landing-zone/design-area/multi-tenant/considerations-recommendations" TargetMode="External"/><Relationship Id="rId2246" Type="http://schemas.openxmlformats.org/officeDocument/2006/relationships/hyperlink" Target="https://learn.microsoft.com/azure/cloud-adoption-framework/ready/landing-zone/design-area/multi-tenant/considerations-recommendations" TargetMode="External"/><Relationship Id="rId2453" Type="http://schemas.openxmlformats.org/officeDocument/2006/relationships/hyperlink" Target="https://learn.microsoft.com/azure/service-bus-messaging/configure-customer-managed-key" TargetMode="External"/><Relationship Id="rId2660" Type="http://schemas.openxmlformats.org/officeDocument/2006/relationships/hyperlink" Target="https://techcommunity.microsoft.com/t5/ai-azure-ai-services-blog/how-to-control-azure-openai-models/ba-p/4146793" TargetMode="External"/><Relationship Id="rId218" Type="http://schemas.openxmlformats.org/officeDocument/2006/relationships/hyperlink" Target="https://learn.microsoft.com/azure/cloud-adoption-framework/ready/landing-zone/design-area/multi-tenant/considerations-recommendations" TargetMode="External"/><Relationship Id="rId425" Type="http://schemas.openxmlformats.org/officeDocument/2006/relationships/hyperlink" Target="https://learn.microsoft.com/azure/cloud-adoption-framework/ready/landing-zone/design-area/multi-tenant/considerations-recommendations" TargetMode="External"/><Relationship Id="rId632" Type="http://schemas.openxmlformats.org/officeDocument/2006/relationships/hyperlink" Target="https://learn.microsoft.com/azure/cloud-adoption-framework/ready/landing-zone/design-area/multi-tenant/considerations-recommendations" TargetMode="External"/><Relationship Id="rId1055" Type="http://schemas.openxmlformats.org/officeDocument/2006/relationships/hyperlink" Target="https://learn.microsoft.com/azure/cloud-adoption-framework/ready/landing-zone/design-area/multi-tenant/considerations-recommendations" TargetMode="External"/><Relationship Id="rId1262" Type="http://schemas.openxmlformats.org/officeDocument/2006/relationships/hyperlink" Target="https://learn.microsoft.com/azure/cloud-adoption-framework/ready/landing-zone/design-area/multi-tenant/considerations-recommendations" TargetMode="External"/><Relationship Id="rId2106" Type="http://schemas.openxmlformats.org/officeDocument/2006/relationships/hyperlink" Target="https://learn.microsoft.com/azure/cloud-adoption-framework/ready/landing-zone/design-area/multi-tenant/considerations-recommendations" TargetMode="External"/><Relationship Id="rId2313" Type="http://schemas.openxmlformats.org/officeDocument/2006/relationships/hyperlink" Target="https://learn.microsoft.com/azure/cloud-adoption-framework/ready/landing-zone/design-area/multi-tenant/considerations-recommendations" TargetMode="External"/><Relationship Id="rId2520" Type="http://schemas.openxmlformats.org/officeDocument/2006/relationships/hyperlink" Target="https://learn.microsoft.com/azure/storage/blobs/encryption-customer-provided-keys" TargetMode="External"/><Relationship Id="rId2758" Type="http://schemas.openxmlformats.org/officeDocument/2006/relationships/hyperlink" Target="https://learn.microsoft.com/azure/ai-services/content-safety/concepts/jailbreak-detection" TargetMode="External"/><Relationship Id="rId937" Type="http://schemas.openxmlformats.org/officeDocument/2006/relationships/hyperlink" Target="https://learn.microsoft.com/azure/cloud-adoption-framework/ready/landing-zone/design-area/multi-tenant/considerations-recommendations" TargetMode="External"/><Relationship Id="rId1122" Type="http://schemas.openxmlformats.org/officeDocument/2006/relationships/hyperlink" Target="https://learn.microsoft.com/azure/cloud-adoption-framework/ready/landing-zone/design-area/multi-tenant/considerations-recommendations" TargetMode="External"/><Relationship Id="rId1567" Type="http://schemas.openxmlformats.org/officeDocument/2006/relationships/hyperlink" Target="https://learn.microsoft.com/azure/cloud-adoption-framework/ready/landing-zone/design-area/multi-tenant/considerations-recommendations" TargetMode="External"/><Relationship Id="rId1774" Type="http://schemas.openxmlformats.org/officeDocument/2006/relationships/hyperlink" Target="https://learn.microsoft.com/azure/cloud-adoption-framework/ready/landing-zone/design-area/multi-tenant/considerations-recommendations" TargetMode="External"/><Relationship Id="rId1981" Type="http://schemas.openxmlformats.org/officeDocument/2006/relationships/hyperlink" Target="https://learn.microsoft.com/azure/cloud-adoption-framework/ready/landing-zone/design-area/multi-tenant/considerations-recommendations" TargetMode="External"/><Relationship Id="rId2618" Type="http://schemas.openxmlformats.org/officeDocument/2006/relationships/hyperlink" Target="https://learn.microsoft.com/azure/ai-studio/how-to/configure-managed-network?branch=main&amp;tabs=portal" TargetMode="External"/><Relationship Id="rId66" Type="http://schemas.openxmlformats.org/officeDocument/2006/relationships/hyperlink" Target="https://learn.microsoft.com/azure/cloud-adoption-framework/ready/landing-zone/design-area/multi-tenant/considerations-recommendations" TargetMode="External"/><Relationship Id="rId1427" Type="http://schemas.openxmlformats.org/officeDocument/2006/relationships/hyperlink" Target="https://learn.microsoft.com/azure/cloud-adoption-framework/ready/landing-zone/design-area/multi-tenant/considerations-recommendations" TargetMode="External"/><Relationship Id="rId1634" Type="http://schemas.openxmlformats.org/officeDocument/2006/relationships/hyperlink" Target="https://learn.microsoft.com/azure/cloud-adoption-framework/ready/landing-zone/design-area/multi-tenant/considerations-recommendations" TargetMode="External"/><Relationship Id="rId1841" Type="http://schemas.openxmlformats.org/officeDocument/2006/relationships/hyperlink" Target="https://learn.microsoft.com/azure/cloud-adoption-framework/ready/landing-zone/design-area/multi-tenant/considerations-recommendations" TargetMode="External"/><Relationship Id="rId1939" Type="http://schemas.openxmlformats.org/officeDocument/2006/relationships/hyperlink" Target="https://learn.microsoft.com/azure/cloud-adoption-framework/ready/landing-zone/design-area/multi-tenant/considerations-recommendations" TargetMode="External"/><Relationship Id="rId1701" Type="http://schemas.openxmlformats.org/officeDocument/2006/relationships/hyperlink" Target="https://learn.microsoft.com/azure/cloud-adoption-framework/ready/landing-zone/design-area/multi-tenant/considerations-recommendations" TargetMode="External"/><Relationship Id="rId282" Type="http://schemas.openxmlformats.org/officeDocument/2006/relationships/hyperlink" Target="https://learn.microsoft.com/azure/cloud-adoption-framework/ready/landing-zone/design-area/multi-tenant/considerations-recommendations" TargetMode="External"/><Relationship Id="rId587" Type="http://schemas.openxmlformats.org/officeDocument/2006/relationships/hyperlink" Target="https://learn.microsoft.com/azure/cloud-adoption-framework/ready/landing-zone/design-area/multi-tenant/considerations-recommendations" TargetMode="External"/><Relationship Id="rId2170" Type="http://schemas.openxmlformats.org/officeDocument/2006/relationships/hyperlink" Target="https://learn.microsoft.com/azure/cloud-adoption-framework/ready/landing-zone/design-area/multi-tenant/considerations-recommendations" TargetMode="External"/><Relationship Id="rId2268" Type="http://schemas.openxmlformats.org/officeDocument/2006/relationships/hyperlink" Target="https://learn.microsoft.com/azure/cloud-adoption-framework/ready/landing-zone/design-area/multi-tenant/considerations-recommendations" TargetMode="External"/><Relationship Id="rId8" Type="http://schemas.openxmlformats.org/officeDocument/2006/relationships/hyperlink" Target="https://learn.microsoft.com/azure/cloud-adoption-framework/ready/landing-zone/design-area/multi-tenant/considerations-recommendations" TargetMode="External"/><Relationship Id="rId142" Type="http://schemas.openxmlformats.org/officeDocument/2006/relationships/hyperlink" Target="https://learn.microsoft.com/azure/cloud-adoption-framework/ready/landing-zone/design-area/multi-tenant/considerations-recommendations" TargetMode="External"/><Relationship Id="rId447" Type="http://schemas.openxmlformats.org/officeDocument/2006/relationships/hyperlink" Target="https://learn.microsoft.com/azure/cloud-adoption-framework/ready/landing-zone/design-area/multi-tenant/considerations-recommendations" TargetMode="External"/><Relationship Id="rId794" Type="http://schemas.openxmlformats.org/officeDocument/2006/relationships/hyperlink" Target="https://learn.microsoft.com/azure/cloud-adoption-framework/ready/landing-zone/design-area/multi-tenant/considerations-recommendations" TargetMode="External"/><Relationship Id="rId1077" Type="http://schemas.openxmlformats.org/officeDocument/2006/relationships/hyperlink" Target="https://learn.microsoft.com/azure/cloud-adoption-framework/ready/landing-zone/design-area/multi-tenant/considerations-recommendations" TargetMode="External"/><Relationship Id="rId2030" Type="http://schemas.openxmlformats.org/officeDocument/2006/relationships/hyperlink" Target="https://learn.microsoft.com/azure/cloud-adoption-framework/ready/landing-zone/design-area/multi-tenant/considerations-recommendations" TargetMode="External"/><Relationship Id="rId2128" Type="http://schemas.openxmlformats.org/officeDocument/2006/relationships/hyperlink" Target="https://learn.microsoft.com/azure/cloud-adoption-framework/ready/landing-zone/design-area/multi-tenant/considerations-recommendations" TargetMode="External"/><Relationship Id="rId2475" Type="http://schemas.openxmlformats.org/officeDocument/2006/relationships/hyperlink" Target="https://learn.microsoft.com/azure/frontdoor/best-practices" TargetMode="External"/><Relationship Id="rId2682" Type="http://schemas.openxmlformats.org/officeDocument/2006/relationships/hyperlink" Target="https://learn.microsoft.com/azure/ai-services/openai/how-to/business-continuity-disaster-recovery" TargetMode="External"/><Relationship Id="rId654" Type="http://schemas.openxmlformats.org/officeDocument/2006/relationships/hyperlink" Target="https://learn.microsoft.com/azure/cloud-adoption-framework/ready/landing-zone/design-area/multi-tenant/considerations-recommendations" TargetMode="External"/><Relationship Id="rId861" Type="http://schemas.openxmlformats.org/officeDocument/2006/relationships/hyperlink" Target="https://learn.microsoft.com/azure/cloud-adoption-framework/ready/landing-zone/design-area/multi-tenant/considerations-recommendations" TargetMode="External"/><Relationship Id="rId959" Type="http://schemas.openxmlformats.org/officeDocument/2006/relationships/hyperlink" Target="https://learn.microsoft.com/azure/cloud-adoption-framework/ready/landing-zone/design-area/multi-tenant/considerations-recommendations" TargetMode="External"/><Relationship Id="rId1284" Type="http://schemas.openxmlformats.org/officeDocument/2006/relationships/hyperlink" Target="https://learn.microsoft.com/azure/cloud-adoption-framework/ready/landing-zone/design-area/multi-tenant/considerations-recommendations" TargetMode="External"/><Relationship Id="rId1491" Type="http://schemas.openxmlformats.org/officeDocument/2006/relationships/hyperlink" Target="https://learn.microsoft.com/azure/cloud-adoption-framework/ready/landing-zone/design-area/multi-tenant/considerations-recommendations" TargetMode="External"/><Relationship Id="rId1589" Type="http://schemas.openxmlformats.org/officeDocument/2006/relationships/hyperlink" Target="https://learn.microsoft.com/azure/cloud-adoption-framework/ready/landing-zone/design-area/multi-tenant/considerations-recommendations" TargetMode="External"/><Relationship Id="rId2335" Type="http://schemas.openxmlformats.org/officeDocument/2006/relationships/hyperlink" Target="https://learn.microsoft.com/azure/cloud-adoption-framework/ready/landing-zone/design-area/multi-tenant/considerations-recommendations" TargetMode="External"/><Relationship Id="rId2542" Type="http://schemas.openxmlformats.org/officeDocument/2006/relationships/hyperlink" Target="https://learn.microsoft.com/azure/load-balancer/load-balancer-standard-availability-zones" TargetMode="External"/><Relationship Id="rId307" Type="http://schemas.openxmlformats.org/officeDocument/2006/relationships/hyperlink" Target="https://learn.microsoft.com/azure/cloud-adoption-framework/ready/landing-zone/design-area/multi-tenant/considerations-recommendations" TargetMode="External"/><Relationship Id="rId514" Type="http://schemas.openxmlformats.org/officeDocument/2006/relationships/hyperlink" Target="https://learn.microsoft.com/azure/cloud-adoption-framework/ready/landing-zone/design-area/multi-tenant/considerations-recommendations" TargetMode="External"/><Relationship Id="rId721" Type="http://schemas.openxmlformats.org/officeDocument/2006/relationships/hyperlink" Target="https://learn.microsoft.com/azure/cloud-adoption-framework/ready/landing-zone/design-area/multi-tenant/considerations-recommendations" TargetMode="External"/><Relationship Id="rId1144" Type="http://schemas.openxmlformats.org/officeDocument/2006/relationships/hyperlink" Target="https://learn.microsoft.com/azure/cloud-adoption-framework/ready/landing-zone/design-area/multi-tenant/considerations-recommendations" TargetMode="External"/><Relationship Id="rId1351" Type="http://schemas.openxmlformats.org/officeDocument/2006/relationships/hyperlink" Target="https://learn.microsoft.com/azure/cloud-adoption-framework/ready/landing-zone/design-area/multi-tenant/considerations-recommendations" TargetMode="External"/><Relationship Id="rId1449" Type="http://schemas.openxmlformats.org/officeDocument/2006/relationships/hyperlink" Target="https://learn.microsoft.com/azure/cloud-adoption-framework/ready/landing-zone/design-area/multi-tenant/considerations-recommendations" TargetMode="External"/><Relationship Id="rId1796" Type="http://schemas.openxmlformats.org/officeDocument/2006/relationships/hyperlink" Target="https://learn.microsoft.com/azure/cloud-adoption-framework/ready/landing-zone/design-area/multi-tenant/considerations-recommendations" TargetMode="External"/><Relationship Id="rId2402" Type="http://schemas.openxmlformats.org/officeDocument/2006/relationships/hyperlink" Target="https://learn.microsoft.com/security/benchmark/azure/baselines/api-management-security-baseline?toc=%2Fazure%2Fapi-management%2F&amp;bc=%2Fazure%2Fapi-management%2Fbreadcrumb%2Ftoc.json" TargetMode="External"/><Relationship Id="rId88" Type="http://schemas.openxmlformats.org/officeDocument/2006/relationships/hyperlink" Target="https://learn.microsoft.com/azure/cloud-adoption-framework/ready/landing-zone/design-area/multi-tenant/considerations-recommendations" TargetMode="External"/><Relationship Id="rId819" Type="http://schemas.openxmlformats.org/officeDocument/2006/relationships/hyperlink" Target="https://learn.microsoft.com/azure/cloud-adoption-framework/ready/landing-zone/design-area/multi-tenant/considerations-recommendations" TargetMode="External"/><Relationship Id="rId1004" Type="http://schemas.openxmlformats.org/officeDocument/2006/relationships/hyperlink" Target="https://learn.microsoft.com/azure/cloud-adoption-framework/ready/landing-zone/design-area/multi-tenant/considerations-recommendations" TargetMode="External"/><Relationship Id="rId1211" Type="http://schemas.openxmlformats.org/officeDocument/2006/relationships/hyperlink" Target="https://learn.microsoft.com/azure/cloud-adoption-framework/ready/landing-zone/design-area/multi-tenant/considerations-recommendations" TargetMode="External"/><Relationship Id="rId1656" Type="http://schemas.openxmlformats.org/officeDocument/2006/relationships/hyperlink" Target="https://learn.microsoft.com/azure/cloud-adoption-framework/ready/landing-zone/design-area/multi-tenant/considerations-recommendations" TargetMode="External"/><Relationship Id="rId1863" Type="http://schemas.openxmlformats.org/officeDocument/2006/relationships/hyperlink" Target="https://learn.microsoft.com/azure/cloud-adoption-framework/ready/landing-zone/design-area/multi-tenant/considerations-recommendations" TargetMode="External"/><Relationship Id="rId2707" Type="http://schemas.openxmlformats.org/officeDocument/2006/relationships/hyperlink" Target="https://azure.microsoft.com/pricing/details/cognitive-services/openai-service/" TargetMode="External"/><Relationship Id="rId1309" Type="http://schemas.openxmlformats.org/officeDocument/2006/relationships/hyperlink" Target="https://learn.microsoft.com/azure/cloud-adoption-framework/ready/landing-zone/design-area/multi-tenant/considerations-recommendations" TargetMode="External"/><Relationship Id="rId1516" Type="http://schemas.openxmlformats.org/officeDocument/2006/relationships/hyperlink" Target="https://learn.microsoft.com/azure/cloud-adoption-framework/ready/landing-zone/design-area/multi-tenant/considerations-recommendations" TargetMode="External"/><Relationship Id="rId1723" Type="http://schemas.openxmlformats.org/officeDocument/2006/relationships/hyperlink" Target="https://learn.microsoft.com/azure/cloud-adoption-framework/ready/landing-zone/design-area/multi-tenant/considerations-recommendations" TargetMode="External"/><Relationship Id="rId1930" Type="http://schemas.openxmlformats.org/officeDocument/2006/relationships/hyperlink" Target="https://learn.microsoft.com/azure/cloud-adoption-framework/ready/landing-zone/design-area/multi-tenant/considerations-recommendations" TargetMode="External"/><Relationship Id="rId15" Type="http://schemas.openxmlformats.org/officeDocument/2006/relationships/hyperlink" Target="https://learn.microsoft.com/azure/cloud-adoption-framework/ready/landing-zone/design-area/multi-tenant/considerations-recommendations" TargetMode="External"/><Relationship Id="rId2192" Type="http://schemas.openxmlformats.org/officeDocument/2006/relationships/hyperlink" Target="https://learn.microsoft.com/azure/cloud-adoption-framework/ready/landing-zone/design-area/multi-tenant/considerations-recommendations" TargetMode="External"/><Relationship Id="rId164" Type="http://schemas.openxmlformats.org/officeDocument/2006/relationships/hyperlink" Target="https://learn.microsoft.com/azure/cloud-adoption-framework/ready/landing-zone/design-area/multi-tenant/considerations-recommendations" TargetMode="External"/><Relationship Id="rId371" Type="http://schemas.openxmlformats.org/officeDocument/2006/relationships/hyperlink" Target="https://learn.microsoft.com/azure/cloud-adoption-framework/ready/landing-zone/design-area/multi-tenant/considerations-recommendations" TargetMode="External"/><Relationship Id="rId2052" Type="http://schemas.openxmlformats.org/officeDocument/2006/relationships/hyperlink" Target="https://learn.microsoft.com/azure/cloud-adoption-framework/ready/landing-zone/design-area/multi-tenant/considerations-recommendations" TargetMode="External"/><Relationship Id="rId2497" Type="http://schemas.openxmlformats.org/officeDocument/2006/relationships/hyperlink" Target="https://learn.microsoft.com/azure/storage/blobs/soft-delete-container-enable" TargetMode="External"/><Relationship Id="rId469" Type="http://schemas.openxmlformats.org/officeDocument/2006/relationships/hyperlink" Target="https://learn.microsoft.com/azure/cloud-adoption-framework/ready/landing-zone/design-area/multi-tenant/considerations-recommendations" TargetMode="External"/><Relationship Id="rId676" Type="http://schemas.openxmlformats.org/officeDocument/2006/relationships/hyperlink" Target="https://learn.microsoft.com/azure/cloud-adoption-framework/ready/landing-zone/design-area/multi-tenant/considerations-recommendations" TargetMode="External"/><Relationship Id="rId883" Type="http://schemas.openxmlformats.org/officeDocument/2006/relationships/hyperlink" Target="https://learn.microsoft.com/azure/cloud-adoption-framework/ready/landing-zone/design-area/multi-tenant/considerations-recommendations" TargetMode="External"/><Relationship Id="rId1099" Type="http://schemas.openxmlformats.org/officeDocument/2006/relationships/hyperlink" Target="https://learn.microsoft.com/azure/cloud-adoption-framework/ready/landing-zone/design-area/multi-tenant/considerations-recommendations" TargetMode="External"/><Relationship Id="rId2357" Type="http://schemas.openxmlformats.org/officeDocument/2006/relationships/hyperlink" Target="https://learn.microsoft.com/azure/virtual-machines/availability" TargetMode="External"/><Relationship Id="rId2564" Type="http://schemas.openxmlformats.org/officeDocument/2006/relationships/hyperlink" Target="https://learn.microsoft.com/azure/frontdoor/best-practices" TargetMode="External"/><Relationship Id="rId231" Type="http://schemas.openxmlformats.org/officeDocument/2006/relationships/hyperlink" Target="https://learn.microsoft.com/azure/cloud-adoption-framework/ready/landing-zone/design-area/multi-tenant/considerations-recommendations" TargetMode="External"/><Relationship Id="rId329" Type="http://schemas.openxmlformats.org/officeDocument/2006/relationships/hyperlink" Target="https://learn.microsoft.com/azure/cloud-adoption-framework/ready/landing-zone/design-area/multi-tenant/considerations-recommendations" TargetMode="External"/><Relationship Id="rId536" Type="http://schemas.openxmlformats.org/officeDocument/2006/relationships/hyperlink" Target="https://learn.microsoft.com/azure/cloud-adoption-framework/ready/landing-zone/design-area/multi-tenant/considerations-recommendations" TargetMode="External"/><Relationship Id="rId1166" Type="http://schemas.openxmlformats.org/officeDocument/2006/relationships/hyperlink" Target="https://learn.microsoft.com/azure/cloud-adoption-framework/ready/landing-zone/design-area/multi-tenant/considerations-recommendations" TargetMode="External"/><Relationship Id="rId1373" Type="http://schemas.openxmlformats.org/officeDocument/2006/relationships/hyperlink" Target="https://learn.microsoft.com/azure/cloud-adoption-framework/ready/landing-zone/design-area/multi-tenant/considerations-recommendations" TargetMode="External"/><Relationship Id="rId2217" Type="http://schemas.openxmlformats.org/officeDocument/2006/relationships/hyperlink" Target="https://learn.microsoft.com/azure/cloud-adoption-framework/ready/landing-zone/design-area/multi-tenant/considerations-recommendations" TargetMode="External"/><Relationship Id="rId2771" Type="http://schemas.openxmlformats.org/officeDocument/2006/relationships/ctrlProp" Target="../ctrlProps/ctrlProp4.xml"/><Relationship Id="rId743" Type="http://schemas.openxmlformats.org/officeDocument/2006/relationships/hyperlink" Target="https://learn.microsoft.com/azure/cloud-adoption-framework/ready/landing-zone/design-area/multi-tenant/considerations-recommendations" TargetMode="External"/><Relationship Id="rId950" Type="http://schemas.openxmlformats.org/officeDocument/2006/relationships/hyperlink" Target="https://learn.microsoft.com/azure/cloud-adoption-framework/ready/landing-zone/design-area/multi-tenant/considerations-recommendations" TargetMode="External"/><Relationship Id="rId1026" Type="http://schemas.openxmlformats.org/officeDocument/2006/relationships/hyperlink" Target="https://learn.microsoft.com/azure/cloud-adoption-framework/ready/landing-zone/design-area/multi-tenant/considerations-recommendations" TargetMode="External"/><Relationship Id="rId1580" Type="http://schemas.openxmlformats.org/officeDocument/2006/relationships/hyperlink" Target="https://learn.microsoft.com/azure/cloud-adoption-framework/ready/landing-zone/design-area/multi-tenant/considerations-recommendations" TargetMode="External"/><Relationship Id="rId1678" Type="http://schemas.openxmlformats.org/officeDocument/2006/relationships/hyperlink" Target="https://learn.microsoft.com/azure/cloud-adoption-framework/ready/landing-zone/design-area/multi-tenant/considerations-recommendations" TargetMode="External"/><Relationship Id="rId1885" Type="http://schemas.openxmlformats.org/officeDocument/2006/relationships/hyperlink" Target="https://learn.microsoft.com/azure/cloud-adoption-framework/ready/landing-zone/design-area/multi-tenant/considerations-recommendations" TargetMode="External"/><Relationship Id="rId2424" Type="http://schemas.openxmlformats.org/officeDocument/2006/relationships/hyperlink" Target="https://learn.microsoft.com/security/benchmark/azure/baselines/api-management-security-baseline?toc=%2Fazure%2Fapi-management%2F&amp;bc=%2Fazure%2Fapi-management%2Fbreadcrumb%2Ftoc.json" TargetMode="External"/><Relationship Id="rId2631" Type="http://schemas.openxmlformats.org/officeDocument/2006/relationships/hyperlink" Target="https://learn.microsoft.com/azure/backup/backup-overview" TargetMode="External"/><Relationship Id="rId2729" Type="http://schemas.openxmlformats.org/officeDocument/2006/relationships/hyperlink" Target="https://learn.microsoft.com/microsoft-365/compliance/compliance-manager-overview" TargetMode="External"/><Relationship Id="rId603" Type="http://schemas.openxmlformats.org/officeDocument/2006/relationships/hyperlink" Target="https://learn.microsoft.com/azure/cloud-adoption-framework/ready/landing-zone/design-area/multi-tenant/considerations-recommendations" TargetMode="External"/><Relationship Id="rId810" Type="http://schemas.openxmlformats.org/officeDocument/2006/relationships/hyperlink" Target="https://learn.microsoft.com/azure/cloud-adoption-framework/ready/landing-zone/design-area/multi-tenant/considerations-recommendations" TargetMode="External"/><Relationship Id="rId908" Type="http://schemas.openxmlformats.org/officeDocument/2006/relationships/hyperlink" Target="https://learn.microsoft.com/azure/cloud-adoption-framework/ready/landing-zone/design-area/multi-tenant/considerations-recommendations" TargetMode="External"/><Relationship Id="rId1233" Type="http://schemas.openxmlformats.org/officeDocument/2006/relationships/hyperlink" Target="https://learn.microsoft.com/azure/cloud-adoption-framework/ready/landing-zone/design-area/multi-tenant/considerations-recommendations" TargetMode="External"/><Relationship Id="rId1440" Type="http://schemas.openxmlformats.org/officeDocument/2006/relationships/hyperlink" Target="https://learn.microsoft.com/azure/cloud-adoption-framework/ready/landing-zone/design-area/multi-tenant/considerations-recommendations" TargetMode="External"/><Relationship Id="rId1538" Type="http://schemas.openxmlformats.org/officeDocument/2006/relationships/hyperlink" Target="https://learn.microsoft.com/azure/cloud-adoption-framework/ready/landing-zone/design-area/multi-tenant/considerations-recommendations" TargetMode="External"/><Relationship Id="rId1300" Type="http://schemas.openxmlformats.org/officeDocument/2006/relationships/hyperlink" Target="https://learn.microsoft.com/azure/cloud-adoption-framework/ready/landing-zone/design-area/multi-tenant/considerations-recommendations" TargetMode="External"/><Relationship Id="rId1745" Type="http://schemas.openxmlformats.org/officeDocument/2006/relationships/hyperlink" Target="https://learn.microsoft.com/azure/cloud-adoption-framework/ready/landing-zone/design-area/multi-tenant/considerations-recommendations" TargetMode="External"/><Relationship Id="rId1952" Type="http://schemas.openxmlformats.org/officeDocument/2006/relationships/hyperlink" Target="https://learn.microsoft.com/azure/cloud-adoption-framework/ready/landing-zone/design-area/multi-tenant/considerations-recommendations" TargetMode="External"/><Relationship Id="rId37" Type="http://schemas.openxmlformats.org/officeDocument/2006/relationships/hyperlink" Target="https://learn.microsoft.com/azure/cloud-adoption-framework/ready/landing-zone/design-area/multi-tenant/considerations-recommendations" TargetMode="External"/><Relationship Id="rId1605" Type="http://schemas.openxmlformats.org/officeDocument/2006/relationships/hyperlink" Target="https://learn.microsoft.com/azure/cloud-adoption-framework/ready/landing-zone/design-area/multi-tenant/considerations-recommendations" TargetMode="External"/><Relationship Id="rId1812" Type="http://schemas.openxmlformats.org/officeDocument/2006/relationships/hyperlink" Target="https://learn.microsoft.com/azure/cloud-adoption-framework/ready/landing-zone/design-area/multi-tenant/considerations-recommendations" TargetMode="External"/><Relationship Id="rId186" Type="http://schemas.openxmlformats.org/officeDocument/2006/relationships/hyperlink" Target="https://learn.microsoft.com/azure/cloud-adoption-framework/ready/landing-zone/design-area/multi-tenant/considerations-recommendations" TargetMode="External"/><Relationship Id="rId393" Type="http://schemas.openxmlformats.org/officeDocument/2006/relationships/hyperlink" Target="https://learn.microsoft.com/azure/cloud-adoption-framework/ready/landing-zone/design-area/multi-tenant/considerations-recommendations" TargetMode="External"/><Relationship Id="rId2074" Type="http://schemas.openxmlformats.org/officeDocument/2006/relationships/hyperlink" Target="https://learn.microsoft.com/azure/cloud-adoption-framework/ready/landing-zone/design-area/multi-tenant/considerations-recommendations" TargetMode="External"/><Relationship Id="rId2281" Type="http://schemas.openxmlformats.org/officeDocument/2006/relationships/hyperlink" Target="https://learn.microsoft.com/azure/cloud-adoption-framework/ready/landing-zone/design-area/multi-tenant/considerations-recommendations" TargetMode="External"/><Relationship Id="rId253" Type="http://schemas.openxmlformats.org/officeDocument/2006/relationships/hyperlink" Target="https://learn.microsoft.com/azure/cloud-adoption-framework/ready/landing-zone/design-area/multi-tenant/considerations-recommendations" TargetMode="External"/><Relationship Id="rId460" Type="http://schemas.openxmlformats.org/officeDocument/2006/relationships/hyperlink" Target="https://learn.microsoft.com/azure/cloud-adoption-framework/ready/landing-zone/design-area/multi-tenant/considerations-recommendations" TargetMode="External"/><Relationship Id="rId698" Type="http://schemas.openxmlformats.org/officeDocument/2006/relationships/hyperlink" Target="https://learn.microsoft.com/azure/cloud-adoption-framework/ready/landing-zone/design-area/multi-tenant/considerations-recommendations" TargetMode="External"/><Relationship Id="rId1090" Type="http://schemas.openxmlformats.org/officeDocument/2006/relationships/hyperlink" Target="https://learn.microsoft.com/azure/cloud-adoption-framework/ready/landing-zone/design-area/multi-tenant/considerations-recommendations" TargetMode="External"/><Relationship Id="rId2141" Type="http://schemas.openxmlformats.org/officeDocument/2006/relationships/hyperlink" Target="https://learn.microsoft.com/azure/cloud-adoption-framework/ready/landing-zone/design-area/multi-tenant/considerations-recommendations" TargetMode="External"/><Relationship Id="rId2379" Type="http://schemas.openxmlformats.org/officeDocument/2006/relationships/hyperlink" Target="https://learn.microsoft.com/en-us/azure/security/fundamentals/customer-lockbox-overview" TargetMode="External"/><Relationship Id="rId2586" Type="http://schemas.openxmlformats.org/officeDocument/2006/relationships/hyperlink" Target="https://learn.microsoft.com/azure/azure-cache-for-redis/cache-how-to-premium-persistence?tabs=premium" TargetMode="External"/><Relationship Id="rId113" Type="http://schemas.openxmlformats.org/officeDocument/2006/relationships/hyperlink" Target="https://learn.microsoft.com/azure/cloud-adoption-framework/ready/landing-zone/design-area/multi-tenant/considerations-recommendations" TargetMode="External"/><Relationship Id="rId320" Type="http://schemas.openxmlformats.org/officeDocument/2006/relationships/hyperlink" Target="https://learn.microsoft.com/azure/cloud-adoption-framework/ready/landing-zone/design-area/multi-tenant/considerations-recommendations" TargetMode="External"/><Relationship Id="rId558" Type="http://schemas.openxmlformats.org/officeDocument/2006/relationships/hyperlink" Target="https://learn.microsoft.com/azure/cloud-adoption-framework/ready/landing-zone/design-area/multi-tenant/considerations-recommendations" TargetMode="External"/><Relationship Id="rId765" Type="http://schemas.openxmlformats.org/officeDocument/2006/relationships/hyperlink" Target="https://learn.microsoft.com/azure/cloud-adoption-framework/ready/landing-zone/design-area/multi-tenant/considerations-recommendations" TargetMode="External"/><Relationship Id="rId972" Type="http://schemas.openxmlformats.org/officeDocument/2006/relationships/hyperlink" Target="https://learn.microsoft.com/azure/cloud-adoption-framework/ready/landing-zone/design-area/multi-tenant/considerations-recommendations" TargetMode="External"/><Relationship Id="rId1188" Type="http://schemas.openxmlformats.org/officeDocument/2006/relationships/hyperlink" Target="https://learn.microsoft.com/azure/cloud-adoption-framework/ready/landing-zone/design-area/multi-tenant/considerations-recommendations" TargetMode="External"/><Relationship Id="rId1395" Type="http://schemas.openxmlformats.org/officeDocument/2006/relationships/hyperlink" Target="https://learn.microsoft.com/azure/cloud-adoption-framework/ready/landing-zone/design-area/multi-tenant/considerations-recommendations" TargetMode="External"/><Relationship Id="rId2001" Type="http://schemas.openxmlformats.org/officeDocument/2006/relationships/hyperlink" Target="https://learn.microsoft.com/azure/cloud-adoption-framework/ready/landing-zone/design-area/multi-tenant/considerations-recommendations" TargetMode="External"/><Relationship Id="rId2239" Type="http://schemas.openxmlformats.org/officeDocument/2006/relationships/hyperlink" Target="https://learn.microsoft.com/azure/cloud-adoption-framework/ready/landing-zone/design-area/multi-tenant/considerations-recommendations" TargetMode="External"/><Relationship Id="rId2446" Type="http://schemas.openxmlformats.org/officeDocument/2006/relationships/hyperlink" Target="https://learn.microsoft.com/azure/app-service/configure-common" TargetMode="External"/><Relationship Id="rId2653" Type="http://schemas.openxmlformats.org/officeDocument/2006/relationships/hyperlink" Target="https://learn.microsoft.com/azure/ai-services/openai/concepts/provisioned-throughput" TargetMode="External"/><Relationship Id="rId418" Type="http://schemas.openxmlformats.org/officeDocument/2006/relationships/hyperlink" Target="https://learn.microsoft.com/azure/cloud-adoption-framework/ready/landing-zone/design-area/multi-tenant/considerations-recommendations" TargetMode="External"/><Relationship Id="rId625" Type="http://schemas.openxmlformats.org/officeDocument/2006/relationships/hyperlink" Target="https://learn.microsoft.com/azure/cloud-adoption-framework/ready/landing-zone/design-area/multi-tenant/considerations-recommendations" TargetMode="External"/><Relationship Id="rId832" Type="http://schemas.openxmlformats.org/officeDocument/2006/relationships/hyperlink" Target="https://learn.microsoft.com/azure/cloud-adoption-framework/ready/landing-zone/design-area/multi-tenant/considerations-recommendations" TargetMode="External"/><Relationship Id="rId1048" Type="http://schemas.openxmlformats.org/officeDocument/2006/relationships/hyperlink" Target="https://learn.microsoft.com/azure/cloud-adoption-framework/ready/landing-zone/design-area/multi-tenant/considerations-recommendations" TargetMode="External"/><Relationship Id="rId1255" Type="http://schemas.openxmlformats.org/officeDocument/2006/relationships/hyperlink" Target="https://learn.microsoft.com/azure/cloud-adoption-framework/ready/landing-zone/design-area/multi-tenant/considerations-recommendations" TargetMode="External"/><Relationship Id="rId1462" Type="http://schemas.openxmlformats.org/officeDocument/2006/relationships/hyperlink" Target="https://learn.microsoft.com/azure/cloud-adoption-framework/ready/landing-zone/design-area/multi-tenant/considerations-recommendations" TargetMode="External"/><Relationship Id="rId2306" Type="http://schemas.openxmlformats.org/officeDocument/2006/relationships/hyperlink" Target="https://learn.microsoft.com/azure/cloud-adoption-framework/ready/landing-zone/design-area/multi-tenant/considerations-recommendations" TargetMode="External"/><Relationship Id="rId2513" Type="http://schemas.openxmlformats.org/officeDocument/2006/relationships/hyperlink" Target="https://learn.microsoft.com/rest/api/storageservices/delegate-access-with-shared-access-signature" TargetMode="External"/><Relationship Id="rId1115" Type="http://schemas.openxmlformats.org/officeDocument/2006/relationships/hyperlink" Target="https://learn.microsoft.com/azure/cloud-adoption-framework/ready/landing-zone/design-area/multi-tenant/considerations-recommendations" TargetMode="External"/><Relationship Id="rId1322" Type="http://schemas.openxmlformats.org/officeDocument/2006/relationships/hyperlink" Target="https://learn.microsoft.com/azure/cloud-adoption-framework/ready/landing-zone/design-area/multi-tenant/considerations-recommendations" TargetMode="External"/><Relationship Id="rId1767" Type="http://schemas.openxmlformats.org/officeDocument/2006/relationships/hyperlink" Target="https://learn.microsoft.com/azure/cloud-adoption-framework/ready/landing-zone/design-area/multi-tenant/considerations-recommendations" TargetMode="External"/><Relationship Id="rId1974" Type="http://schemas.openxmlformats.org/officeDocument/2006/relationships/hyperlink" Target="https://learn.microsoft.com/azure/cloud-adoption-framework/ready/landing-zone/design-area/multi-tenant/considerations-recommendations" TargetMode="External"/><Relationship Id="rId2720" Type="http://schemas.openxmlformats.org/officeDocument/2006/relationships/hyperlink" Target="https://learn.microsoft.com/azure/ai-services/language-service/personally-identifiable-information/concepts/entity-categories" TargetMode="External"/><Relationship Id="rId59" Type="http://schemas.openxmlformats.org/officeDocument/2006/relationships/hyperlink" Target="https://learn.microsoft.com/azure/cloud-adoption-framework/ready/landing-zone/design-area/multi-tenant/considerations-recommendations" TargetMode="External"/><Relationship Id="rId1627" Type="http://schemas.openxmlformats.org/officeDocument/2006/relationships/hyperlink" Target="https://learn.microsoft.com/azure/cloud-adoption-framework/ready/landing-zone/design-area/multi-tenant/considerations-recommendations" TargetMode="External"/><Relationship Id="rId1834" Type="http://schemas.openxmlformats.org/officeDocument/2006/relationships/hyperlink" Target="https://learn.microsoft.com/azure/cloud-adoption-framework/ready/landing-zone/design-area/multi-tenant/considerations-recommendations" TargetMode="External"/><Relationship Id="rId2096" Type="http://schemas.openxmlformats.org/officeDocument/2006/relationships/hyperlink" Target="https://learn.microsoft.com/azure/cloud-adoption-framework/ready/landing-zone/design-area/multi-tenant/considerations-recommendations" TargetMode="External"/><Relationship Id="rId1901" Type="http://schemas.openxmlformats.org/officeDocument/2006/relationships/hyperlink" Target="https://learn.microsoft.com/azure/cloud-adoption-framework/ready/landing-zone/design-area/multi-tenant/considerations-recommendations" TargetMode="External"/><Relationship Id="rId275" Type="http://schemas.openxmlformats.org/officeDocument/2006/relationships/hyperlink" Target="https://learn.microsoft.com/azure/cloud-adoption-framework/ready/landing-zone/design-area/multi-tenant/considerations-recommendations" TargetMode="External"/><Relationship Id="rId482" Type="http://schemas.openxmlformats.org/officeDocument/2006/relationships/hyperlink" Target="https://learn.microsoft.com/azure/cloud-adoption-framework/ready/landing-zone/design-area/multi-tenant/considerations-recommendations" TargetMode="External"/><Relationship Id="rId2163" Type="http://schemas.openxmlformats.org/officeDocument/2006/relationships/hyperlink" Target="https://learn.microsoft.com/azure/cloud-adoption-framework/ready/landing-zone/design-area/multi-tenant/considerations-recommendations" TargetMode="External"/><Relationship Id="rId2370" Type="http://schemas.openxmlformats.org/officeDocument/2006/relationships/hyperlink" Target="https://learn.microsoft.com/en-us/industry/sovereignty/key-management" TargetMode="External"/><Relationship Id="rId135" Type="http://schemas.openxmlformats.org/officeDocument/2006/relationships/hyperlink" Target="https://learn.microsoft.com/azure/cloud-adoption-framework/ready/landing-zone/design-area/multi-tenant/considerations-recommendations" TargetMode="External"/><Relationship Id="rId342" Type="http://schemas.openxmlformats.org/officeDocument/2006/relationships/hyperlink" Target="https://learn.microsoft.com/azure/cloud-adoption-framework/ready/landing-zone/design-area/multi-tenant/considerations-recommendations" TargetMode="External"/><Relationship Id="rId787" Type="http://schemas.openxmlformats.org/officeDocument/2006/relationships/hyperlink" Target="https://learn.microsoft.com/azure/cloud-adoption-framework/ready/landing-zone/design-area/multi-tenant/considerations-recommendations" TargetMode="External"/><Relationship Id="rId994" Type="http://schemas.openxmlformats.org/officeDocument/2006/relationships/hyperlink" Target="https://learn.microsoft.com/azure/cloud-adoption-framework/ready/landing-zone/design-area/multi-tenant/considerations-recommendations" TargetMode="External"/><Relationship Id="rId2023" Type="http://schemas.openxmlformats.org/officeDocument/2006/relationships/hyperlink" Target="https://learn.microsoft.com/azure/cloud-adoption-framework/ready/landing-zone/design-area/multi-tenant/considerations-recommendations" TargetMode="External"/><Relationship Id="rId2230" Type="http://schemas.openxmlformats.org/officeDocument/2006/relationships/hyperlink" Target="https://learn.microsoft.com/azure/cloud-adoption-framework/ready/landing-zone/design-area/multi-tenant/considerations-recommendations" TargetMode="External"/><Relationship Id="rId2468" Type="http://schemas.openxmlformats.org/officeDocument/2006/relationships/hyperlink" Target="https://learn.microsoft.com/learn/paths/implement-resource-mgmt-security/" TargetMode="External"/><Relationship Id="rId2675" Type="http://schemas.openxmlformats.org/officeDocument/2006/relationships/hyperlink" Target="https://learn.microsoft.com/azure/search/search-reliability" TargetMode="External"/><Relationship Id="rId202" Type="http://schemas.openxmlformats.org/officeDocument/2006/relationships/hyperlink" Target="https://learn.microsoft.com/azure/cloud-adoption-framework/ready/landing-zone/design-area/multi-tenant/considerations-recommendations" TargetMode="External"/><Relationship Id="rId647" Type="http://schemas.openxmlformats.org/officeDocument/2006/relationships/hyperlink" Target="https://learn.microsoft.com/azure/cloud-adoption-framework/ready/landing-zone/design-area/multi-tenant/considerations-recommendations" TargetMode="External"/><Relationship Id="rId854" Type="http://schemas.openxmlformats.org/officeDocument/2006/relationships/hyperlink" Target="https://learn.microsoft.com/azure/cloud-adoption-framework/ready/landing-zone/design-area/multi-tenant/considerations-recommendations" TargetMode="External"/><Relationship Id="rId1277" Type="http://schemas.openxmlformats.org/officeDocument/2006/relationships/hyperlink" Target="https://learn.microsoft.com/azure/cloud-adoption-framework/ready/landing-zone/design-area/multi-tenant/considerations-recommendations" TargetMode="External"/><Relationship Id="rId1484" Type="http://schemas.openxmlformats.org/officeDocument/2006/relationships/hyperlink" Target="https://learn.microsoft.com/azure/cloud-adoption-framework/ready/landing-zone/design-area/multi-tenant/considerations-recommendations" TargetMode="External"/><Relationship Id="rId1691" Type="http://schemas.openxmlformats.org/officeDocument/2006/relationships/hyperlink" Target="https://learn.microsoft.com/azure/cloud-adoption-framework/ready/landing-zone/design-area/multi-tenant/considerations-recommendations" TargetMode="External"/><Relationship Id="rId2328" Type="http://schemas.openxmlformats.org/officeDocument/2006/relationships/hyperlink" Target="https://learn.microsoft.com/azure/cloud-adoption-framework/ready/landing-zone/design-area/multi-tenant/considerations-recommendations" TargetMode="External"/><Relationship Id="rId2535" Type="http://schemas.openxmlformats.org/officeDocument/2006/relationships/hyperlink" Target="https://learn.microsoft.com/learn/modules/azure-ad-privileged-identity-management/" TargetMode="External"/><Relationship Id="rId2742" Type="http://schemas.openxmlformats.org/officeDocument/2006/relationships/hyperlink" Target="https://learn.microsoft.com/azure/compliance/" TargetMode="External"/><Relationship Id="rId507" Type="http://schemas.openxmlformats.org/officeDocument/2006/relationships/hyperlink" Target="https://learn.microsoft.com/azure/cloud-adoption-framework/ready/landing-zone/design-area/multi-tenant/considerations-recommendations" TargetMode="External"/><Relationship Id="rId714" Type="http://schemas.openxmlformats.org/officeDocument/2006/relationships/hyperlink" Target="https://learn.microsoft.com/azure/cloud-adoption-framework/ready/landing-zone/design-area/multi-tenant/considerations-recommendations" TargetMode="External"/><Relationship Id="rId921" Type="http://schemas.openxmlformats.org/officeDocument/2006/relationships/hyperlink" Target="https://learn.microsoft.com/azure/cloud-adoption-framework/ready/landing-zone/design-area/multi-tenant/considerations-recommendations" TargetMode="External"/><Relationship Id="rId1137" Type="http://schemas.openxmlformats.org/officeDocument/2006/relationships/hyperlink" Target="https://learn.microsoft.com/azure/cloud-adoption-framework/ready/landing-zone/design-area/multi-tenant/considerations-recommendations" TargetMode="External"/><Relationship Id="rId1344" Type="http://schemas.openxmlformats.org/officeDocument/2006/relationships/hyperlink" Target="https://learn.microsoft.com/azure/cloud-adoption-framework/ready/landing-zone/design-area/multi-tenant/considerations-recommendations" TargetMode="External"/><Relationship Id="rId1551" Type="http://schemas.openxmlformats.org/officeDocument/2006/relationships/hyperlink" Target="https://learn.microsoft.com/azure/cloud-adoption-framework/ready/landing-zone/design-area/multi-tenant/considerations-recommendations" TargetMode="External"/><Relationship Id="rId1789" Type="http://schemas.openxmlformats.org/officeDocument/2006/relationships/hyperlink" Target="https://learn.microsoft.com/azure/cloud-adoption-framework/ready/landing-zone/design-area/multi-tenant/considerations-recommendations" TargetMode="External"/><Relationship Id="rId1996" Type="http://schemas.openxmlformats.org/officeDocument/2006/relationships/hyperlink" Target="https://learn.microsoft.com/azure/cloud-adoption-framework/ready/landing-zone/design-area/multi-tenant/considerations-recommendations" TargetMode="External"/><Relationship Id="rId2602" Type="http://schemas.openxmlformats.org/officeDocument/2006/relationships/hyperlink" Target="https://learn.microsoft.com/azure/storage/blobs/soft-delete-container-enable" TargetMode="External"/><Relationship Id="rId50" Type="http://schemas.openxmlformats.org/officeDocument/2006/relationships/hyperlink" Target="https://learn.microsoft.com/azure/cloud-adoption-framework/ready/landing-zone/design-area/multi-tenant/considerations-recommendations" TargetMode="External"/><Relationship Id="rId1204" Type="http://schemas.openxmlformats.org/officeDocument/2006/relationships/hyperlink" Target="https://learn.microsoft.com/azure/cloud-adoption-framework/ready/landing-zone/design-area/multi-tenant/considerations-recommendations" TargetMode="External"/><Relationship Id="rId1411" Type="http://schemas.openxmlformats.org/officeDocument/2006/relationships/hyperlink" Target="https://learn.microsoft.com/azure/cloud-adoption-framework/ready/landing-zone/design-area/multi-tenant/considerations-recommendations" TargetMode="External"/><Relationship Id="rId1649" Type="http://schemas.openxmlformats.org/officeDocument/2006/relationships/hyperlink" Target="https://learn.microsoft.com/azure/cloud-adoption-framework/ready/landing-zone/design-area/multi-tenant/considerations-recommendations" TargetMode="External"/><Relationship Id="rId1856" Type="http://schemas.openxmlformats.org/officeDocument/2006/relationships/hyperlink" Target="https://learn.microsoft.com/azure/cloud-adoption-framework/ready/landing-zone/design-area/multi-tenant/considerations-recommendations" TargetMode="External"/><Relationship Id="rId1509" Type="http://schemas.openxmlformats.org/officeDocument/2006/relationships/hyperlink" Target="https://learn.microsoft.com/azure/cloud-adoption-framework/ready/landing-zone/design-area/multi-tenant/considerations-recommendations" TargetMode="External"/><Relationship Id="rId1716" Type="http://schemas.openxmlformats.org/officeDocument/2006/relationships/hyperlink" Target="https://learn.microsoft.com/azure/cloud-adoption-framework/ready/landing-zone/design-area/multi-tenant/considerations-recommendations" TargetMode="External"/><Relationship Id="rId1923" Type="http://schemas.openxmlformats.org/officeDocument/2006/relationships/hyperlink" Target="https://learn.microsoft.com/azure/cloud-adoption-framework/ready/landing-zone/design-area/multi-tenant/considerations-recommendations" TargetMode="External"/><Relationship Id="rId297" Type="http://schemas.openxmlformats.org/officeDocument/2006/relationships/hyperlink" Target="https://learn.microsoft.com/azure/cloud-adoption-framework/ready/landing-zone/design-area/multi-tenant/considerations-recommendations" TargetMode="External"/><Relationship Id="rId2185" Type="http://schemas.openxmlformats.org/officeDocument/2006/relationships/hyperlink" Target="https://learn.microsoft.com/azure/cloud-adoption-framework/ready/landing-zone/design-area/multi-tenant/considerations-recommendations" TargetMode="External"/><Relationship Id="rId2392" Type="http://schemas.openxmlformats.org/officeDocument/2006/relationships/hyperlink" Target="https://learn.microsoft.com/security/benchmark/azure/baselines/api-management-security-baseline?toc=%2Fazure%2Fapi-management%2F&amp;bc=%2Fazure%2Fapi-management%2Fbreadcrumb%2Ftoc.json" TargetMode="External"/><Relationship Id="rId157" Type="http://schemas.openxmlformats.org/officeDocument/2006/relationships/hyperlink" Target="https://learn.microsoft.com/azure/cloud-adoption-framework/ready/landing-zone/design-area/multi-tenant/considerations-recommendations" TargetMode="External"/><Relationship Id="rId364" Type="http://schemas.openxmlformats.org/officeDocument/2006/relationships/hyperlink" Target="https://learn.microsoft.com/azure/cloud-adoption-framework/ready/landing-zone/design-area/multi-tenant/considerations-recommendations" TargetMode="External"/><Relationship Id="rId2045" Type="http://schemas.openxmlformats.org/officeDocument/2006/relationships/hyperlink" Target="https://learn.microsoft.com/azure/cloud-adoption-framework/ready/landing-zone/design-area/multi-tenant/considerations-recommendations" TargetMode="External"/><Relationship Id="rId2697" Type="http://schemas.openxmlformats.org/officeDocument/2006/relationships/hyperlink" Target="https://www.microsoft.com/research/blog/llmlingua-innovating-llm-efficiency-with-prompt-compression/" TargetMode="External"/><Relationship Id="rId571" Type="http://schemas.openxmlformats.org/officeDocument/2006/relationships/hyperlink" Target="https://learn.microsoft.com/azure/cloud-adoption-framework/ready/landing-zone/design-area/multi-tenant/considerations-recommendations" TargetMode="External"/><Relationship Id="rId669" Type="http://schemas.openxmlformats.org/officeDocument/2006/relationships/hyperlink" Target="https://learn.microsoft.com/azure/cloud-adoption-framework/ready/landing-zone/design-area/multi-tenant/considerations-recommendations" TargetMode="External"/><Relationship Id="rId876" Type="http://schemas.openxmlformats.org/officeDocument/2006/relationships/hyperlink" Target="https://learn.microsoft.com/azure/cloud-adoption-framework/ready/landing-zone/design-area/multi-tenant/considerations-recommendations" TargetMode="External"/><Relationship Id="rId1299" Type="http://schemas.openxmlformats.org/officeDocument/2006/relationships/hyperlink" Target="https://learn.microsoft.com/azure/cloud-adoption-framework/ready/landing-zone/design-area/multi-tenant/considerations-recommendations" TargetMode="External"/><Relationship Id="rId2252" Type="http://schemas.openxmlformats.org/officeDocument/2006/relationships/hyperlink" Target="https://learn.microsoft.com/azure/cloud-adoption-framework/ready/landing-zone/design-area/multi-tenant/considerations-recommendations" TargetMode="External"/><Relationship Id="rId2557" Type="http://schemas.openxmlformats.org/officeDocument/2006/relationships/hyperlink" Target="https://learn.microsoft.com/azure/web-application-firewall/ag/ag-overview" TargetMode="External"/><Relationship Id="rId224" Type="http://schemas.openxmlformats.org/officeDocument/2006/relationships/hyperlink" Target="https://learn.microsoft.com/azure/cloud-adoption-framework/ready/landing-zone/design-area/multi-tenant/considerations-recommendations" TargetMode="External"/><Relationship Id="rId431" Type="http://schemas.openxmlformats.org/officeDocument/2006/relationships/hyperlink" Target="https://learn.microsoft.com/azure/cloud-adoption-framework/ready/landing-zone/design-area/multi-tenant/considerations-recommendations" TargetMode="External"/><Relationship Id="rId529" Type="http://schemas.openxmlformats.org/officeDocument/2006/relationships/hyperlink" Target="https://learn.microsoft.com/azure/cloud-adoption-framework/ready/landing-zone/design-area/multi-tenant/considerations-recommendations" TargetMode="External"/><Relationship Id="rId736" Type="http://schemas.openxmlformats.org/officeDocument/2006/relationships/hyperlink" Target="https://learn.microsoft.com/azure/cloud-adoption-framework/ready/landing-zone/design-area/multi-tenant/considerations-recommendations" TargetMode="External"/><Relationship Id="rId1061" Type="http://schemas.openxmlformats.org/officeDocument/2006/relationships/hyperlink" Target="https://learn.microsoft.com/azure/cloud-adoption-framework/ready/landing-zone/design-area/multi-tenant/considerations-recommendations" TargetMode="External"/><Relationship Id="rId1159" Type="http://schemas.openxmlformats.org/officeDocument/2006/relationships/hyperlink" Target="https://learn.microsoft.com/azure/cloud-adoption-framework/ready/landing-zone/design-area/multi-tenant/considerations-recommendations" TargetMode="External"/><Relationship Id="rId1366" Type="http://schemas.openxmlformats.org/officeDocument/2006/relationships/hyperlink" Target="https://learn.microsoft.com/azure/cloud-adoption-framework/ready/landing-zone/design-area/multi-tenant/considerations-recommendations" TargetMode="External"/><Relationship Id="rId2112" Type="http://schemas.openxmlformats.org/officeDocument/2006/relationships/hyperlink" Target="https://learn.microsoft.com/azure/cloud-adoption-framework/ready/landing-zone/design-area/multi-tenant/considerations-recommendations" TargetMode="External"/><Relationship Id="rId2417" Type="http://schemas.openxmlformats.org/officeDocument/2006/relationships/hyperlink" Target="https://learn.microsoft.com/azure/api-management/devops-api-development-templates" TargetMode="External"/><Relationship Id="rId2764" Type="http://schemas.openxmlformats.org/officeDocument/2006/relationships/hyperlink" Target="https://learn.microsoft.com/azure/cloud-adoption-framework/ready/landing-zone/design-area/identity-access-landing-zones" TargetMode="External"/><Relationship Id="rId943" Type="http://schemas.openxmlformats.org/officeDocument/2006/relationships/hyperlink" Target="https://learn.microsoft.com/azure/cloud-adoption-framework/ready/landing-zone/design-area/multi-tenant/considerations-recommendations" TargetMode="External"/><Relationship Id="rId1019" Type="http://schemas.openxmlformats.org/officeDocument/2006/relationships/hyperlink" Target="https://learn.microsoft.com/azure/cloud-adoption-framework/ready/landing-zone/design-area/multi-tenant/considerations-recommendations" TargetMode="External"/><Relationship Id="rId1573" Type="http://schemas.openxmlformats.org/officeDocument/2006/relationships/hyperlink" Target="https://learn.microsoft.com/azure/cloud-adoption-framework/ready/landing-zone/design-area/multi-tenant/considerations-recommendations" TargetMode="External"/><Relationship Id="rId1780" Type="http://schemas.openxmlformats.org/officeDocument/2006/relationships/hyperlink" Target="https://learn.microsoft.com/azure/cloud-adoption-framework/ready/landing-zone/design-area/multi-tenant/considerations-recommendations" TargetMode="External"/><Relationship Id="rId1878" Type="http://schemas.openxmlformats.org/officeDocument/2006/relationships/hyperlink" Target="https://learn.microsoft.com/azure/cloud-adoption-framework/ready/landing-zone/design-area/multi-tenant/considerations-recommendations" TargetMode="External"/><Relationship Id="rId2624" Type="http://schemas.openxmlformats.org/officeDocument/2006/relationships/hyperlink" Target="https://learn.microsoft.com/azure/ai-studio/concepts/evaluation-approach-gen-ai" TargetMode="External"/><Relationship Id="rId72" Type="http://schemas.openxmlformats.org/officeDocument/2006/relationships/hyperlink" Target="https://learn.microsoft.com/azure/cloud-adoption-framework/ready/landing-zone/design-area/multi-tenant/considerations-recommendations" TargetMode="External"/><Relationship Id="rId803" Type="http://schemas.openxmlformats.org/officeDocument/2006/relationships/hyperlink" Target="https://learn.microsoft.com/azure/cloud-adoption-framework/ready/landing-zone/design-area/multi-tenant/considerations-recommendations" TargetMode="External"/><Relationship Id="rId1226" Type="http://schemas.openxmlformats.org/officeDocument/2006/relationships/hyperlink" Target="https://learn.microsoft.com/azure/cloud-adoption-framework/ready/landing-zone/design-area/multi-tenant/considerations-recommendations" TargetMode="External"/><Relationship Id="rId1433" Type="http://schemas.openxmlformats.org/officeDocument/2006/relationships/hyperlink" Target="https://learn.microsoft.com/azure/cloud-adoption-framework/ready/landing-zone/design-area/multi-tenant/considerations-recommendations" TargetMode="External"/><Relationship Id="rId1640" Type="http://schemas.openxmlformats.org/officeDocument/2006/relationships/hyperlink" Target="https://learn.microsoft.com/azure/cloud-adoption-framework/ready/landing-zone/design-area/multi-tenant/considerations-recommendations" TargetMode="External"/><Relationship Id="rId1738" Type="http://schemas.openxmlformats.org/officeDocument/2006/relationships/hyperlink" Target="https://learn.microsoft.com/azure/cloud-adoption-framework/ready/landing-zone/design-area/multi-tenant/considerations-recommendations" TargetMode="External"/><Relationship Id="rId1500" Type="http://schemas.openxmlformats.org/officeDocument/2006/relationships/hyperlink" Target="https://learn.microsoft.com/azure/cloud-adoption-framework/ready/landing-zone/design-area/multi-tenant/considerations-recommendations" TargetMode="External"/><Relationship Id="rId1945" Type="http://schemas.openxmlformats.org/officeDocument/2006/relationships/hyperlink" Target="https://learn.microsoft.com/azure/cloud-adoption-framework/ready/landing-zone/design-area/multi-tenant/considerations-recommendations" TargetMode="External"/><Relationship Id="rId1805" Type="http://schemas.openxmlformats.org/officeDocument/2006/relationships/hyperlink" Target="https://learn.microsoft.com/azure/cloud-adoption-framework/ready/landing-zone/design-area/multi-tenant/considerations-recommendations" TargetMode="External"/><Relationship Id="rId179" Type="http://schemas.openxmlformats.org/officeDocument/2006/relationships/hyperlink" Target="https://learn.microsoft.com/azure/cloud-adoption-framework/ready/landing-zone/design-area/multi-tenant/considerations-recommendations" TargetMode="External"/><Relationship Id="rId386" Type="http://schemas.openxmlformats.org/officeDocument/2006/relationships/hyperlink" Target="https://learn.microsoft.com/azure/cloud-adoption-framework/ready/landing-zone/design-area/multi-tenant/considerations-recommendations" TargetMode="External"/><Relationship Id="rId593" Type="http://schemas.openxmlformats.org/officeDocument/2006/relationships/hyperlink" Target="https://learn.microsoft.com/azure/cloud-adoption-framework/ready/landing-zone/design-area/multi-tenant/considerations-recommendations" TargetMode="External"/><Relationship Id="rId2067" Type="http://schemas.openxmlformats.org/officeDocument/2006/relationships/hyperlink" Target="https://learn.microsoft.com/azure/cloud-adoption-framework/ready/landing-zone/design-area/multi-tenant/considerations-recommendations" TargetMode="External"/><Relationship Id="rId2274" Type="http://schemas.openxmlformats.org/officeDocument/2006/relationships/hyperlink" Target="https://learn.microsoft.com/azure/cloud-adoption-framework/ready/landing-zone/design-area/multi-tenant/considerations-recommendations" TargetMode="External"/><Relationship Id="rId2481" Type="http://schemas.openxmlformats.org/officeDocument/2006/relationships/hyperlink" Target="https://learn.microsoft.com/azure/frontdoor/best-practices" TargetMode="External"/><Relationship Id="rId246" Type="http://schemas.openxmlformats.org/officeDocument/2006/relationships/hyperlink" Target="https://learn.microsoft.com/azure/cloud-adoption-framework/ready/landing-zone/design-area/multi-tenant/considerations-recommendations" TargetMode="External"/><Relationship Id="rId453" Type="http://schemas.openxmlformats.org/officeDocument/2006/relationships/hyperlink" Target="https://learn.microsoft.com/azure/cloud-adoption-framework/ready/landing-zone/design-area/multi-tenant/considerations-recommendations" TargetMode="External"/><Relationship Id="rId660" Type="http://schemas.openxmlformats.org/officeDocument/2006/relationships/hyperlink" Target="https://learn.microsoft.com/azure/cloud-adoption-framework/ready/landing-zone/design-area/multi-tenant/considerations-recommendations" TargetMode="External"/><Relationship Id="rId898" Type="http://schemas.openxmlformats.org/officeDocument/2006/relationships/hyperlink" Target="https://learn.microsoft.com/azure/cloud-adoption-framework/ready/landing-zone/design-area/multi-tenant/considerations-recommendations" TargetMode="External"/><Relationship Id="rId1083" Type="http://schemas.openxmlformats.org/officeDocument/2006/relationships/hyperlink" Target="https://learn.microsoft.com/azure/cloud-adoption-framework/ready/landing-zone/design-area/multi-tenant/considerations-recommendations" TargetMode="External"/><Relationship Id="rId1290" Type="http://schemas.openxmlformats.org/officeDocument/2006/relationships/hyperlink" Target="https://learn.microsoft.com/azure/cloud-adoption-framework/ready/landing-zone/design-area/multi-tenant/considerations-recommendations" TargetMode="External"/><Relationship Id="rId2134" Type="http://schemas.openxmlformats.org/officeDocument/2006/relationships/hyperlink" Target="https://learn.microsoft.com/azure/cloud-adoption-framework/ready/landing-zone/design-area/multi-tenant/considerations-recommendations" TargetMode="External"/><Relationship Id="rId2341" Type="http://schemas.openxmlformats.org/officeDocument/2006/relationships/hyperlink" Target="https://learn.microsoft.com/azure/cloud-adoption-framework/ready/landing-zone/design-area/multi-tenant/considerations-recommendations" TargetMode="External"/><Relationship Id="rId2579" Type="http://schemas.openxmlformats.org/officeDocument/2006/relationships/hyperlink" Target="https://learn.microsoft.com/azure/web-application-firewall/afds/waf-front-door-best-practices" TargetMode="External"/><Relationship Id="rId106" Type="http://schemas.openxmlformats.org/officeDocument/2006/relationships/hyperlink" Target="https://learn.microsoft.com/azure/cloud-adoption-framework/ready/landing-zone/design-area/multi-tenant/considerations-recommendations" TargetMode="External"/><Relationship Id="rId313" Type="http://schemas.openxmlformats.org/officeDocument/2006/relationships/hyperlink" Target="https://learn.microsoft.com/azure/cloud-adoption-framework/ready/landing-zone/design-area/multi-tenant/considerations-recommendations" TargetMode="External"/><Relationship Id="rId758" Type="http://schemas.openxmlformats.org/officeDocument/2006/relationships/hyperlink" Target="https://learn.microsoft.com/azure/cloud-adoption-framework/ready/landing-zone/design-area/multi-tenant/considerations-recommendations" TargetMode="External"/><Relationship Id="rId965" Type="http://schemas.openxmlformats.org/officeDocument/2006/relationships/hyperlink" Target="https://learn.microsoft.com/azure/cloud-adoption-framework/ready/landing-zone/design-area/multi-tenant/considerations-recommendations" TargetMode="External"/><Relationship Id="rId1150" Type="http://schemas.openxmlformats.org/officeDocument/2006/relationships/hyperlink" Target="https://learn.microsoft.com/azure/cloud-adoption-framework/ready/landing-zone/design-area/multi-tenant/considerations-recommendations" TargetMode="External"/><Relationship Id="rId1388" Type="http://schemas.openxmlformats.org/officeDocument/2006/relationships/hyperlink" Target="https://learn.microsoft.com/azure/cloud-adoption-framework/ready/landing-zone/design-area/multi-tenant/considerations-recommendations" TargetMode="External"/><Relationship Id="rId1595" Type="http://schemas.openxmlformats.org/officeDocument/2006/relationships/hyperlink" Target="https://learn.microsoft.com/azure/cloud-adoption-framework/ready/landing-zone/design-area/multi-tenant/considerations-recommendations" TargetMode="External"/><Relationship Id="rId2439" Type="http://schemas.openxmlformats.org/officeDocument/2006/relationships/hyperlink" Target="https://learn.microsoft.com/azure/app-service/networking/nat-gateway-integration" TargetMode="External"/><Relationship Id="rId2646" Type="http://schemas.openxmlformats.org/officeDocument/2006/relationships/hyperlink" Target="https://learn.microsoft.com/azure/ai-services/openai/how-to/monitoring" TargetMode="External"/><Relationship Id="rId94" Type="http://schemas.openxmlformats.org/officeDocument/2006/relationships/hyperlink" Target="https://learn.microsoft.com/azure/cloud-adoption-framework/ready/landing-zone/design-area/multi-tenant/considerations-recommendations" TargetMode="External"/><Relationship Id="rId520" Type="http://schemas.openxmlformats.org/officeDocument/2006/relationships/hyperlink" Target="https://learn.microsoft.com/azure/cloud-adoption-framework/ready/landing-zone/design-area/multi-tenant/considerations-recommendations" TargetMode="External"/><Relationship Id="rId618" Type="http://schemas.openxmlformats.org/officeDocument/2006/relationships/hyperlink" Target="https://learn.microsoft.com/azure/cloud-adoption-framework/ready/landing-zone/design-area/multi-tenant/considerations-recommendations" TargetMode="External"/><Relationship Id="rId825" Type="http://schemas.openxmlformats.org/officeDocument/2006/relationships/hyperlink" Target="https://learn.microsoft.com/azure/cloud-adoption-framework/ready/landing-zone/design-area/multi-tenant/considerations-recommendations" TargetMode="External"/><Relationship Id="rId1248" Type="http://schemas.openxmlformats.org/officeDocument/2006/relationships/hyperlink" Target="https://learn.microsoft.com/azure/cloud-adoption-framework/ready/landing-zone/design-area/multi-tenant/considerations-recommendations" TargetMode="External"/><Relationship Id="rId1455" Type="http://schemas.openxmlformats.org/officeDocument/2006/relationships/hyperlink" Target="https://learn.microsoft.com/azure/cloud-adoption-framework/ready/landing-zone/design-area/multi-tenant/considerations-recommendations" TargetMode="External"/><Relationship Id="rId1662" Type="http://schemas.openxmlformats.org/officeDocument/2006/relationships/hyperlink" Target="https://learn.microsoft.com/azure/cloud-adoption-framework/ready/landing-zone/design-area/multi-tenant/considerations-recommendations" TargetMode="External"/><Relationship Id="rId2201" Type="http://schemas.openxmlformats.org/officeDocument/2006/relationships/hyperlink" Target="https://learn.microsoft.com/azure/cloud-adoption-framework/ready/landing-zone/design-area/multi-tenant/considerations-recommendations" TargetMode="External"/><Relationship Id="rId2506" Type="http://schemas.openxmlformats.org/officeDocument/2006/relationships/hyperlink" Target="https://learn.microsoft.com/azure/storage/blobs/blob-storage-monitoring-scenarios" TargetMode="External"/><Relationship Id="rId1010" Type="http://schemas.openxmlformats.org/officeDocument/2006/relationships/hyperlink" Target="https://learn.microsoft.com/azure/cloud-adoption-framework/ready/landing-zone/design-area/multi-tenant/considerations-recommendations" TargetMode="External"/><Relationship Id="rId1108" Type="http://schemas.openxmlformats.org/officeDocument/2006/relationships/hyperlink" Target="https://learn.microsoft.com/azure/cloud-adoption-framework/ready/landing-zone/design-area/multi-tenant/considerations-recommendations" TargetMode="External"/><Relationship Id="rId1315" Type="http://schemas.openxmlformats.org/officeDocument/2006/relationships/hyperlink" Target="https://learn.microsoft.com/azure/cloud-adoption-framework/ready/landing-zone/design-area/multi-tenant/considerations-recommendations" TargetMode="External"/><Relationship Id="rId1967" Type="http://schemas.openxmlformats.org/officeDocument/2006/relationships/hyperlink" Target="https://learn.microsoft.com/azure/cloud-adoption-framework/ready/landing-zone/design-area/multi-tenant/considerations-recommendations" TargetMode="External"/><Relationship Id="rId2713" Type="http://schemas.openxmlformats.org/officeDocument/2006/relationships/hyperlink" Target="https://learn.microsoft.com/azure/ai-studio/concepts/ai-resources" TargetMode="External"/><Relationship Id="rId1522" Type="http://schemas.openxmlformats.org/officeDocument/2006/relationships/hyperlink" Target="https://learn.microsoft.com/azure/cloud-adoption-framework/ready/landing-zone/design-area/multi-tenant/considerations-recommendations" TargetMode="External"/><Relationship Id="rId21" Type="http://schemas.openxmlformats.org/officeDocument/2006/relationships/hyperlink" Target="https://learn.microsoft.com/azure/cloud-adoption-framework/ready/landing-zone/design-area/multi-tenant/considerations-recommendations" TargetMode="External"/><Relationship Id="rId2089" Type="http://schemas.openxmlformats.org/officeDocument/2006/relationships/hyperlink" Target="https://learn.microsoft.com/azure/cloud-adoption-framework/ready/landing-zone/design-area/multi-tenant/considerations-recommendations" TargetMode="External"/><Relationship Id="rId2296" Type="http://schemas.openxmlformats.org/officeDocument/2006/relationships/hyperlink" Target="https://learn.microsoft.com/azure/cloud-adoption-framework/ready/landing-zone/design-area/multi-tenant/considerations-recommendations" TargetMode="External"/><Relationship Id="rId268" Type="http://schemas.openxmlformats.org/officeDocument/2006/relationships/hyperlink" Target="https://learn.microsoft.com/azure/cloud-adoption-framework/ready/landing-zone/design-area/multi-tenant/considerations-recommendations" TargetMode="External"/><Relationship Id="rId475" Type="http://schemas.openxmlformats.org/officeDocument/2006/relationships/hyperlink" Target="https://learn.microsoft.com/azure/cloud-adoption-framework/ready/landing-zone/design-area/multi-tenant/considerations-recommendations" TargetMode="External"/><Relationship Id="rId682" Type="http://schemas.openxmlformats.org/officeDocument/2006/relationships/hyperlink" Target="https://learn.microsoft.com/azure/cloud-adoption-framework/ready/landing-zone/design-area/multi-tenant/considerations-recommendations" TargetMode="External"/><Relationship Id="rId2156" Type="http://schemas.openxmlformats.org/officeDocument/2006/relationships/hyperlink" Target="https://learn.microsoft.com/azure/cloud-adoption-framework/ready/landing-zone/design-area/multi-tenant/considerations-recommendations" TargetMode="External"/><Relationship Id="rId2363" Type="http://schemas.openxmlformats.org/officeDocument/2006/relationships/hyperlink" Target="https://learn.microsoft.com/azure/key-vault/general/best-practices" TargetMode="External"/><Relationship Id="rId2570" Type="http://schemas.openxmlformats.org/officeDocument/2006/relationships/hyperlink" Target="https://learn.microsoft.com/azure/frontdoor/best-practices" TargetMode="External"/><Relationship Id="rId128" Type="http://schemas.openxmlformats.org/officeDocument/2006/relationships/hyperlink" Target="https://learn.microsoft.com/azure/cloud-adoption-framework/ready/landing-zone/design-area/multi-tenant/considerations-recommendations" TargetMode="External"/><Relationship Id="rId335" Type="http://schemas.openxmlformats.org/officeDocument/2006/relationships/hyperlink" Target="https://learn.microsoft.com/azure/cloud-adoption-framework/ready/landing-zone/design-area/multi-tenant/considerations-recommendations" TargetMode="External"/><Relationship Id="rId542" Type="http://schemas.openxmlformats.org/officeDocument/2006/relationships/hyperlink" Target="https://learn.microsoft.com/azure/cloud-adoption-framework/ready/landing-zone/design-area/multi-tenant/considerations-recommendations" TargetMode="External"/><Relationship Id="rId1172" Type="http://schemas.openxmlformats.org/officeDocument/2006/relationships/hyperlink" Target="https://learn.microsoft.com/azure/cloud-adoption-framework/ready/landing-zone/design-area/multi-tenant/considerations-recommendations" TargetMode="External"/><Relationship Id="rId2016" Type="http://schemas.openxmlformats.org/officeDocument/2006/relationships/hyperlink" Target="https://learn.microsoft.com/azure/cloud-adoption-framework/ready/landing-zone/design-area/multi-tenant/considerations-recommendations" TargetMode="External"/><Relationship Id="rId2223" Type="http://schemas.openxmlformats.org/officeDocument/2006/relationships/hyperlink" Target="https://learn.microsoft.com/azure/cloud-adoption-framework/ready/landing-zone/design-area/multi-tenant/considerations-recommendations" TargetMode="External"/><Relationship Id="rId2430" Type="http://schemas.openxmlformats.org/officeDocument/2006/relationships/hyperlink" Target="https://learn.microsoft.com/azure/app-service/operating-system-functionality" TargetMode="External"/><Relationship Id="rId402" Type="http://schemas.openxmlformats.org/officeDocument/2006/relationships/hyperlink" Target="https://learn.microsoft.com/azure/cloud-adoption-framework/ready/landing-zone/design-area/multi-tenant/considerations-recommendations" TargetMode="External"/><Relationship Id="rId1032" Type="http://schemas.openxmlformats.org/officeDocument/2006/relationships/hyperlink" Target="https://learn.microsoft.com/azure/cloud-adoption-framework/ready/landing-zone/design-area/multi-tenant/considerations-recommendations" TargetMode="External"/><Relationship Id="rId1989" Type="http://schemas.openxmlformats.org/officeDocument/2006/relationships/hyperlink" Target="https://learn.microsoft.com/azure/cloud-adoption-framework/ready/landing-zone/design-area/multi-tenant/considerations-recommendations" TargetMode="External"/><Relationship Id="rId1849" Type="http://schemas.openxmlformats.org/officeDocument/2006/relationships/hyperlink" Target="https://learn.microsoft.com/azure/cloud-adoption-framework/ready/landing-zone/design-area/multi-tenant/considerations-recommendations" TargetMode="External"/><Relationship Id="rId192" Type="http://schemas.openxmlformats.org/officeDocument/2006/relationships/hyperlink" Target="https://learn.microsoft.com/azure/cloud-adoption-framework/ready/landing-zone/design-area/multi-tenant/considerations-recommendations" TargetMode="External"/><Relationship Id="rId1709" Type="http://schemas.openxmlformats.org/officeDocument/2006/relationships/hyperlink" Target="https://learn.microsoft.com/azure/cloud-adoption-framework/ready/landing-zone/design-area/multi-tenant/considerations-recommendations" TargetMode="External"/><Relationship Id="rId1916" Type="http://schemas.openxmlformats.org/officeDocument/2006/relationships/hyperlink" Target="https://learn.microsoft.com/azure/cloud-adoption-framework/ready/landing-zone/design-area/multi-tenant/considerations-recommendations" TargetMode="External"/><Relationship Id="rId2080" Type="http://schemas.openxmlformats.org/officeDocument/2006/relationships/hyperlink" Target="https://learn.microsoft.com/azure/cloud-adoption-framework/ready/landing-zone/design-area/multi-tenant/considerations-recommendations" TargetMode="External"/><Relationship Id="rId869" Type="http://schemas.openxmlformats.org/officeDocument/2006/relationships/hyperlink" Target="https://learn.microsoft.com/azure/cloud-adoption-framework/ready/landing-zone/design-area/multi-tenant/considerations-recommendations" TargetMode="External"/><Relationship Id="rId1499" Type="http://schemas.openxmlformats.org/officeDocument/2006/relationships/hyperlink" Target="https://learn.microsoft.com/azure/cloud-adoption-framework/ready/landing-zone/design-area/multi-tenant/considerations-recommendations" TargetMode="External"/><Relationship Id="rId729" Type="http://schemas.openxmlformats.org/officeDocument/2006/relationships/hyperlink" Target="https://learn.microsoft.com/azure/cloud-adoption-framework/ready/landing-zone/design-area/multi-tenant/considerations-recommendations" TargetMode="External"/><Relationship Id="rId1359" Type="http://schemas.openxmlformats.org/officeDocument/2006/relationships/hyperlink" Target="https://learn.microsoft.com/azure/cloud-adoption-framework/ready/landing-zone/design-area/multi-tenant/considerations-recommendations" TargetMode="External"/><Relationship Id="rId2757" Type="http://schemas.openxmlformats.org/officeDocument/2006/relationships/hyperlink" Target="https://learn.microsoft.com/azure/ai-services/openai/encrypt-data-at-rest" TargetMode="External"/><Relationship Id="rId936" Type="http://schemas.openxmlformats.org/officeDocument/2006/relationships/hyperlink" Target="https://learn.microsoft.com/azure/cloud-adoption-framework/ready/landing-zone/design-area/multi-tenant/considerations-recommendations" TargetMode="External"/><Relationship Id="rId1219" Type="http://schemas.openxmlformats.org/officeDocument/2006/relationships/hyperlink" Target="https://learn.microsoft.com/azure/cloud-adoption-framework/ready/landing-zone/design-area/multi-tenant/considerations-recommendations" TargetMode="External"/><Relationship Id="rId1566" Type="http://schemas.openxmlformats.org/officeDocument/2006/relationships/hyperlink" Target="https://learn.microsoft.com/azure/cloud-adoption-framework/ready/landing-zone/design-area/multi-tenant/considerations-recommendations" TargetMode="External"/><Relationship Id="rId1773" Type="http://schemas.openxmlformats.org/officeDocument/2006/relationships/hyperlink" Target="https://learn.microsoft.com/azure/cloud-adoption-framework/ready/landing-zone/design-area/multi-tenant/considerations-recommendations" TargetMode="External"/><Relationship Id="rId1980" Type="http://schemas.openxmlformats.org/officeDocument/2006/relationships/hyperlink" Target="https://learn.microsoft.com/azure/cloud-adoption-framework/ready/landing-zone/design-area/multi-tenant/considerations-recommendations" TargetMode="External"/><Relationship Id="rId2617" Type="http://schemas.openxmlformats.org/officeDocument/2006/relationships/hyperlink" Target="https://learn.microsoft.com/azure/ai-services/cognitive-services-data-loss-prevention?branch=main&amp;tabs=azure-cli" TargetMode="External"/><Relationship Id="rId65" Type="http://schemas.openxmlformats.org/officeDocument/2006/relationships/hyperlink" Target="https://learn.microsoft.com/azure/cloud-adoption-framework/ready/landing-zone/design-area/multi-tenant/considerations-recommendations" TargetMode="External"/><Relationship Id="rId1426" Type="http://schemas.openxmlformats.org/officeDocument/2006/relationships/hyperlink" Target="https://learn.microsoft.com/azure/cloud-adoption-framework/ready/landing-zone/design-area/multi-tenant/considerations-recommendations" TargetMode="External"/><Relationship Id="rId1633" Type="http://schemas.openxmlformats.org/officeDocument/2006/relationships/hyperlink" Target="https://learn.microsoft.com/azure/cloud-adoption-framework/ready/landing-zone/design-area/multi-tenant/considerations-recommendations" TargetMode="External"/><Relationship Id="rId1840" Type="http://schemas.openxmlformats.org/officeDocument/2006/relationships/hyperlink" Target="https://learn.microsoft.com/azure/cloud-adoption-framework/ready/landing-zone/design-area/multi-tenant/considerations-recommendations" TargetMode="External"/><Relationship Id="rId1700" Type="http://schemas.openxmlformats.org/officeDocument/2006/relationships/hyperlink" Target="https://learn.microsoft.com/azure/cloud-adoption-framework/ready/landing-zone/design-area/multi-tenant/considerations-recommendations" TargetMode="External"/><Relationship Id="rId379" Type="http://schemas.openxmlformats.org/officeDocument/2006/relationships/hyperlink" Target="https://learn.microsoft.com/azure/cloud-adoption-framework/ready/landing-zone/design-area/multi-tenant/considerations-recommendations" TargetMode="External"/><Relationship Id="rId586" Type="http://schemas.openxmlformats.org/officeDocument/2006/relationships/hyperlink" Target="https://learn.microsoft.com/azure/cloud-adoption-framework/ready/landing-zone/design-area/multi-tenant/considerations-recommendations" TargetMode="External"/><Relationship Id="rId793" Type="http://schemas.openxmlformats.org/officeDocument/2006/relationships/hyperlink" Target="https://learn.microsoft.com/azure/cloud-adoption-framework/ready/landing-zone/design-area/multi-tenant/considerations-recommendations" TargetMode="External"/><Relationship Id="rId2267" Type="http://schemas.openxmlformats.org/officeDocument/2006/relationships/hyperlink" Target="https://learn.microsoft.com/azure/cloud-adoption-framework/ready/landing-zone/design-area/multi-tenant/considerations-recommendations" TargetMode="External"/><Relationship Id="rId2474" Type="http://schemas.openxmlformats.org/officeDocument/2006/relationships/hyperlink" Target="https://learn.microsoft.com/azure/web-application-firewall/afds/waf-front-door-policy-settings" TargetMode="External"/><Relationship Id="rId2681" Type="http://schemas.openxmlformats.org/officeDocument/2006/relationships/hyperlink" Target="https://learn.microsoft.com/azure/ai-services/openai/concepts/advanced-prompt-engineering?pivots=programming-language-chat-completions" TargetMode="External"/><Relationship Id="rId239" Type="http://schemas.openxmlformats.org/officeDocument/2006/relationships/hyperlink" Target="https://learn.microsoft.com/azure/cloud-adoption-framework/ready/landing-zone/design-area/multi-tenant/considerations-recommendations" TargetMode="External"/><Relationship Id="rId446" Type="http://schemas.openxmlformats.org/officeDocument/2006/relationships/hyperlink" Target="https://learn.microsoft.com/azure/cloud-adoption-framework/ready/landing-zone/design-area/multi-tenant/considerations-recommendations" TargetMode="External"/><Relationship Id="rId653" Type="http://schemas.openxmlformats.org/officeDocument/2006/relationships/hyperlink" Target="https://learn.microsoft.com/azure/cloud-adoption-framework/ready/landing-zone/design-area/multi-tenant/considerations-recommendations" TargetMode="External"/><Relationship Id="rId1076" Type="http://schemas.openxmlformats.org/officeDocument/2006/relationships/hyperlink" Target="https://learn.microsoft.com/azure/cloud-adoption-framework/ready/landing-zone/design-area/multi-tenant/considerations-recommendations" TargetMode="External"/><Relationship Id="rId1283" Type="http://schemas.openxmlformats.org/officeDocument/2006/relationships/hyperlink" Target="https://learn.microsoft.com/azure/cloud-adoption-framework/ready/landing-zone/design-area/multi-tenant/considerations-recommendations" TargetMode="External"/><Relationship Id="rId1490" Type="http://schemas.openxmlformats.org/officeDocument/2006/relationships/hyperlink" Target="https://learn.microsoft.com/azure/cloud-adoption-framework/ready/landing-zone/design-area/multi-tenant/considerations-recommendations" TargetMode="External"/><Relationship Id="rId2127" Type="http://schemas.openxmlformats.org/officeDocument/2006/relationships/hyperlink" Target="https://learn.microsoft.com/azure/cloud-adoption-framework/ready/landing-zone/design-area/multi-tenant/considerations-recommendations" TargetMode="External"/><Relationship Id="rId2334" Type="http://schemas.openxmlformats.org/officeDocument/2006/relationships/hyperlink" Target="https://learn.microsoft.com/azure/cloud-adoption-framework/ready/landing-zone/design-area/multi-tenant/considerations-recommendations" TargetMode="External"/><Relationship Id="rId306" Type="http://schemas.openxmlformats.org/officeDocument/2006/relationships/hyperlink" Target="https://learn.microsoft.com/azure/cloud-adoption-framework/ready/landing-zone/design-area/multi-tenant/considerations-recommendations" TargetMode="External"/><Relationship Id="rId860" Type="http://schemas.openxmlformats.org/officeDocument/2006/relationships/hyperlink" Target="https://learn.microsoft.com/azure/cloud-adoption-framework/ready/landing-zone/design-area/multi-tenant/considerations-recommendations" TargetMode="External"/><Relationship Id="rId1143" Type="http://schemas.openxmlformats.org/officeDocument/2006/relationships/hyperlink" Target="https://learn.microsoft.com/azure/cloud-adoption-framework/ready/landing-zone/design-area/multi-tenant/considerations-recommendations" TargetMode="External"/><Relationship Id="rId2541" Type="http://schemas.openxmlformats.org/officeDocument/2006/relationships/hyperlink" Target="https://learn.microsoft.com/azure/load-balancer/load-balancer-overview" TargetMode="External"/><Relationship Id="rId513" Type="http://schemas.openxmlformats.org/officeDocument/2006/relationships/hyperlink" Target="https://learn.microsoft.com/azure/cloud-adoption-framework/ready/landing-zone/design-area/multi-tenant/considerations-recommendations" TargetMode="External"/><Relationship Id="rId720" Type="http://schemas.openxmlformats.org/officeDocument/2006/relationships/hyperlink" Target="https://learn.microsoft.com/azure/cloud-adoption-framework/ready/landing-zone/design-area/multi-tenant/considerations-recommendations" TargetMode="External"/><Relationship Id="rId1350" Type="http://schemas.openxmlformats.org/officeDocument/2006/relationships/hyperlink" Target="https://learn.microsoft.com/azure/cloud-adoption-framework/ready/landing-zone/design-area/multi-tenant/considerations-recommendations" TargetMode="External"/><Relationship Id="rId2401" Type="http://schemas.openxmlformats.org/officeDocument/2006/relationships/hyperlink" Target="https://learn.microsoft.com/en-us/azure/api-management/self-hosted-gateway-overview" TargetMode="External"/><Relationship Id="rId1003" Type="http://schemas.openxmlformats.org/officeDocument/2006/relationships/hyperlink" Target="https://learn.microsoft.com/azure/cloud-adoption-framework/ready/landing-zone/design-area/multi-tenant/considerations-recommendations" TargetMode="External"/><Relationship Id="rId1210" Type="http://schemas.openxmlformats.org/officeDocument/2006/relationships/hyperlink" Target="https://learn.microsoft.com/azure/cloud-adoption-framework/ready/landing-zone/design-area/multi-tenant/considerations-recommendations" TargetMode="External"/><Relationship Id="rId2191" Type="http://schemas.openxmlformats.org/officeDocument/2006/relationships/hyperlink" Target="https://learn.microsoft.com/azure/cloud-adoption-framework/ready/landing-zone/design-area/multi-tenant/considerations-recommendations" TargetMode="External"/><Relationship Id="rId163" Type="http://schemas.openxmlformats.org/officeDocument/2006/relationships/hyperlink" Target="https://learn.microsoft.com/azure/cloud-adoption-framework/ready/landing-zone/design-area/multi-tenant/considerations-recommendations" TargetMode="External"/><Relationship Id="rId370" Type="http://schemas.openxmlformats.org/officeDocument/2006/relationships/hyperlink" Target="https://learn.microsoft.com/azure/cloud-adoption-framework/ready/landing-zone/design-area/multi-tenant/considerations-recommendations" TargetMode="External"/><Relationship Id="rId2051" Type="http://schemas.openxmlformats.org/officeDocument/2006/relationships/hyperlink" Target="https://learn.microsoft.com/azure/cloud-adoption-framework/ready/landing-zone/design-area/multi-tenant/considerations-recommendations" TargetMode="External"/><Relationship Id="rId230" Type="http://schemas.openxmlformats.org/officeDocument/2006/relationships/hyperlink" Target="https://learn.microsoft.com/azure/cloud-adoption-framework/ready/landing-zone/design-area/multi-tenant/considerations-recommendations" TargetMode="External"/><Relationship Id="rId1677" Type="http://schemas.openxmlformats.org/officeDocument/2006/relationships/hyperlink" Target="https://learn.microsoft.com/azure/cloud-adoption-framework/ready/landing-zone/design-area/multi-tenant/considerations-recommendations" TargetMode="External"/><Relationship Id="rId1884" Type="http://schemas.openxmlformats.org/officeDocument/2006/relationships/hyperlink" Target="https://learn.microsoft.com/azure/cloud-adoption-framework/ready/landing-zone/design-area/multi-tenant/considerations-recommendations" TargetMode="External"/><Relationship Id="rId2728" Type="http://schemas.openxmlformats.org/officeDocument/2006/relationships/hyperlink" Target="https://learn.microsoft.com/azure/ai-services/policy-reference" TargetMode="External"/><Relationship Id="rId907" Type="http://schemas.openxmlformats.org/officeDocument/2006/relationships/hyperlink" Target="https://learn.microsoft.com/azure/cloud-adoption-framework/ready/landing-zone/design-area/multi-tenant/considerations-recommendations" TargetMode="External"/><Relationship Id="rId1537" Type="http://schemas.openxmlformats.org/officeDocument/2006/relationships/hyperlink" Target="https://learn.microsoft.com/azure/cloud-adoption-framework/ready/landing-zone/design-area/multi-tenant/considerations-recommendations" TargetMode="External"/><Relationship Id="rId1744" Type="http://schemas.openxmlformats.org/officeDocument/2006/relationships/hyperlink" Target="https://learn.microsoft.com/azure/cloud-adoption-framework/ready/landing-zone/design-area/multi-tenant/considerations-recommendations" TargetMode="External"/><Relationship Id="rId1951" Type="http://schemas.openxmlformats.org/officeDocument/2006/relationships/hyperlink" Target="https://learn.microsoft.com/azure/cloud-adoption-framework/ready/landing-zone/design-area/multi-tenant/considerations-recommendations" TargetMode="External"/><Relationship Id="rId36" Type="http://schemas.openxmlformats.org/officeDocument/2006/relationships/hyperlink" Target="https://learn.microsoft.com/azure/cloud-adoption-framework/ready/landing-zone/design-area/multi-tenant/considerations-recommendations" TargetMode="External"/><Relationship Id="rId1604" Type="http://schemas.openxmlformats.org/officeDocument/2006/relationships/hyperlink" Target="https://learn.microsoft.com/azure/cloud-adoption-framework/ready/landing-zone/design-area/multi-tenant/considerations-recommendations" TargetMode="External"/><Relationship Id="rId1811" Type="http://schemas.openxmlformats.org/officeDocument/2006/relationships/hyperlink" Target="https://learn.microsoft.com/azure/cloud-adoption-framework/ready/landing-zone/design-area/multi-tenant/considerations-recommendations" TargetMode="External"/><Relationship Id="rId697" Type="http://schemas.openxmlformats.org/officeDocument/2006/relationships/hyperlink" Target="https://learn.microsoft.com/azure/cloud-adoption-framework/ready/landing-zone/design-area/multi-tenant/considerations-recommendations" TargetMode="External"/><Relationship Id="rId2378" Type="http://schemas.openxmlformats.org/officeDocument/2006/relationships/hyperlink" Target="https://learn.microsoft.com/en-us/industry/sovereignty/transparency-logs" TargetMode="External"/><Relationship Id="rId1187" Type="http://schemas.openxmlformats.org/officeDocument/2006/relationships/hyperlink" Target="https://learn.microsoft.com/azure/cloud-adoption-framework/ready/landing-zone/design-area/multi-tenant/considerations-recommendations" TargetMode="External"/><Relationship Id="rId2585" Type="http://schemas.openxmlformats.org/officeDocument/2006/relationships/hyperlink" Target="https://learn.microsoft.com/azure/azure-cache-for-redis/cache-how-to-premium-persistence?tabs=premium" TargetMode="External"/><Relationship Id="rId557" Type="http://schemas.openxmlformats.org/officeDocument/2006/relationships/hyperlink" Target="https://learn.microsoft.com/azure/cloud-adoption-framework/ready/landing-zone/design-area/multi-tenant/considerations-recommendations" TargetMode="External"/><Relationship Id="rId764" Type="http://schemas.openxmlformats.org/officeDocument/2006/relationships/hyperlink" Target="https://learn.microsoft.com/azure/cloud-adoption-framework/ready/landing-zone/design-area/multi-tenant/considerations-recommendations" TargetMode="External"/><Relationship Id="rId971" Type="http://schemas.openxmlformats.org/officeDocument/2006/relationships/hyperlink" Target="https://learn.microsoft.com/azure/cloud-adoption-framework/ready/landing-zone/design-area/multi-tenant/considerations-recommendations" TargetMode="External"/><Relationship Id="rId1394" Type="http://schemas.openxmlformats.org/officeDocument/2006/relationships/hyperlink" Target="https://learn.microsoft.com/azure/cloud-adoption-framework/ready/landing-zone/design-area/multi-tenant/considerations-recommendations" TargetMode="External"/><Relationship Id="rId2238" Type="http://schemas.openxmlformats.org/officeDocument/2006/relationships/hyperlink" Target="https://learn.microsoft.com/azure/cloud-adoption-framework/ready/landing-zone/design-area/multi-tenant/considerations-recommendations" TargetMode="External"/><Relationship Id="rId2445" Type="http://schemas.openxmlformats.org/officeDocument/2006/relationships/hyperlink" Target="https://learn.microsoft.com/azure/app-service/app-service-web-tutorial-rest-api" TargetMode="External"/><Relationship Id="rId2652" Type="http://schemas.openxmlformats.org/officeDocument/2006/relationships/hyperlink" Target="https://learn.microsoft.com/azure/ai-services/openai/how-to/latency" TargetMode="External"/><Relationship Id="rId417" Type="http://schemas.openxmlformats.org/officeDocument/2006/relationships/hyperlink" Target="https://learn.microsoft.com/azure/cloud-adoption-framework/ready/landing-zone/design-area/multi-tenant/considerations-recommendations" TargetMode="External"/><Relationship Id="rId624" Type="http://schemas.openxmlformats.org/officeDocument/2006/relationships/hyperlink" Target="https://learn.microsoft.com/azure/cloud-adoption-framework/ready/landing-zone/design-area/multi-tenant/considerations-recommendations" TargetMode="External"/><Relationship Id="rId831" Type="http://schemas.openxmlformats.org/officeDocument/2006/relationships/hyperlink" Target="https://learn.microsoft.com/azure/cloud-adoption-framework/ready/landing-zone/design-area/multi-tenant/considerations-recommendations" TargetMode="External"/><Relationship Id="rId1047" Type="http://schemas.openxmlformats.org/officeDocument/2006/relationships/hyperlink" Target="https://learn.microsoft.com/azure/cloud-adoption-framework/ready/landing-zone/design-area/multi-tenant/considerations-recommendations" TargetMode="External"/><Relationship Id="rId1254" Type="http://schemas.openxmlformats.org/officeDocument/2006/relationships/hyperlink" Target="https://learn.microsoft.com/azure/cloud-adoption-framework/ready/landing-zone/design-area/multi-tenant/considerations-recommendations" TargetMode="External"/><Relationship Id="rId1461" Type="http://schemas.openxmlformats.org/officeDocument/2006/relationships/hyperlink" Target="https://learn.microsoft.com/azure/cloud-adoption-framework/ready/landing-zone/design-area/multi-tenant/considerations-recommendations" TargetMode="External"/><Relationship Id="rId2305" Type="http://schemas.openxmlformats.org/officeDocument/2006/relationships/hyperlink" Target="https://learn.microsoft.com/azure/cloud-adoption-framework/ready/landing-zone/design-area/multi-tenant/considerations-recommendations" TargetMode="External"/><Relationship Id="rId2512" Type="http://schemas.openxmlformats.org/officeDocument/2006/relationships/hyperlink" Target="https://learn.microsoft.com/rest/api/storageservices/delegate-access-with-shared-access-signature" TargetMode="External"/><Relationship Id="rId1114" Type="http://schemas.openxmlformats.org/officeDocument/2006/relationships/hyperlink" Target="https://learn.microsoft.com/azure/cloud-adoption-framework/ready/landing-zone/design-area/multi-tenant/considerations-recommendations" TargetMode="External"/><Relationship Id="rId1321" Type="http://schemas.openxmlformats.org/officeDocument/2006/relationships/hyperlink" Target="https://learn.microsoft.com/azure/cloud-adoption-framework/ready/landing-zone/design-area/multi-tenant/considerations-recommendations" TargetMode="External"/><Relationship Id="rId2095" Type="http://schemas.openxmlformats.org/officeDocument/2006/relationships/hyperlink" Target="https://learn.microsoft.com/azure/cloud-adoption-framework/ready/landing-zone/design-area/multi-tenant/considerations-recommendations" TargetMode="External"/><Relationship Id="rId274" Type="http://schemas.openxmlformats.org/officeDocument/2006/relationships/hyperlink" Target="https://learn.microsoft.com/azure/cloud-adoption-framework/ready/landing-zone/design-area/multi-tenant/considerations-recommendations" TargetMode="External"/><Relationship Id="rId481" Type="http://schemas.openxmlformats.org/officeDocument/2006/relationships/hyperlink" Target="https://learn.microsoft.com/azure/cloud-adoption-framework/ready/landing-zone/design-area/multi-tenant/considerations-recommendations" TargetMode="External"/><Relationship Id="rId2162" Type="http://schemas.openxmlformats.org/officeDocument/2006/relationships/hyperlink" Target="https://learn.microsoft.com/azure/cloud-adoption-framework/ready/landing-zone/design-area/multi-tenant/considerations-recommendations" TargetMode="External"/><Relationship Id="rId134" Type="http://schemas.openxmlformats.org/officeDocument/2006/relationships/hyperlink" Target="https://learn.microsoft.com/azure/cloud-adoption-framework/ready/landing-zone/design-area/multi-tenant/considerations-recommendations" TargetMode="External"/><Relationship Id="rId341" Type="http://schemas.openxmlformats.org/officeDocument/2006/relationships/hyperlink" Target="https://learn.microsoft.com/azure/cloud-adoption-framework/ready/landing-zone/design-area/multi-tenant/considerations-recommendations" TargetMode="External"/><Relationship Id="rId2022" Type="http://schemas.openxmlformats.org/officeDocument/2006/relationships/hyperlink" Target="https://learn.microsoft.com/azure/cloud-adoption-framework/ready/landing-zone/design-area/multi-tenant/considerations-recommendations" TargetMode="External"/><Relationship Id="rId201" Type="http://schemas.openxmlformats.org/officeDocument/2006/relationships/hyperlink" Target="https://learn.microsoft.com/azure/cloud-adoption-framework/ready/landing-zone/design-area/multi-tenant/considerations-recommendations" TargetMode="External"/><Relationship Id="rId1788" Type="http://schemas.openxmlformats.org/officeDocument/2006/relationships/hyperlink" Target="https://learn.microsoft.com/azure/cloud-adoption-framework/ready/landing-zone/design-area/multi-tenant/considerations-recommendations" TargetMode="External"/><Relationship Id="rId1995" Type="http://schemas.openxmlformats.org/officeDocument/2006/relationships/hyperlink" Target="https://learn.microsoft.com/azure/cloud-adoption-framework/ready/landing-zone/design-area/multi-tenant/considerations-recommendations" TargetMode="External"/><Relationship Id="rId1648" Type="http://schemas.openxmlformats.org/officeDocument/2006/relationships/hyperlink" Target="https://learn.microsoft.com/azure/cloud-adoption-framework/ready/landing-zone/design-area/multi-tenant/considerations-recommendations" TargetMode="External"/><Relationship Id="rId1508" Type="http://schemas.openxmlformats.org/officeDocument/2006/relationships/hyperlink" Target="https://learn.microsoft.com/azure/cloud-adoption-framework/ready/landing-zone/design-area/multi-tenant/considerations-recommendations" TargetMode="External"/><Relationship Id="rId1855" Type="http://schemas.openxmlformats.org/officeDocument/2006/relationships/hyperlink" Target="https://learn.microsoft.com/azure/cloud-adoption-framework/ready/landing-zone/design-area/multi-tenant/considerations-recommendations" TargetMode="External"/><Relationship Id="rId1715" Type="http://schemas.openxmlformats.org/officeDocument/2006/relationships/hyperlink" Target="https://learn.microsoft.com/azure/cloud-adoption-framework/ready/landing-zone/design-area/multi-tenant/considerations-recommendations" TargetMode="External"/><Relationship Id="rId1922" Type="http://schemas.openxmlformats.org/officeDocument/2006/relationships/hyperlink" Target="https://learn.microsoft.com/azure/cloud-adoption-framework/ready/landing-zone/design-area/multi-tenant/considerations-recommendations" TargetMode="External"/><Relationship Id="rId2489" Type="http://schemas.openxmlformats.org/officeDocument/2006/relationships/hyperlink" Target="https://learn.microsoft.com/azure/spring-apps/overview" TargetMode="External"/><Relationship Id="rId2696" Type="http://schemas.openxmlformats.org/officeDocument/2006/relationships/hyperlink" Target="https://learn.microsoft.com/azure/cost-management-billing/costs/tutorial-acm-create-budgets?bc=%2Fazure%2Fcloud-adoption-framework%2F_bread%2Ftoc.json&amp;toc=%2Fazure%2Fcloud-adoption-framework%2Ftoc.json" TargetMode="External"/><Relationship Id="rId668" Type="http://schemas.openxmlformats.org/officeDocument/2006/relationships/hyperlink" Target="https://learn.microsoft.com/azure/cloud-adoption-framework/ready/landing-zone/design-area/multi-tenant/considerations-recommendations" TargetMode="External"/><Relationship Id="rId875" Type="http://schemas.openxmlformats.org/officeDocument/2006/relationships/hyperlink" Target="https://learn.microsoft.com/azure/cloud-adoption-framework/ready/landing-zone/design-area/multi-tenant/considerations-recommendations" TargetMode="External"/><Relationship Id="rId1298" Type="http://schemas.openxmlformats.org/officeDocument/2006/relationships/hyperlink" Target="https://learn.microsoft.com/azure/cloud-adoption-framework/ready/landing-zone/design-area/multi-tenant/considerations-recommendations" TargetMode="External"/><Relationship Id="rId2349" Type="http://schemas.openxmlformats.org/officeDocument/2006/relationships/hyperlink" Target="https://learn.microsoft.com/azure/cloud-adoption-framework/ready/landing-zone/design-area/multi-tenant/considerations-recommendations" TargetMode="External"/><Relationship Id="rId2556" Type="http://schemas.openxmlformats.org/officeDocument/2006/relationships/hyperlink" Target="https://learn.microsoft.com/learn/paths/secure-networking-infrastructure/" TargetMode="External"/><Relationship Id="rId2763" Type="http://schemas.openxmlformats.org/officeDocument/2006/relationships/hyperlink" Target="https://learn.microsoft.com/azure/active-directory/conditional-access/overview" TargetMode="External"/><Relationship Id="rId528" Type="http://schemas.openxmlformats.org/officeDocument/2006/relationships/hyperlink" Target="https://learn.microsoft.com/azure/cloud-adoption-framework/ready/landing-zone/design-area/multi-tenant/considerations-recommendations" TargetMode="External"/><Relationship Id="rId735" Type="http://schemas.openxmlformats.org/officeDocument/2006/relationships/hyperlink" Target="https://learn.microsoft.com/azure/cloud-adoption-framework/ready/landing-zone/design-area/multi-tenant/considerations-recommendations" TargetMode="External"/><Relationship Id="rId942" Type="http://schemas.openxmlformats.org/officeDocument/2006/relationships/hyperlink" Target="https://learn.microsoft.com/azure/cloud-adoption-framework/ready/landing-zone/design-area/multi-tenant/considerations-recommendations" TargetMode="External"/><Relationship Id="rId1158" Type="http://schemas.openxmlformats.org/officeDocument/2006/relationships/hyperlink" Target="https://learn.microsoft.com/azure/cloud-adoption-framework/ready/landing-zone/design-area/multi-tenant/considerations-recommendations" TargetMode="External"/><Relationship Id="rId1365" Type="http://schemas.openxmlformats.org/officeDocument/2006/relationships/hyperlink" Target="https://learn.microsoft.com/azure/cloud-adoption-framework/ready/landing-zone/design-area/multi-tenant/considerations-recommendations" TargetMode="External"/><Relationship Id="rId1572" Type="http://schemas.openxmlformats.org/officeDocument/2006/relationships/hyperlink" Target="https://learn.microsoft.com/azure/cloud-adoption-framework/ready/landing-zone/design-area/multi-tenant/considerations-recommendations" TargetMode="External"/><Relationship Id="rId2209" Type="http://schemas.openxmlformats.org/officeDocument/2006/relationships/hyperlink" Target="https://learn.microsoft.com/azure/cloud-adoption-framework/ready/landing-zone/design-area/multi-tenant/considerations-recommendations" TargetMode="External"/><Relationship Id="rId2416" Type="http://schemas.openxmlformats.org/officeDocument/2006/relationships/hyperlink" Target="https://learn.microsoft.com/azure/api-management/visual-studio-code-tutorial" TargetMode="External"/><Relationship Id="rId2623" Type="http://schemas.openxmlformats.org/officeDocument/2006/relationships/hyperlink" Target="https://learn.microsoft.com/azure/container-apps/sessions?tabs=azure-cli" TargetMode="External"/><Relationship Id="rId1018" Type="http://schemas.openxmlformats.org/officeDocument/2006/relationships/hyperlink" Target="https://learn.microsoft.com/azure/cloud-adoption-framework/ready/landing-zone/design-area/multi-tenant/considerations-recommendations" TargetMode="External"/><Relationship Id="rId1225" Type="http://schemas.openxmlformats.org/officeDocument/2006/relationships/hyperlink" Target="https://learn.microsoft.com/azure/cloud-adoption-framework/ready/landing-zone/design-area/multi-tenant/considerations-recommendations" TargetMode="External"/><Relationship Id="rId1432" Type="http://schemas.openxmlformats.org/officeDocument/2006/relationships/hyperlink" Target="https://learn.microsoft.com/azure/cloud-adoption-framework/ready/landing-zone/design-area/multi-tenant/considerations-recommendations" TargetMode="External"/><Relationship Id="rId71" Type="http://schemas.openxmlformats.org/officeDocument/2006/relationships/hyperlink" Target="https://learn.microsoft.com/azure/cloud-adoption-framework/ready/landing-zone/design-area/multi-tenant/considerations-recommendations" TargetMode="External"/><Relationship Id="rId802" Type="http://schemas.openxmlformats.org/officeDocument/2006/relationships/hyperlink" Target="https://learn.microsoft.com/azure/cloud-adoption-framework/ready/landing-zone/design-area/multi-tenant/considerations-recommendations" TargetMode="External"/><Relationship Id="rId178" Type="http://schemas.openxmlformats.org/officeDocument/2006/relationships/hyperlink" Target="https://learn.microsoft.com/azure/cloud-adoption-framework/ready/landing-zone/design-area/multi-tenant/considerations-recommendations" TargetMode="External"/><Relationship Id="rId385" Type="http://schemas.openxmlformats.org/officeDocument/2006/relationships/hyperlink" Target="https://learn.microsoft.com/azure/cloud-adoption-framework/ready/landing-zone/design-area/multi-tenant/considerations-recommendations" TargetMode="External"/><Relationship Id="rId592" Type="http://schemas.openxmlformats.org/officeDocument/2006/relationships/hyperlink" Target="https://learn.microsoft.com/azure/cloud-adoption-framework/ready/landing-zone/design-area/multi-tenant/considerations-recommendations" TargetMode="External"/><Relationship Id="rId2066" Type="http://schemas.openxmlformats.org/officeDocument/2006/relationships/hyperlink" Target="https://learn.microsoft.com/azure/cloud-adoption-framework/ready/landing-zone/design-area/multi-tenant/considerations-recommendations" TargetMode="External"/><Relationship Id="rId2273" Type="http://schemas.openxmlformats.org/officeDocument/2006/relationships/hyperlink" Target="https://learn.microsoft.com/azure/cloud-adoption-framework/ready/landing-zone/design-area/multi-tenant/considerations-recommendations" TargetMode="External"/><Relationship Id="rId2480" Type="http://schemas.openxmlformats.org/officeDocument/2006/relationships/hyperlink" Target="https://learn.microsoft.com/azure/nat-gateway/nat-overview" TargetMode="External"/><Relationship Id="rId245" Type="http://schemas.openxmlformats.org/officeDocument/2006/relationships/hyperlink" Target="https://learn.microsoft.com/azure/cloud-adoption-framework/ready/landing-zone/design-area/multi-tenant/considerations-recommendations" TargetMode="External"/><Relationship Id="rId452" Type="http://schemas.openxmlformats.org/officeDocument/2006/relationships/hyperlink" Target="https://learn.microsoft.com/azure/cloud-adoption-framework/ready/landing-zone/design-area/multi-tenant/considerations-recommendations" TargetMode="External"/><Relationship Id="rId1082" Type="http://schemas.openxmlformats.org/officeDocument/2006/relationships/hyperlink" Target="https://learn.microsoft.com/azure/cloud-adoption-framework/ready/landing-zone/design-area/multi-tenant/considerations-recommendations" TargetMode="External"/><Relationship Id="rId2133" Type="http://schemas.openxmlformats.org/officeDocument/2006/relationships/hyperlink" Target="https://learn.microsoft.com/azure/cloud-adoption-framework/ready/landing-zone/design-area/multi-tenant/considerations-recommendations" TargetMode="External"/><Relationship Id="rId2340" Type="http://schemas.openxmlformats.org/officeDocument/2006/relationships/hyperlink" Target="https://learn.microsoft.com/azure/cloud-adoption-framework/ready/landing-zone/design-area/multi-tenant/considerations-recommendations" TargetMode="External"/><Relationship Id="rId105" Type="http://schemas.openxmlformats.org/officeDocument/2006/relationships/hyperlink" Target="https://learn.microsoft.com/azure/cloud-adoption-framework/ready/landing-zone/design-area/multi-tenant/considerations-recommendations" TargetMode="External"/><Relationship Id="rId312" Type="http://schemas.openxmlformats.org/officeDocument/2006/relationships/hyperlink" Target="https://learn.microsoft.com/azure/cloud-adoption-framework/ready/landing-zone/design-area/multi-tenant/considerations-recommendations" TargetMode="External"/><Relationship Id="rId2200" Type="http://schemas.openxmlformats.org/officeDocument/2006/relationships/hyperlink" Target="https://learn.microsoft.com/azure/cloud-adoption-framework/ready/landing-zone/design-area/multi-tenant/considerations-recommendations" TargetMode="External"/><Relationship Id="rId1899" Type="http://schemas.openxmlformats.org/officeDocument/2006/relationships/hyperlink" Target="https://learn.microsoft.com/azure/cloud-adoption-framework/ready/landing-zone/design-area/multi-tenant/considerations-recommendations" TargetMode="External"/><Relationship Id="rId1759" Type="http://schemas.openxmlformats.org/officeDocument/2006/relationships/hyperlink" Target="https://learn.microsoft.com/azure/cloud-adoption-framework/ready/landing-zone/design-area/multi-tenant/considerations-recommendations" TargetMode="External"/><Relationship Id="rId1966" Type="http://schemas.openxmlformats.org/officeDocument/2006/relationships/hyperlink" Target="https://learn.microsoft.com/azure/cloud-adoption-framework/ready/landing-zone/design-area/multi-tenant/considerations-recommendations" TargetMode="External"/><Relationship Id="rId1619" Type="http://schemas.openxmlformats.org/officeDocument/2006/relationships/hyperlink" Target="https://learn.microsoft.com/azure/cloud-adoption-framework/ready/landing-zone/design-area/multi-tenant/considerations-recommendations" TargetMode="External"/><Relationship Id="rId1826" Type="http://schemas.openxmlformats.org/officeDocument/2006/relationships/hyperlink" Target="https://learn.microsoft.com/azure/cloud-adoption-framework/ready/landing-zone/design-area/multi-tenant/considerations-recommendations" TargetMode="External"/><Relationship Id="rId779" Type="http://schemas.openxmlformats.org/officeDocument/2006/relationships/hyperlink" Target="https://learn.microsoft.com/azure/cloud-adoption-framework/ready/landing-zone/design-area/multi-tenant/considerations-recommendations" TargetMode="External"/><Relationship Id="rId986" Type="http://schemas.openxmlformats.org/officeDocument/2006/relationships/hyperlink" Target="https://learn.microsoft.com/azure/cloud-adoption-framework/ready/landing-zone/design-area/multi-tenant/considerations-recommendations" TargetMode="External"/><Relationship Id="rId2667" Type="http://schemas.openxmlformats.org/officeDocument/2006/relationships/hyperlink" Target="https://learn.microsoft.com/azure/ai-services/openai/how-to/fine-tuning?tabs=turbo%2Cpython-new&amp;pivots=programming-language-studio" TargetMode="External"/><Relationship Id="rId639" Type="http://schemas.openxmlformats.org/officeDocument/2006/relationships/hyperlink" Target="https://learn.microsoft.com/azure/cloud-adoption-framework/ready/landing-zone/design-area/multi-tenant/considerations-recommendations" TargetMode="External"/><Relationship Id="rId1269" Type="http://schemas.openxmlformats.org/officeDocument/2006/relationships/hyperlink" Target="https://learn.microsoft.com/azure/cloud-adoption-framework/ready/landing-zone/design-area/multi-tenant/considerations-recommendations" TargetMode="External"/><Relationship Id="rId1476" Type="http://schemas.openxmlformats.org/officeDocument/2006/relationships/hyperlink" Target="https://learn.microsoft.com/azure/cloud-adoption-framework/ready/landing-zone/design-area/multi-tenant/considerations-recommendations" TargetMode="External"/><Relationship Id="rId846" Type="http://schemas.openxmlformats.org/officeDocument/2006/relationships/hyperlink" Target="https://learn.microsoft.com/azure/cloud-adoption-framework/ready/landing-zone/design-area/multi-tenant/considerations-recommendations" TargetMode="External"/><Relationship Id="rId1129" Type="http://schemas.openxmlformats.org/officeDocument/2006/relationships/hyperlink" Target="https://learn.microsoft.com/azure/cloud-adoption-framework/ready/landing-zone/design-area/multi-tenant/considerations-recommendations" TargetMode="External"/><Relationship Id="rId1683" Type="http://schemas.openxmlformats.org/officeDocument/2006/relationships/hyperlink" Target="https://learn.microsoft.com/azure/cloud-adoption-framework/ready/landing-zone/design-area/multi-tenant/considerations-recommendations" TargetMode="External"/><Relationship Id="rId1890" Type="http://schemas.openxmlformats.org/officeDocument/2006/relationships/hyperlink" Target="https://learn.microsoft.com/azure/cloud-adoption-framework/ready/landing-zone/design-area/multi-tenant/considerations-recommendations" TargetMode="External"/><Relationship Id="rId2527" Type="http://schemas.openxmlformats.org/officeDocument/2006/relationships/hyperlink" Target="https://learn.microsoft.com/learn/paths/azure-administrator-manage-identities-governance/" TargetMode="External"/><Relationship Id="rId2734" Type="http://schemas.openxmlformats.org/officeDocument/2006/relationships/hyperlink" Target="https://learn.microsoft.com/purview/purview" TargetMode="External"/><Relationship Id="rId706" Type="http://schemas.openxmlformats.org/officeDocument/2006/relationships/hyperlink" Target="https://learn.microsoft.com/azure/cloud-adoption-framework/ready/landing-zone/design-area/multi-tenant/considerations-recommendations" TargetMode="External"/><Relationship Id="rId913" Type="http://schemas.openxmlformats.org/officeDocument/2006/relationships/hyperlink" Target="https://learn.microsoft.com/azure/cloud-adoption-framework/ready/landing-zone/design-area/multi-tenant/considerations-recommendations" TargetMode="External"/><Relationship Id="rId1336" Type="http://schemas.openxmlformats.org/officeDocument/2006/relationships/hyperlink" Target="https://learn.microsoft.com/azure/cloud-adoption-framework/ready/landing-zone/design-area/multi-tenant/considerations-recommendations" TargetMode="External"/><Relationship Id="rId1543" Type="http://schemas.openxmlformats.org/officeDocument/2006/relationships/hyperlink" Target="https://learn.microsoft.com/azure/cloud-adoption-framework/ready/landing-zone/design-area/multi-tenant/considerations-recommendations" TargetMode="External"/><Relationship Id="rId1750" Type="http://schemas.openxmlformats.org/officeDocument/2006/relationships/hyperlink" Target="https://learn.microsoft.com/azure/cloud-adoption-framework/ready/landing-zone/design-area/multi-tenant/considerations-recommendations" TargetMode="External"/><Relationship Id="rId42" Type="http://schemas.openxmlformats.org/officeDocument/2006/relationships/hyperlink" Target="https://learn.microsoft.com/azure/cloud-adoption-framework/ready/landing-zone/design-area/multi-tenant/considerations-recommendations" TargetMode="External"/><Relationship Id="rId1403" Type="http://schemas.openxmlformats.org/officeDocument/2006/relationships/hyperlink" Target="https://learn.microsoft.com/azure/cloud-adoption-framework/ready/landing-zone/design-area/multi-tenant/considerations-recommendations" TargetMode="External"/><Relationship Id="rId1610" Type="http://schemas.openxmlformats.org/officeDocument/2006/relationships/hyperlink" Target="https://learn.microsoft.com/azure/cloud-adoption-framework/ready/landing-zone/design-area/multi-tenant/considerations-recommendations" TargetMode="External"/><Relationship Id="rId289" Type="http://schemas.openxmlformats.org/officeDocument/2006/relationships/hyperlink" Target="https://learn.microsoft.com/azure/cloud-adoption-framework/ready/landing-zone/design-area/multi-tenant/considerations-recommendations" TargetMode="External"/><Relationship Id="rId496" Type="http://schemas.openxmlformats.org/officeDocument/2006/relationships/hyperlink" Target="https://learn.microsoft.com/azure/cloud-adoption-framework/ready/landing-zone/design-area/multi-tenant/considerations-recommendations" TargetMode="External"/><Relationship Id="rId2177" Type="http://schemas.openxmlformats.org/officeDocument/2006/relationships/hyperlink" Target="https://learn.microsoft.com/azure/cloud-adoption-framework/ready/landing-zone/design-area/multi-tenant/considerations-recommendations" TargetMode="External"/><Relationship Id="rId2384" Type="http://schemas.openxmlformats.org/officeDocument/2006/relationships/hyperlink" Target="https://learn.microsoft.com/azure/api-management/set-edit-policies?tabs=form" TargetMode="External"/><Relationship Id="rId2591" Type="http://schemas.openxmlformats.org/officeDocument/2006/relationships/hyperlink" Target="https://learn.microsoft.com/azure/virtual-machines/managed-disks-overview" TargetMode="External"/><Relationship Id="rId149" Type="http://schemas.openxmlformats.org/officeDocument/2006/relationships/hyperlink" Target="https://learn.microsoft.com/azure/cloud-adoption-framework/ready/landing-zone/design-area/multi-tenant/considerations-recommendations" TargetMode="External"/><Relationship Id="rId356" Type="http://schemas.openxmlformats.org/officeDocument/2006/relationships/hyperlink" Target="https://learn.microsoft.com/azure/cloud-adoption-framework/ready/landing-zone/design-area/multi-tenant/considerations-recommendations" TargetMode="External"/><Relationship Id="rId563" Type="http://schemas.openxmlformats.org/officeDocument/2006/relationships/hyperlink" Target="https://learn.microsoft.com/azure/cloud-adoption-framework/ready/landing-zone/design-area/multi-tenant/considerations-recommendations" TargetMode="External"/><Relationship Id="rId770" Type="http://schemas.openxmlformats.org/officeDocument/2006/relationships/hyperlink" Target="https://learn.microsoft.com/azure/cloud-adoption-framework/ready/landing-zone/design-area/multi-tenant/considerations-recommendations" TargetMode="External"/><Relationship Id="rId1193" Type="http://schemas.openxmlformats.org/officeDocument/2006/relationships/hyperlink" Target="https://learn.microsoft.com/azure/cloud-adoption-framework/ready/landing-zone/design-area/multi-tenant/considerations-recommendations" TargetMode="External"/><Relationship Id="rId2037" Type="http://schemas.openxmlformats.org/officeDocument/2006/relationships/hyperlink" Target="https://learn.microsoft.com/azure/cloud-adoption-framework/ready/landing-zone/design-area/multi-tenant/considerations-recommendations" TargetMode="External"/><Relationship Id="rId2244" Type="http://schemas.openxmlformats.org/officeDocument/2006/relationships/hyperlink" Target="https://learn.microsoft.com/azure/cloud-adoption-framework/ready/landing-zone/design-area/multi-tenant/considerations-recommendations" TargetMode="External"/><Relationship Id="rId2451" Type="http://schemas.openxmlformats.org/officeDocument/2006/relationships/hyperlink" Target="https://learn.microsoft.com/azure/architecture/solution-ideas/articles/devsecops-in-azure" TargetMode="External"/><Relationship Id="rId216" Type="http://schemas.openxmlformats.org/officeDocument/2006/relationships/hyperlink" Target="https://learn.microsoft.com/azure/cloud-adoption-framework/ready/landing-zone/design-area/multi-tenant/considerations-recommendations" TargetMode="External"/><Relationship Id="rId423" Type="http://schemas.openxmlformats.org/officeDocument/2006/relationships/hyperlink" Target="https://learn.microsoft.com/azure/cloud-adoption-framework/ready/landing-zone/design-area/multi-tenant/considerations-recommendations" TargetMode="External"/><Relationship Id="rId1053" Type="http://schemas.openxmlformats.org/officeDocument/2006/relationships/hyperlink" Target="https://learn.microsoft.com/azure/cloud-adoption-framework/ready/landing-zone/design-area/multi-tenant/considerations-recommendations" TargetMode="External"/><Relationship Id="rId1260" Type="http://schemas.openxmlformats.org/officeDocument/2006/relationships/hyperlink" Target="https://learn.microsoft.com/azure/cloud-adoption-framework/ready/landing-zone/design-area/multi-tenant/considerations-recommendations" TargetMode="External"/><Relationship Id="rId2104" Type="http://schemas.openxmlformats.org/officeDocument/2006/relationships/hyperlink" Target="https://learn.microsoft.com/azure/cloud-adoption-framework/ready/landing-zone/design-area/multi-tenant/considerations-recommendations" TargetMode="External"/><Relationship Id="rId630" Type="http://schemas.openxmlformats.org/officeDocument/2006/relationships/hyperlink" Target="https://learn.microsoft.com/azure/cloud-adoption-framework/ready/landing-zone/design-area/multi-tenant/considerations-recommendations" TargetMode="External"/><Relationship Id="rId2311" Type="http://schemas.openxmlformats.org/officeDocument/2006/relationships/hyperlink" Target="https://learn.microsoft.com/azure/cloud-adoption-framework/ready/landing-zone/design-area/multi-tenant/considerations-recommendations" TargetMode="External"/><Relationship Id="rId1120" Type="http://schemas.openxmlformats.org/officeDocument/2006/relationships/hyperlink" Target="https://learn.microsoft.com/azure/cloud-adoption-framework/ready/landing-zone/design-area/multi-tenant/considerations-recommendations" TargetMode="External"/><Relationship Id="rId1937" Type="http://schemas.openxmlformats.org/officeDocument/2006/relationships/hyperlink" Target="https://learn.microsoft.com/azure/cloud-adoption-framework/ready/landing-zone/design-area/multi-tenant/considerations-recommendations" TargetMode="External"/><Relationship Id="rId280" Type="http://schemas.openxmlformats.org/officeDocument/2006/relationships/hyperlink" Target="https://learn.microsoft.com/azure/cloud-adoption-framework/ready/landing-zone/design-area/multi-tenant/considerations-recommendations" TargetMode="External"/><Relationship Id="rId140" Type="http://schemas.openxmlformats.org/officeDocument/2006/relationships/hyperlink" Target="https://learn.microsoft.com/azure/cloud-adoption-framework/ready/landing-zone/design-area/multi-tenant/considerations-recommendations" TargetMode="External"/><Relationship Id="rId6" Type="http://schemas.openxmlformats.org/officeDocument/2006/relationships/hyperlink" Target="https://learn.microsoft.com/azure/cloud-adoption-framework/ready/landing-zone/design-area/multi-tenant/considerations-recommendations" TargetMode="External"/><Relationship Id="rId957" Type="http://schemas.openxmlformats.org/officeDocument/2006/relationships/hyperlink" Target="https://learn.microsoft.com/azure/cloud-adoption-framework/ready/landing-zone/design-area/multi-tenant/considerations-recommendations" TargetMode="External"/><Relationship Id="rId1587" Type="http://schemas.openxmlformats.org/officeDocument/2006/relationships/hyperlink" Target="https://learn.microsoft.com/azure/cloud-adoption-framework/ready/landing-zone/design-area/multi-tenant/considerations-recommendations" TargetMode="External"/><Relationship Id="rId1794" Type="http://schemas.openxmlformats.org/officeDocument/2006/relationships/hyperlink" Target="https://learn.microsoft.com/azure/cloud-adoption-framework/ready/landing-zone/design-area/multi-tenant/considerations-recommendations" TargetMode="External"/><Relationship Id="rId2638" Type="http://schemas.openxmlformats.org/officeDocument/2006/relationships/hyperlink" Target="https://www.azadvertizer.net/azpolicyinitiativesadvertizer/Enforce-Guardrails-APIM.html" TargetMode="External"/><Relationship Id="rId86" Type="http://schemas.openxmlformats.org/officeDocument/2006/relationships/hyperlink" Target="https://learn.microsoft.com/azure/cloud-adoption-framework/ready/landing-zone/design-area/multi-tenant/considerations-recommendations" TargetMode="External"/><Relationship Id="rId817" Type="http://schemas.openxmlformats.org/officeDocument/2006/relationships/hyperlink" Target="https://learn.microsoft.com/azure/cloud-adoption-framework/ready/landing-zone/design-area/multi-tenant/considerations-recommendations" TargetMode="External"/><Relationship Id="rId1447" Type="http://schemas.openxmlformats.org/officeDocument/2006/relationships/hyperlink" Target="https://learn.microsoft.com/azure/cloud-adoption-framework/ready/landing-zone/design-area/multi-tenant/considerations-recommendations" TargetMode="External"/><Relationship Id="rId1654" Type="http://schemas.openxmlformats.org/officeDocument/2006/relationships/hyperlink" Target="https://learn.microsoft.com/azure/cloud-adoption-framework/ready/landing-zone/design-area/multi-tenant/considerations-recommendations" TargetMode="External"/><Relationship Id="rId1861" Type="http://schemas.openxmlformats.org/officeDocument/2006/relationships/hyperlink" Target="https://learn.microsoft.com/azure/cloud-adoption-framework/ready/landing-zone/design-area/multi-tenant/considerations-recommendations" TargetMode="External"/><Relationship Id="rId2705" Type="http://schemas.openxmlformats.org/officeDocument/2006/relationships/hyperlink" Target="https://learn.microsoft.com/azure/ai-services/openai/how-to/manage-costs" TargetMode="External"/><Relationship Id="rId1307" Type="http://schemas.openxmlformats.org/officeDocument/2006/relationships/hyperlink" Target="https://learn.microsoft.com/azure/cloud-adoption-framework/ready/landing-zone/design-area/multi-tenant/considerations-recommendations" TargetMode="External"/><Relationship Id="rId1514" Type="http://schemas.openxmlformats.org/officeDocument/2006/relationships/hyperlink" Target="https://learn.microsoft.com/azure/cloud-adoption-framework/ready/landing-zone/design-area/multi-tenant/considerations-recommendations" TargetMode="External"/><Relationship Id="rId1721" Type="http://schemas.openxmlformats.org/officeDocument/2006/relationships/hyperlink" Target="https://learn.microsoft.com/azure/cloud-adoption-framework/ready/landing-zone/design-area/multi-tenant/considerations-recommendations" TargetMode="External"/><Relationship Id="rId13" Type="http://schemas.openxmlformats.org/officeDocument/2006/relationships/hyperlink" Target="https://learn.microsoft.com/azure/cloud-adoption-framework/ready/landing-zone/design-area/multi-tenant/considerations-recommendations" TargetMode="External"/><Relationship Id="rId2288" Type="http://schemas.openxmlformats.org/officeDocument/2006/relationships/hyperlink" Target="https://learn.microsoft.com/azure/cloud-adoption-framework/ready/landing-zone/design-area/multi-tenant/considerations-recommendations" TargetMode="External"/><Relationship Id="rId2495" Type="http://schemas.openxmlformats.org/officeDocument/2006/relationships/hyperlink" Target="https://learn.microsoft.com/azure/storage/blobs/soft-delete-blob-enable" TargetMode="External"/><Relationship Id="rId467" Type="http://schemas.openxmlformats.org/officeDocument/2006/relationships/hyperlink" Target="https://learn.microsoft.com/azure/cloud-adoption-framework/ready/landing-zone/design-area/multi-tenant/considerations-recommendations" TargetMode="External"/><Relationship Id="rId1097" Type="http://schemas.openxmlformats.org/officeDocument/2006/relationships/hyperlink" Target="https://learn.microsoft.com/azure/cloud-adoption-framework/ready/landing-zone/design-area/multi-tenant/considerations-recommendations" TargetMode="External"/><Relationship Id="rId2148" Type="http://schemas.openxmlformats.org/officeDocument/2006/relationships/hyperlink" Target="https://learn.microsoft.com/azure/cloud-adoption-framework/ready/landing-zone/design-area/multi-tenant/considerations-recommendations" TargetMode="External"/><Relationship Id="rId674" Type="http://schemas.openxmlformats.org/officeDocument/2006/relationships/hyperlink" Target="https://learn.microsoft.com/azure/cloud-adoption-framework/ready/landing-zone/design-area/multi-tenant/considerations-recommendations" TargetMode="External"/><Relationship Id="rId881" Type="http://schemas.openxmlformats.org/officeDocument/2006/relationships/hyperlink" Target="https://learn.microsoft.com/azure/cloud-adoption-framework/ready/landing-zone/design-area/multi-tenant/considerations-recommendations" TargetMode="External"/><Relationship Id="rId2355" Type="http://schemas.openxmlformats.org/officeDocument/2006/relationships/hyperlink" Target="https://learn.microsoft.com/azure/cloud-adoption-framework/ready/landing-zone/design-area/multi-tenant/considerations-recommendations" TargetMode="External"/><Relationship Id="rId2562" Type="http://schemas.openxmlformats.org/officeDocument/2006/relationships/hyperlink" Target="https://learn.microsoft.com/learn/paths/implement-applications-external-access-azure-ad/" TargetMode="External"/><Relationship Id="rId327" Type="http://schemas.openxmlformats.org/officeDocument/2006/relationships/hyperlink" Target="https://learn.microsoft.com/azure/cloud-adoption-framework/ready/landing-zone/design-area/multi-tenant/considerations-recommendations" TargetMode="External"/><Relationship Id="rId534" Type="http://schemas.openxmlformats.org/officeDocument/2006/relationships/hyperlink" Target="https://learn.microsoft.com/azure/cloud-adoption-framework/ready/landing-zone/design-area/multi-tenant/considerations-recommendations" TargetMode="External"/><Relationship Id="rId741" Type="http://schemas.openxmlformats.org/officeDocument/2006/relationships/hyperlink" Target="https://learn.microsoft.com/azure/cloud-adoption-framework/ready/landing-zone/design-area/multi-tenant/considerations-recommendations" TargetMode="External"/><Relationship Id="rId1164" Type="http://schemas.openxmlformats.org/officeDocument/2006/relationships/hyperlink" Target="https://learn.microsoft.com/azure/cloud-adoption-framework/ready/landing-zone/design-area/multi-tenant/considerations-recommendations" TargetMode="External"/><Relationship Id="rId1371" Type="http://schemas.openxmlformats.org/officeDocument/2006/relationships/hyperlink" Target="https://learn.microsoft.com/azure/cloud-adoption-framework/ready/landing-zone/design-area/multi-tenant/considerations-recommendations" TargetMode="External"/><Relationship Id="rId2008" Type="http://schemas.openxmlformats.org/officeDocument/2006/relationships/hyperlink" Target="https://learn.microsoft.com/azure/cloud-adoption-framework/ready/landing-zone/design-area/multi-tenant/considerations-recommendations" TargetMode="External"/><Relationship Id="rId2215" Type="http://schemas.openxmlformats.org/officeDocument/2006/relationships/hyperlink" Target="https://learn.microsoft.com/azure/cloud-adoption-framework/ready/landing-zone/design-area/multi-tenant/considerations-recommendations" TargetMode="External"/><Relationship Id="rId2422" Type="http://schemas.openxmlformats.org/officeDocument/2006/relationships/hyperlink" Target="https://learn.microsoft.com/azure/api-management/api-management-howto-manage-protocols-ciphers" TargetMode="External"/><Relationship Id="rId601" Type="http://schemas.openxmlformats.org/officeDocument/2006/relationships/hyperlink" Target="https://learn.microsoft.com/azure/cloud-adoption-framework/ready/landing-zone/design-area/multi-tenant/considerations-recommendations" TargetMode="External"/><Relationship Id="rId1024" Type="http://schemas.openxmlformats.org/officeDocument/2006/relationships/hyperlink" Target="https://learn.microsoft.com/azure/cloud-adoption-framework/ready/landing-zone/design-area/multi-tenant/considerations-recommendations" TargetMode="External"/><Relationship Id="rId1231" Type="http://schemas.openxmlformats.org/officeDocument/2006/relationships/hyperlink" Target="https://learn.microsoft.com/azure/cloud-adoption-framework/ready/landing-zone/design-area/multi-tenant/considerations-recommendations" TargetMode="External"/><Relationship Id="rId184" Type="http://schemas.openxmlformats.org/officeDocument/2006/relationships/hyperlink" Target="https://learn.microsoft.com/azure/cloud-adoption-framework/ready/landing-zone/design-area/multi-tenant/considerations-recommendations" TargetMode="External"/><Relationship Id="rId391" Type="http://schemas.openxmlformats.org/officeDocument/2006/relationships/hyperlink" Target="https://learn.microsoft.com/azure/cloud-adoption-framework/ready/landing-zone/design-area/multi-tenant/considerations-recommendations" TargetMode="External"/><Relationship Id="rId1908" Type="http://schemas.openxmlformats.org/officeDocument/2006/relationships/hyperlink" Target="https://learn.microsoft.com/azure/cloud-adoption-framework/ready/landing-zone/design-area/multi-tenant/considerations-recommendations" TargetMode="External"/><Relationship Id="rId2072" Type="http://schemas.openxmlformats.org/officeDocument/2006/relationships/hyperlink" Target="https://learn.microsoft.com/azure/cloud-adoption-framework/ready/landing-zone/design-area/multi-tenant/considerations-recommendations" TargetMode="External"/><Relationship Id="rId251" Type="http://schemas.openxmlformats.org/officeDocument/2006/relationships/hyperlink" Target="https://learn.microsoft.com/azure/cloud-adoption-framework/ready/landing-zone/design-area/multi-tenant/considerations-recommendations" TargetMode="External"/><Relationship Id="rId111" Type="http://schemas.openxmlformats.org/officeDocument/2006/relationships/hyperlink" Target="https://learn.microsoft.com/azure/cloud-adoption-framework/ready/landing-zone/design-area/multi-tenant/considerations-recommendations" TargetMode="External"/><Relationship Id="rId1698" Type="http://schemas.openxmlformats.org/officeDocument/2006/relationships/hyperlink" Target="https://learn.microsoft.com/azure/cloud-adoption-framework/ready/landing-zone/design-area/multi-tenant/considerations-recommendations" TargetMode="External"/><Relationship Id="rId2749" Type="http://schemas.openxmlformats.org/officeDocument/2006/relationships/hyperlink" Target="https://learn.microsoft.com/azure/cloud-adoption-framework/ready/azure-best-practices/resource-abbreviations" TargetMode="External"/><Relationship Id="rId928" Type="http://schemas.openxmlformats.org/officeDocument/2006/relationships/hyperlink" Target="https://learn.microsoft.com/azure/cloud-adoption-framework/ready/landing-zone/design-area/multi-tenant/considerations-recommendations" TargetMode="External"/><Relationship Id="rId1558" Type="http://schemas.openxmlformats.org/officeDocument/2006/relationships/hyperlink" Target="https://learn.microsoft.com/azure/cloud-adoption-framework/ready/landing-zone/design-area/multi-tenant/considerations-recommendations" TargetMode="External"/><Relationship Id="rId1765" Type="http://schemas.openxmlformats.org/officeDocument/2006/relationships/hyperlink" Target="https://learn.microsoft.com/azure/cloud-adoption-framework/ready/landing-zone/design-area/multi-tenant/considerations-recommendations" TargetMode="External"/><Relationship Id="rId2609" Type="http://schemas.openxmlformats.org/officeDocument/2006/relationships/hyperlink" Target="https://learn.microsoft.com/azure/architecture/reference-architectures/dmz/nva-ha" TargetMode="External"/><Relationship Id="rId57" Type="http://schemas.openxmlformats.org/officeDocument/2006/relationships/hyperlink" Target="https://learn.microsoft.com/azure/cloud-adoption-framework/ready/landing-zone/design-area/multi-tenant/considerations-recommendations" TargetMode="External"/><Relationship Id="rId1418" Type="http://schemas.openxmlformats.org/officeDocument/2006/relationships/hyperlink" Target="https://learn.microsoft.com/azure/cloud-adoption-framework/ready/landing-zone/design-area/multi-tenant/considerations-recommendations" TargetMode="External"/><Relationship Id="rId1972" Type="http://schemas.openxmlformats.org/officeDocument/2006/relationships/hyperlink" Target="https://learn.microsoft.com/azure/cloud-adoption-framework/ready/landing-zone/design-area/multi-tenant/considerations-recommendations" TargetMode="External"/><Relationship Id="rId1625" Type="http://schemas.openxmlformats.org/officeDocument/2006/relationships/hyperlink" Target="https://learn.microsoft.com/azure/cloud-adoption-framework/ready/landing-zone/design-area/multi-tenant/considerations-recommendations" TargetMode="External"/><Relationship Id="rId1832" Type="http://schemas.openxmlformats.org/officeDocument/2006/relationships/hyperlink" Target="https://learn.microsoft.com/azure/cloud-adoption-framework/ready/landing-zone/design-area/multi-tenant/considerations-recommendations" TargetMode="External"/><Relationship Id="rId2399" Type="http://schemas.openxmlformats.org/officeDocument/2006/relationships/hyperlink" Target="https://learn.microsoft.com/azure/api-management/api-management-howto-deploy-multi-region" TargetMode="External"/><Relationship Id="rId578" Type="http://schemas.openxmlformats.org/officeDocument/2006/relationships/hyperlink" Target="https://learn.microsoft.com/azure/cloud-adoption-framework/ready/landing-zone/design-area/multi-tenant/considerations-recommendations" TargetMode="External"/><Relationship Id="rId785" Type="http://schemas.openxmlformats.org/officeDocument/2006/relationships/hyperlink" Target="https://learn.microsoft.com/azure/cloud-adoption-framework/ready/landing-zone/design-area/multi-tenant/considerations-recommendations" TargetMode="External"/><Relationship Id="rId992" Type="http://schemas.openxmlformats.org/officeDocument/2006/relationships/hyperlink" Target="https://learn.microsoft.com/azure/cloud-adoption-framework/ready/landing-zone/design-area/multi-tenant/considerations-recommendations" TargetMode="External"/><Relationship Id="rId2259" Type="http://schemas.openxmlformats.org/officeDocument/2006/relationships/hyperlink" Target="https://learn.microsoft.com/azure/cloud-adoption-framework/ready/landing-zone/design-area/multi-tenant/considerations-recommendations" TargetMode="External"/><Relationship Id="rId2466" Type="http://schemas.openxmlformats.org/officeDocument/2006/relationships/hyperlink" Target="https://learn.microsoft.com/learn/modules/azure-ad-privileged-identity-management/" TargetMode="External"/><Relationship Id="rId2673" Type="http://schemas.openxmlformats.org/officeDocument/2006/relationships/hyperlink" Target="https://learn.microsoft.com/azure/search/search-reliability" TargetMode="External"/><Relationship Id="rId438" Type="http://schemas.openxmlformats.org/officeDocument/2006/relationships/hyperlink" Target="https://learn.microsoft.com/azure/cloud-adoption-framework/ready/landing-zone/design-area/multi-tenant/considerations-recommendations" TargetMode="External"/><Relationship Id="rId645" Type="http://schemas.openxmlformats.org/officeDocument/2006/relationships/hyperlink" Target="https://learn.microsoft.com/azure/cloud-adoption-framework/ready/landing-zone/design-area/multi-tenant/considerations-recommendations" TargetMode="External"/><Relationship Id="rId852" Type="http://schemas.openxmlformats.org/officeDocument/2006/relationships/hyperlink" Target="https://learn.microsoft.com/azure/cloud-adoption-framework/ready/landing-zone/design-area/multi-tenant/considerations-recommendations" TargetMode="External"/><Relationship Id="rId1068" Type="http://schemas.openxmlformats.org/officeDocument/2006/relationships/hyperlink" Target="https://learn.microsoft.com/azure/cloud-adoption-framework/ready/landing-zone/design-area/multi-tenant/considerations-recommendations" TargetMode="External"/><Relationship Id="rId1275" Type="http://schemas.openxmlformats.org/officeDocument/2006/relationships/hyperlink" Target="https://learn.microsoft.com/azure/cloud-adoption-framework/ready/landing-zone/design-area/multi-tenant/considerations-recommendations" TargetMode="External"/><Relationship Id="rId1482" Type="http://schemas.openxmlformats.org/officeDocument/2006/relationships/hyperlink" Target="https://learn.microsoft.com/azure/cloud-adoption-framework/ready/landing-zone/design-area/multi-tenant/considerations-recommendations" TargetMode="External"/><Relationship Id="rId2119" Type="http://schemas.openxmlformats.org/officeDocument/2006/relationships/hyperlink" Target="https://learn.microsoft.com/azure/cloud-adoption-framework/ready/landing-zone/design-area/multi-tenant/considerations-recommendations" TargetMode="External"/><Relationship Id="rId2326" Type="http://schemas.openxmlformats.org/officeDocument/2006/relationships/hyperlink" Target="https://learn.microsoft.com/azure/cloud-adoption-framework/ready/landing-zone/design-area/multi-tenant/considerations-recommendations" TargetMode="External"/><Relationship Id="rId2533" Type="http://schemas.openxmlformats.org/officeDocument/2006/relationships/hyperlink" Target="https://learn.microsoft.com/learn/paths/manage-identity-and-access/" TargetMode="External"/><Relationship Id="rId2740" Type="http://schemas.openxmlformats.org/officeDocument/2006/relationships/hyperlink" Target="https://techcommunity.microsoft.com/t5/azure-storage-blog/managing-long-term-log-retention-or-any-business-data/ba-p/2494791" TargetMode="External"/><Relationship Id="rId505" Type="http://schemas.openxmlformats.org/officeDocument/2006/relationships/hyperlink" Target="https://learn.microsoft.com/azure/cloud-adoption-framework/ready/landing-zone/design-area/multi-tenant/considerations-recommendations" TargetMode="External"/><Relationship Id="rId712" Type="http://schemas.openxmlformats.org/officeDocument/2006/relationships/hyperlink" Target="https://learn.microsoft.com/azure/cloud-adoption-framework/ready/landing-zone/design-area/multi-tenant/considerations-recommendations" TargetMode="External"/><Relationship Id="rId1135" Type="http://schemas.openxmlformats.org/officeDocument/2006/relationships/hyperlink" Target="https://learn.microsoft.com/azure/cloud-adoption-framework/ready/landing-zone/design-area/multi-tenant/considerations-recommendations" TargetMode="External"/><Relationship Id="rId1342" Type="http://schemas.openxmlformats.org/officeDocument/2006/relationships/hyperlink" Target="https://learn.microsoft.com/azure/cloud-adoption-framework/ready/landing-zone/design-area/multi-tenant/considerations-recommendations" TargetMode="External"/><Relationship Id="rId1202" Type="http://schemas.openxmlformats.org/officeDocument/2006/relationships/hyperlink" Target="https://learn.microsoft.com/azure/cloud-adoption-framework/ready/landing-zone/design-area/multi-tenant/considerations-recommendations" TargetMode="External"/><Relationship Id="rId2600" Type="http://schemas.openxmlformats.org/officeDocument/2006/relationships/hyperlink" Target="https://learn.microsoft.com/azure/storage/common/storage-redundancy" TargetMode="External"/><Relationship Id="rId295" Type="http://schemas.openxmlformats.org/officeDocument/2006/relationships/hyperlink" Target="https://learn.microsoft.com/azure/cloud-adoption-framework/ready/landing-zone/design-area/multi-tenant/considerations-recommendations" TargetMode="External"/><Relationship Id="rId2183" Type="http://schemas.openxmlformats.org/officeDocument/2006/relationships/hyperlink" Target="https://learn.microsoft.com/azure/cloud-adoption-framework/ready/landing-zone/design-area/multi-tenant/considerations-recommendations" TargetMode="External"/><Relationship Id="rId2390" Type="http://schemas.openxmlformats.org/officeDocument/2006/relationships/hyperlink" Target="https://learn.microsoft.com/azure/azure-resource-manager/management/azure-subscription-service-limits" TargetMode="External"/><Relationship Id="rId155" Type="http://schemas.openxmlformats.org/officeDocument/2006/relationships/hyperlink" Target="https://learn.microsoft.com/azure/cloud-adoption-framework/ready/landing-zone/design-area/multi-tenant/considerations-recommendations" TargetMode="External"/><Relationship Id="rId362" Type="http://schemas.openxmlformats.org/officeDocument/2006/relationships/hyperlink" Target="https://learn.microsoft.com/azure/cloud-adoption-framework/ready/landing-zone/design-area/multi-tenant/considerations-recommendations" TargetMode="External"/><Relationship Id="rId2043" Type="http://schemas.openxmlformats.org/officeDocument/2006/relationships/hyperlink" Target="https://learn.microsoft.com/azure/cloud-adoption-framework/ready/landing-zone/design-area/multi-tenant/considerations-recommendations" TargetMode="External"/><Relationship Id="rId2250" Type="http://schemas.openxmlformats.org/officeDocument/2006/relationships/hyperlink" Target="https://learn.microsoft.com/azure/cloud-adoption-framework/ready/landing-zone/design-area/multi-tenant/considerations-recommendations" TargetMode="External"/><Relationship Id="rId222" Type="http://schemas.openxmlformats.org/officeDocument/2006/relationships/hyperlink" Target="https://learn.microsoft.com/azure/cloud-adoption-framework/ready/landing-zone/design-area/multi-tenant/considerations-recommendations" TargetMode="External"/><Relationship Id="rId2110" Type="http://schemas.openxmlformats.org/officeDocument/2006/relationships/hyperlink" Target="https://learn.microsoft.com/azure/cloud-adoption-framework/ready/landing-zone/design-area/multi-tenant/considerations-recommendations" TargetMode="External"/><Relationship Id="rId1669" Type="http://schemas.openxmlformats.org/officeDocument/2006/relationships/hyperlink" Target="https://learn.microsoft.com/azure/cloud-adoption-framework/ready/landing-zone/design-area/multi-tenant/considerations-recommendations" TargetMode="External"/><Relationship Id="rId1876" Type="http://schemas.openxmlformats.org/officeDocument/2006/relationships/hyperlink" Target="https://learn.microsoft.com/azure/cloud-adoption-framework/ready/landing-zone/design-area/multi-tenant/considerations-recommendations" TargetMode="External"/><Relationship Id="rId1529" Type="http://schemas.openxmlformats.org/officeDocument/2006/relationships/hyperlink" Target="https://learn.microsoft.com/azure/cloud-adoption-framework/ready/landing-zone/design-area/multi-tenant/considerations-recommendations" TargetMode="External"/><Relationship Id="rId1736" Type="http://schemas.openxmlformats.org/officeDocument/2006/relationships/hyperlink" Target="https://learn.microsoft.com/azure/cloud-adoption-framework/ready/landing-zone/design-area/multi-tenant/considerations-recommendations" TargetMode="External"/><Relationship Id="rId1943" Type="http://schemas.openxmlformats.org/officeDocument/2006/relationships/hyperlink" Target="https://learn.microsoft.com/azure/cloud-adoption-framework/ready/landing-zone/design-area/multi-tenant/considerations-recommendations" TargetMode="External"/><Relationship Id="rId28" Type="http://schemas.openxmlformats.org/officeDocument/2006/relationships/hyperlink" Target="https://learn.microsoft.com/azure/cloud-adoption-framework/ready/landing-zone/design-area/multi-tenant/considerations-recommendations" TargetMode="External"/><Relationship Id="rId1803" Type="http://schemas.openxmlformats.org/officeDocument/2006/relationships/hyperlink" Target="https://learn.microsoft.com/azure/cloud-adoption-framework/ready/landing-zone/design-area/multi-tenant/considerations-recommendations" TargetMode="External"/><Relationship Id="rId689" Type="http://schemas.openxmlformats.org/officeDocument/2006/relationships/hyperlink" Target="https://learn.microsoft.com/azure/cloud-adoption-framework/ready/landing-zone/design-area/multi-tenant/considerations-recommendations" TargetMode="External"/><Relationship Id="rId896" Type="http://schemas.openxmlformats.org/officeDocument/2006/relationships/hyperlink" Target="https://learn.microsoft.com/azure/cloud-adoption-framework/ready/landing-zone/design-area/multi-tenant/considerations-recommendations" TargetMode="External"/><Relationship Id="rId2577" Type="http://schemas.openxmlformats.org/officeDocument/2006/relationships/hyperlink" Target="https://learn.microsoft.com/azure/web-application-firewall/afds/waf-front-door-best-practices" TargetMode="External"/><Relationship Id="rId549" Type="http://schemas.openxmlformats.org/officeDocument/2006/relationships/hyperlink" Target="https://learn.microsoft.com/azure/cloud-adoption-framework/ready/landing-zone/design-area/multi-tenant/considerations-recommendations" TargetMode="External"/><Relationship Id="rId756" Type="http://schemas.openxmlformats.org/officeDocument/2006/relationships/hyperlink" Target="https://learn.microsoft.com/azure/cloud-adoption-framework/ready/landing-zone/design-area/multi-tenant/considerations-recommendations" TargetMode="External"/><Relationship Id="rId1179" Type="http://schemas.openxmlformats.org/officeDocument/2006/relationships/hyperlink" Target="https://learn.microsoft.com/azure/cloud-adoption-framework/ready/landing-zone/design-area/multi-tenant/considerations-recommendations" TargetMode="External"/><Relationship Id="rId1386" Type="http://schemas.openxmlformats.org/officeDocument/2006/relationships/hyperlink" Target="https://learn.microsoft.com/azure/cloud-adoption-framework/ready/landing-zone/design-area/multi-tenant/considerations-recommendations" TargetMode="External"/><Relationship Id="rId1593" Type="http://schemas.openxmlformats.org/officeDocument/2006/relationships/hyperlink" Target="https://learn.microsoft.com/azure/cloud-adoption-framework/ready/landing-zone/design-area/multi-tenant/considerations-recommendations" TargetMode="External"/><Relationship Id="rId2437" Type="http://schemas.openxmlformats.org/officeDocument/2006/relationships/hyperlink" Target="https://learn.microsoft.com/azure/azure-monitor/essentials/activity-log" TargetMode="External"/><Relationship Id="rId409" Type="http://schemas.openxmlformats.org/officeDocument/2006/relationships/hyperlink" Target="https://learn.microsoft.com/azure/cloud-adoption-framework/ready/landing-zone/design-area/multi-tenant/considerations-recommendations" TargetMode="External"/><Relationship Id="rId963" Type="http://schemas.openxmlformats.org/officeDocument/2006/relationships/hyperlink" Target="https://learn.microsoft.com/azure/cloud-adoption-framework/ready/landing-zone/design-area/multi-tenant/considerations-recommendations" TargetMode="External"/><Relationship Id="rId1039" Type="http://schemas.openxmlformats.org/officeDocument/2006/relationships/hyperlink" Target="https://learn.microsoft.com/azure/cloud-adoption-framework/ready/landing-zone/design-area/multi-tenant/considerations-recommendations" TargetMode="External"/><Relationship Id="rId1246" Type="http://schemas.openxmlformats.org/officeDocument/2006/relationships/hyperlink" Target="https://learn.microsoft.com/azure/cloud-adoption-framework/ready/landing-zone/design-area/multi-tenant/considerations-recommendations" TargetMode="External"/><Relationship Id="rId2644" Type="http://schemas.openxmlformats.org/officeDocument/2006/relationships/hyperlink" Target="https://learn.microsoft.com/azure/ai-services/openai/how-to/monitoring" TargetMode="External"/><Relationship Id="rId92" Type="http://schemas.openxmlformats.org/officeDocument/2006/relationships/hyperlink" Target="https://learn.microsoft.com/azure/cloud-adoption-framework/ready/landing-zone/design-area/multi-tenant/considerations-recommendations" TargetMode="External"/><Relationship Id="rId616" Type="http://schemas.openxmlformats.org/officeDocument/2006/relationships/hyperlink" Target="https://learn.microsoft.com/azure/cloud-adoption-framework/ready/landing-zone/design-area/multi-tenant/considerations-recommendations" TargetMode="External"/><Relationship Id="rId823" Type="http://schemas.openxmlformats.org/officeDocument/2006/relationships/hyperlink" Target="https://learn.microsoft.com/azure/cloud-adoption-framework/ready/landing-zone/design-area/multi-tenant/considerations-recommendations" TargetMode="External"/><Relationship Id="rId1453" Type="http://schemas.openxmlformats.org/officeDocument/2006/relationships/hyperlink" Target="https://learn.microsoft.com/azure/cloud-adoption-framework/ready/landing-zone/design-area/multi-tenant/considerations-recommendations" TargetMode="External"/><Relationship Id="rId1660" Type="http://schemas.openxmlformats.org/officeDocument/2006/relationships/hyperlink" Target="https://learn.microsoft.com/azure/cloud-adoption-framework/ready/landing-zone/design-area/multi-tenant/considerations-recommendations" TargetMode="External"/><Relationship Id="rId2504" Type="http://schemas.openxmlformats.org/officeDocument/2006/relationships/hyperlink" Target="https://learn.microsoft.com/azure/storage/common/storage-sas-overview?toc=%2Fazure%2Fstorage%2Fblobs%2Ftoc.json" TargetMode="External"/><Relationship Id="rId2711" Type="http://schemas.openxmlformats.org/officeDocument/2006/relationships/hyperlink" Target="https://learn.microsoft.com/azure/defender-for-cloud/ai-threat-protection" TargetMode="External"/><Relationship Id="rId1106" Type="http://schemas.openxmlformats.org/officeDocument/2006/relationships/hyperlink" Target="https://learn.microsoft.com/azure/cloud-adoption-framework/ready/landing-zone/design-area/multi-tenant/considerations-recommendations" TargetMode="External"/><Relationship Id="rId1313" Type="http://schemas.openxmlformats.org/officeDocument/2006/relationships/hyperlink" Target="https://learn.microsoft.com/azure/cloud-adoption-framework/ready/landing-zone/design-area/multi-tenant/considerations-recommendations" TargetMode="External"/><Relationship Id="rId1520" Type="http://schemas.openxmlformats.org/officeDocument/2006/relationships/hyperlink" Target="https://learn.microsoft.com/azure/cloud-adoption-framework/ready/landing-zone/design-area/multi-tenant/considerations-recommendations" TargetMode="External"/><Relationship Id="rId199" Type="http://schemas.openxmlformats.org/officeDocument/2006/relationships/hyperlink" Target="https://learn.microsoft.com/azure/cloud-adoption-framework/ready/landing-zone/design-area/multi-tenant/considerations-recommendations" TargetMode="External"/><Relationship Id="rId2087" Type="http://schemas.openxmlformats.org/officeDocument/2006/relationships/hyperlink" Target="https://learn.microsoft.com/azure/cloud-adoption-framework/ready/landing-zone/design-area/multi-tenant/considerations-recommendations" TargetMode="External"/><Relationship Id="rId2294" Type="http://schemas.openxmlformats.org/officeDocument/2006/relationships/hyperlink" Target="https://learn.microsoft.com/azure/cloud-adoption-framework/ready/landing-zone/design-area/multi-tenant/considerations-recommendations" TargetMode="External"/><Relationship Id="rId266" Type="http://schemas.openxmlformats.org/officeDocument/2006/relationships/hyperlink" Target="https://learn.microsoft.com/azure/cloud-adoption-framework/ready/landing-zone/design-area/multi-tenant/considerations-recommendations" TargetMode="External"/><Relationship Id="rId473" Type="http://schemas.openxmlformats.org/officeDocument/2006/relationships/hyperlink" Target="https://learn.microsoft.com/azure/cloud-adoption-framework/ready/landing-zone/design-area/multi-tenant/considerations-recommendations" TargetMode="External"/><Relationship Id="rId680" Type="http://schemas.openxmlformats.org/officeDocument/2006/relationships/hyperlink" Target="https://learn.microsoft.com/azure/cloud-adoption-framework/ready/landing-zone/design-area/multi-tenant/considerations-recommendations" TargetMode="External"/><Relationship Id="rId2154" Type="http://schemas.openxmlformats.org/officeDocument/2006/relationships/hyperlink" Target="https://learn.microsoft.com/azure/cloud-adoption-framework/ready/landing-zone/design-area/multi-tenant/considerations-recommendations" TargetMode="External"/><Relationship Id="rId2361" Type="http://schemas.openxmlformats.org/officeDocument/2006/relationships/hyperlink" Target="https://learn.microsoft.com/azure/key-vault/general/best-practices" TargetMode="External"/><Relationship Id="rId126" Type="http://schemas.openxmlformats.org/officeDocument/2006/relationships/hyperlink" Target="https://learn.microsoft.com/azure/cloud-adoption-framework/ready/landing-zone/design-area/multi-tenant/considerations-recommendations" TargetMode="External"/><Relationship Id="rId333" Type="http://schemas.openxmlformats.org/officeDocument/2006/relationships/hyperlink" Target="https://learn.microsoft.com/azure/cloud-adoption-framework/ready/landing-zone/design-area/multi-tenant/considerations-recommendations" TargetMode="External"/><Relationship Id="rId540" Type="http://schemas.openxmlformats.org/officeDocument/2006/relationships/hyperlink" Target="https://learn.microsoft.com/azure/cloud-adoption-framework/ready/landing-zone/design-area/multi-tenant/considerations-recommendations" TargetMode="External"/><Relationship Id="rId1170" Type="http://schemas.openxmlformats.org/officeDocument/2006/relationships/hyperlink" Target="https://learn.microsoft.com/azure/cloud-adoption-framework/ready/landing-zone/design-area/multi-tenant/considerations-recommendations" TargetMode="External"/><Relationship Id="rId2014" Type="http://schemas.openxmlformats.org/officeDocument/2006/relationships/hyperlink" Target="https://learn.microsoft.com/azure/cloud-adoption-framework/ready/landing-zone/design-area/multi-tenant/considerations-recommendations" TargetMode="External"/><Relationship Id="rId2221" Type="http://schemas.openxmlformats.org/officeDocument/2006/relationships/hyperlink" Target="https://learn.microsoft.com/azure/cloud-adoption-framework/ready/landing-zone/design-area/multi-tenant/considerations-recommendations" TargetMode="External"/><Relationship Id="rId1030" Type="http://schemas.openxmlformats.org/officeDocument/2006/relationships/hyperlink" Target="https://learn.microsoft.com/azure/cloud-adoption-framework/ready/landing-zone/design-area/multi-tenant/considerations-recommendations" TargetMode="External"/><Relationship Id="rId400" Type="http://schemas.openxmlformats.org/officeDocument/2006/relationships/hyperlink" Target="https://learn.microsoft.com/azure/cloud-adoption-framework/ready/landing-zone/design-area/multi-tenant/considerations-recommendations" TargetMode="External"/><Relationship Id="rId1987" Type="http://schemas.openxmlformats.org/officeDocument/2006/relationships/hyperlink" Target="https://learn.microsoft.com/azure/cloud-adoption-framework/ready/landing-zone/design-area/multi-tenant/considerations-recommendations" TargetMode="External"/><Relationship Id="rId1847" Type="http://schemas.openxmlformats.org/officeDocument/2006/relationships/hyperlink" Target="https://learn.microsoft.com/azure/cloud-adoption-framework/ready/landing-zone/design-area/multi-tenant/considerations-recommendations" TargetMode="External"/><Relationship Id="rId1707" Type="http://schemas.openxmlformats.org/officeDocument/2006/relationships/hyperlink" Target="https://learn.microsoft.com/azure/cloud-adoption-framework/ready/landing-zone/design-area/multi-tenant/considerations-recommendations" TargetMode="External"/><Relationship Id="rId190" Type="http://schemas.openxmlformats.org/officeDocument/2006/relationships/hyperlink" Target="https://learn.microsoft.com/azure/cloud-adoption-framework/ready/landing-zone/design-area/multi-tenant/considerations-recommendations" TargetMode="External"/><Relationship Id="rId1914" Type="http://schemas.openxmlformats.org/officeDocument/2006/relationships/hyperlink" Target="https://learn.microsoft.com/azure/cloud-adoption-framework/ready/landing-zone/design-area/multi-tenant/considerations-recommendations" TargetMode="External"/><Relationship Id="rId2688" Type="http://schemas.openxmlformats.org/officeDocument/2006/relationships/hyperlink" Target="https://learn.microsoft.com/azure/machine-learning/prompt-flow/how-to-bulk-test-evaluate-flow?view=azureml-api-2" TargetMode="External"/><Relationship Id="rId867" Type="http://schemas.openxmlformats.org/officeDocument/2006/relationships/hyperlink" Target="https://learn.microsoft.com/azure/cloud-adoption-framework/ready/landing-zone/design-area/multi-tenant/considerations-recommendations" TargetMode="External"/><Relationship Id="rId1497" Type="http://schemas.openxmlformats.org/officeDocument/2006/relationships/hyperlink" Target="https://learn.microsoft.com/azure/cloud-adoption-framework/ready/landing-zone/design-area/multi-tenant/considerations-recommendations" TargetMode="External"/><Relationship Id="rId2548" Type="http://schemas.openxmlformats.org/officeDocument/2006/relationships/hyperlink" Target="https://learn.microsoft.com/learn/paths/secure-networking-infrastructure/" TargetMode="External"/><Relationship Id="rId2755" Type="http://schemas.openxmlformats.org/officeDocument/2006/relationships/hyperlink" Target="https://learn.microsoft.com/azure/devops/repos/security/github-advanced-security-dependency-scanning?view=azure-devops" TargetMode="External"/><Relationship Id="rId727" Type="http://schemas.openxmlformats.org/officeDocument/2006/relationships/hyperlink" Target="https://learn.microsoft.com/azure/cloud-adoption-framework/ready/landing-zone/design-area/multi-tenant/considerations-recommendations" TargetMode="External"/><Relationship Id="rId934" Type="http://schemas.openxmlformats.org/officeDocument/2006/relationships/hyperlink" Target="https://learn.microsoft.com/azure/cloud-adoption-framework/ready/landing-zone/design-area/multi-tenant/considerations-recommendations" TargetMode="External"/><Relationship Id="rId1357" Type="http://schemas.openxmlformats.org/officeDocument/2006/relationships/hyperlink" Target="https://learn.microsoft.com/azure/cloud-adoption-framework/ready/landing-zone/design-area/multi-tenant/considerations-recommendations" TargetMode="External"/><Relationship Id="rId1564" Type="http://schemas.openxmlformats.org/officeDocument/2006/relationships/hyperlink" Target="https://learn.microsoft.com/azure/cloud-adoption-framework/ready/landing-zone/design-area/multi-tenant/considerations-recommendations" TargetMode="External"/><Relationship Id="rId1771" Type="http://schemas.openxmlformats.org/officeDocument/2006/relationships/hyperlink" Target="https://learn.microsoft.com/azure/cloud-adoption-framework/ready/landing-zone/design-area/multi-tenant/considerations-recommendations" TargetMode="External"/><Relationship Id="rId2408" Type="http://schemas.openxmlformats.org/officeDocument/2006/relationships/hyperlink" Target="https://learn.microsoft.com/azure/api-management/retry-policy" TargetMode="External"/><Relationship Id="rId2615" Type="http://schemas.openxmlformats.org/officeDocument/2006/relationships/hyperlink" Target="https://learn.microsoft.com/azure/ai-studio/how-to/configure-managed-network" TargetMode="External"/><Relationship Id="rId63" Type="http://schemas.openxmlformats.org/officeDocument/2006/relationships/hyperlink" Target="https://learn.microsoft.com/azure/cloud-adoption-framework/ready/landing-zone/design-area/multi-tenant/considerations-recommendations" TargetMode="External"/><Relationship Id="rId1217" Type="http://schemas.openxmlformats.org/officeDocument/2006/relationships/hyperlink" Target="https://learn.microsoft.com/azure/cloud-adoption-framework/ready/landing-zone/design-area/multi-tenant/considerations-recommendations" TargetMode="External"/><Relationship Id="rId1424" Type="http://schemas.openxmlformats.org/officeDocument/2006/relationships/hyperlink" Target="https://learn.microsoft.com/azure/cloud-adoption-framework/ready/landing-zone/design-area/multi-tenant/considerations-recommendations" TargetMode="External"/><Relationship Id="rId1631" Type="http://schemas.openxmlformats.org/officeDocument/2006/relationships/hyperlink" Target="https://learn.microsoft.com/azure/cloud-adoption-framework/ready/landing-zone/design-area/multi-tenant/considerations-recommendations" TargetMode="External"/><Relationship Id="rId2198" Type="http://schemas.openxmlformats.org/officeDocument/2006/relationships/hyperlink" Target="https://learn.microsoft.com/azure/cloud-adoption-framework/ready/landing-zone/design-area/multi-tenant/considerations-recommendations" TargetMode="External"/><Relationship Id="rId377" Type="http://schemas.openxmlformats.org/officeDocument/2006/relationships/hyperlink" Target="https://learn.microsoft.com/azure/cloud-adoption-framework/ready/landing-zone/design-area/multi-tenant/considerations-recommendations" TargetMode="External"/><Relationship Id="rId584" Type="http://schemas.openxmlformats.org/officeDocument/2006/relationships/hyperlink" Target="https://learn.microsoft.com/azure/cloud-adoption-framework/ready/landing-zone/design-area/multi-tenant/considerations-recommendations" TargetMode="External"/><Relationship Id="rId2058" Type="http://schemas.openxmlformats.org/officeDocument/2006/relationships/hyperlink" Target="https://learn.microsoft.com/azure/cloud-adoption-framework/ready/landing-zone/design-area/multi-tenant/considerations-recommendations" TargetMode="External"/><Relationship Id="rId2265" Type="http://schemas.openxmlformats.org/officeDocument/2006/relationships/hyperlink" Target="https://learn.microsoft.com/azure/cloud-adoption-framework/ready/landing-zone/design-area/multi-tenant/considerations-recommendations" TargetMode="External"/><Relationship Id="rId237" Type="http://schemas.openxmlformats.org/officeDocument/2006/relationships/hyperlink" Target="https://learn.microsoft.com/azure/cloud-adoption-framework/ready/landing-zone/design-area/multi-tenant/considerations-recommendations" TargetMode="External"/><Relationship Id="rId791" Type="http://schemas.openxmlformats.org/officeDocument/2006/relationships/hyperlink" Target="https://learn.microsoft.com/azure/cloud-adoption-framework/ready/landing-zone/design-area/multi-tenant/considerations-recommendations" TargetMode="External"/><Relationship Id="rId1074" Type="http://schemas.openxmlformats.org/officeDocument/2006/relationships/hyperlink" Target="https://learn.microsoft.com/azure/cloud-adoption-framework/ready/landing-zone/design-area/multi-tenant/considerations-recommendations" TargetMode="External"/><Relationship Id="rId2472" Type="http://schemas.openxmlformats.org/officeDocument/2006/relationships/hyperlink" Target="https://learn.microsoft.com/azure/active-directory/app-proxy/application-proxy" TargetMode="External"/><Relationship Id="rId444" Type="http://schemas.openxmlformats.org/officeDocument/2006/relationships/hyperlink" Target="https://learn.microsoft.com/azure/cloud-adoption-framework/ready/landing-zone/design-area/multi-tenant/considerations-recommendations" TargetMode="External"/><Relationship Id="rId651" Type="http://schemas.openxmlformats.org/officeDocument/2006/relationships/hyperlink" Target="https://learn.microsoft.com/azure/cloud-adoption-framework/ready/landing-zone/design-area/multi-tenant/considerations-recommendations" TargetMode="External"/><Relationship Id="rId1281" Type="http://schemas.openxmlformats.org/officeDocument/2006/relationships/hyperlink" Target="https://learn.microsoft.com/azure/cloud-adoption-framework/ready/landing-zone/design-area/multi-tenant/considerations-recommendations" TargetMode="External"/><Relationship Id="rId2125" Type="http://schemas.openxmlformats.org/officeDocument/2006/relationships/hyperlink" Target="https://learn.microsoft.com/azure/cloud-adoption-framework/ready/landing-zone/design-area/multi-tenant/considerations-recommendations" TargetMode="External"/><Relationship Id="rId2332" Type="http://schemas.openxmlformats.org/officeDocument/2006/relationships/hyperlink" Target="https://learn.microsoft.com/azure/cloud-adoption-framework/ready/landing-zone/design-area/multi-tenant/considerations-recommendations" TargetMode="External"/><Relationship Id="rId304" Type="http://schemas.openxmlformats.org/officeDocument/2006/relationships/hyperlink" Target="https://learn.microsoft.com/azure/cloud-adoption-framework/ready/landing-zone/design-area/multi-tenant/considerations-recommendations" TargetMode="External"/><Relationship Id="rId511" Type="http://schemas.openxmlformats.org/officeDocument/2006/relationships/hyperlink" Target="https://learn.microsoft.com/azure/cloud-adoption-framework/ready/landing-zone/design-area/multi-tenant/considerations-recommendations" TargetMode="External"/><Relationship Id="rId1141" Type="http://schemas.openxmlformats.org/officeDocument/2006/relationships/hyperlink" Target="https://learn.microsoft.com/azure/cloud-adoption-framework/ready/landing-zone/design-area/multi-tenant/considerations-recommendations" TargetMode="External"/><Relationship Id="rId1001" Type="http://schemas.openxmlformats.org/officeDocument/2006/relationships/hyperlink" Target="https://learn.microsoft.com/azure/cloud-adoption-framework/ready/landing-zone/design-area/multi-tenant/considerations-recommendations" TargetMode="External"/><Relationship Id="rId1958" Type="http://schemas.openxmlformats.org/officeDocument/2006/relationships/hyperlink" Target="https://learn.microsoft.com/azure/cloud-adoption-framework/ready/landing-zone/design-area/multi-tenant/considerations-recommendations" TargetMode="External"/><Relationship Id="rId1818" Type="http://schemas.openxmlformats.org/officeDocument/2006/relationships/hyperlink" Target="https://learn.microsoft.com/azure/cloud-adoption-framework/ready/landing-zone/design-area/multi-tenant/considerations-recommendations" TargetMode="External"/><Relationship Id="rId161" Type="http://schemas.openxmlformats.org/officeDocument/2006/relationships/hyperlink" Target="https://learn.microsoft.com/azure/cloud-adoption-framework/ready/landing-zone/design-area/multi-tenant/considerations-recommendations" TargetMode="External"/><Relationship Id="rId978" Type="http://schemas.openxmlformats.org/officeDocument/2006/relationships/hyperlink" Target="https://learn.microsoft.com/azure/cloud-adoption-framework/ready/landing-zone/design-area/multi-tenant/considerations-recommendations" TargetMode="External"/><Relationship Id="rId2659" Type="http://schemas.openxmlformats.org/officeDocument/2006/relationships/hyperlink" Target="https://learn.microsoft.com/azure/machine-learning/prompt-flow/how-to-end-to-end-llmops-with-prompt-flow?view=azureml-api-2" TargetMode="External"/><Relationship Id="rId838" Type="http://schemas.openxmlformats.org/officeDocument/2006/relationships/hyperlink" Target="https://learn.microsoft.com/azure/cloud-adoption-framework/ready/landing-zone/design-area/multi-tenant/considerations-recommendations" TargetMode="External"/><Relationship Id="rId1468" Type="http://schemas.openxmlformats.org/officeDocument/2006/relationships/hyperlink" Target="https://learn.microsoft.com/azure/cloud-adoption-framework/ready/landing-zone/design-area/multi-tenant/considerations-recommendations" TargetMode="External"/><Relationship Id="rId1675" Type="http://schemas.openxmlformats.org/officeDocument/2006/relationships/hyperlink" Target="https://learn.microsoft.com/azure/cloud-adoption-framework/ready/landing-zone/design-area/multi-tenant/considerations-recommendations" TargetMode="External"/><Relationship Id="rId1882" Type="http://schemas.openxmlformats.org/officeDocument/2006/relationships/hyperlink" Target="https://learn.microsoft.com/azure/cloud-adoption-framework/ready/landing-zone/design-area/multi-tenant/considerations-recommendations" TargetMode="External"/><Relationship Id="rId2519" Type="http://schemas.openxmlformats.org/officeDocument/2006/relationships/hyperlink" Target="https://learn.microsoft.com/azure/storage/common/customer-managed-keys-overview?toc=%2Fazure%2Fstorage%2Fblobs%2Ftoc.json&amp;bc=%2Fazure%2Fstorage%2Fblobs%2Fbreadcrumb%2Ftoc.json" TargetMode="External"/><Relationship Id="rId2726" Type="http://schemas.openxmlformats.org/officeDocument/2006/relationships/hyperlink" Target="https://learn.microsoft.com/azure/search/monitor-azure-cognitive-search" TargetMode="External"/><Relationship Id="rId1328" Type="http://schemas.openxmlformats.org/officeDocument/2006/relationships/hyperlink" Target="https://learn.microsoft.com/azure/cloud-adoption-framework/ready/landing-zone/design-area/multi-tenant/considerations-recommendations" TargetMode="External"/><Relationship Id="rId1535" Type="http://schemas.openxmlformats.org/officeDocument/2006/relationships/hyperlink" Target="https://learn.microsoft.com/azure/cloud-adoption-framework/ready/landing-zone/design-area/multi-tenant/considerations-recommendations" TargetMode="External"/><Relationship Id="rId905" Type="http://schemas.openxmlformats.org/officeDocument/2006/relationships/hyperlink" Target="https://learn.microsoft.com/azure/cloud-adoption-framework/ready/landing-zone/design-area/multi-tenant/considerations-recommendations" TargetMode="External"/><Relationship Id="rId1742" Type="http://schemas.openxmlformats.org/officeDocument/2006/relationships/hyperlink" Target="https://learn.microsoft.com/azure/cloud-adoption-framework/ready/landing-zone/design-area/multi-tenant/considerations-recommendations" TargetMode="External"/><Relationship Id="rId34" Type="http://schemas.openxmlformats.org/officeDocument/2006/relationships/hyperlink" Target="https://learn.microsoft.com/azure/cloud-adoption-framework/ready/landing-zone/design-area/multi-tenant/considerations-recommendations" TargetMode="External"/><Relationship Id="rId1602" Type="http://schemas.openxmlformats.org/officeDocument/2006/relationships/hyperlink" Target="https://learn.microsoft.com/azure/cloud-adoption-framework/ready/landing-zone/design-area/multi-tenant/considerations-recommendations" TargetMode="External"/><Relationship Id="rId488" Type="http://schemas.openxmlformats.org/officeDocument/2006/relationships/hyperlink" Target="https://learn.microsoft.com/azure/cloud-adoption-framework/ready/landing-zone/design-area/multi-tenant/considerations-recommendations" TargetMode="External"/><Relationship Id="rId695" Type="http://schemas.openxmlformats.org/officeDocument/2006/relationships/hyperlink" Target="https://learn.microsoft.com/azure/cloud-adoption-framework/ready/landing-zone/design-area/multi-tenant/considerations-recommendations" TargetMode="External"/><Relationship Id="rId2169" Type="http://schemas.openxmlformats.org/officeDocument/2006/relationships/hyperlink" Target="https://learn.microsoft.com/azure/cloud-adoption-framework/ready/landing-zone/design-area/multi-tenant/considerations-recommendations" TargetMode="External"/><Relationship Id="rId2376" Type="http://schemas.openxmlformats.org/officeDocument/2006/relationships/hyperlink" Target="https://learn.microsoft.com/azure/security-center/" TargetMode="External"/><Relationship Id="rId2583" Type="http://schemas.openxmlformats.org/officeDocument/2006/relationships/hyperlink" Target="https://learn.microsoft.com/azure/web-application-firewall/afds/waf-front-door-best-practices" TargetMode="External"/><Relationship Id="rId348" Type="http://schemas.openxmlformats.org/officeDocument/2006/relationships/hyperlink" Target="https://learn.microsoft.com/azure/cloud-adoption-framework/ready/landing-zone/design-area/multi-tenant/considerations-recommendations" TargetMode="External"/><Relationship Id="rId555" Type="http://schemas.openxmlformats.org/officeDocument/2006/relationships/hyperlink" Target="https://learn.microsoft.com/azure/cloud-adoption-framework/ready/landing-zone/design-area/multi-tenant/considerations-recommendations" TargetMode="External"/><Relationship Id="rId762" Type="http://schemas.openxmlformats.org/officeDocument/2006/relationships/hyperlink" Target="https://learn.microsoft.com/azure/cloud-adoption-framework/ready/landing-zone/design-area/multi-tenant/considerations-recommendations" TargetMode="External"/><Relationship Id="rId1185" Type="http://schemas.openxmlformats.org/officeDocument/2006/relationships/hyperlink" Target="https://learn.microsoft.com/azure/cloud-adoption-framework/ready/landing-zone/design-area/multi-tenant/considerations-recommendations" TargetMode="External"/><Relationship Id="rId1392" Type="http://schemas.openxmlformats.org/officeDocument/2006/relationships/hyperlink" Target="https://learn.microsoft.com/azure/cloud-adoption-framework/ready/landing-zone/design-area/multi-tenant/considerations-recommendations" TargetMode="External"/><Relationship Id="rId2029" Type="http://schemas.openxmlformats.org/officeDocument/2006/relationships/hyperlink" Target="https://learn.microsoft.com/azure/cloud-adoption-framework/ready/landing-zone/design-area/multi-tenant/considerations-recommendations" TargetMode="External"/><Relationship Id="rId2236" Type="http://schemas.openxmlformats.org/officeDocument/2006/relationships/hyperlink" Target="https://learn.microsoft.com/azure/cloud-adoption-framework/ready/landing-zone/design-area/multi-tenant/considerations-recommendations" TargetMode="External"/><Relationship Id="rId2443" Type="http://schemas.openxmlformats.org/officeDocument/2006/relationships/hyperlink" Target="https://learn.microsoft.com/azure/app-service/configure-ssl-bindings" TargetMode="External"/><Relationship Id="rId2650" Type="http://schemas.openxmlformats.org/officeDocument/2006/relationships/hyperlink" Target="https://learn.microsoft.com/azure/ai-services/openai/how-to/latency" TargetMode="External"/><Relationship Id="rId208" Type="http://schemas.openxmlformats.org/officeDocument/2006/relationships/hyperlink" Target="https://learn.microsoft.com/azure/cloud-adoption-framework/ready/landing-zone/design-area/multi-tenant/considerations-recommendations" TargetMode="External"/><Relationship Id="rId415" Type="http://schemas.openxmlformats.org/officeDocument/2006/relationships/hyperlink" Target="https://learn.microsoft.com/azure/cloud-adoption-framework/ready/landing-zone/design-area/multi-tenant/considerations-recommendations" TargetMode="External"/><Relationship Id="rId622" Type="http://schemas.openxmlformats.org/officeDocument/2006/relationships/hyperlink" Target="https://learn.microsoft.com/azure/cloud-adoption-framework/ready/landing-zone/design-area/multi-tenant/considerations-recommendations" TargetMode="External"/><Relationship Id="rId1045" Type="http://schemas.openxmlformats.org/officeDocument/2006/relationships/hyperlink" Target="https://learn.microsoft.com/azure/cloud-adoption-framework/ready/landing-zone/design-area/multi-tenant/considerations-recommendations" TargetMode="External"/><Relationship Id="rId1252" Type="http://schemas.openxmlformats.org/officeDocument/2006/relationships/hyperlink" Target="https://learn.microsoft.com/azure/cloud-adoption-framework/ready/landing-zone/design-area/multi-tenant/considerations-recommendations" TargetMode="External"/><Relationship Id="rId2303" Type="http://schemas.openxmlformats.org/officeDocument/2006/relationships/hyperlink" Target="https://learn.microsoft.com/azure/cloud-adoption-framework/ready/landing-zone/design-area/multi-tenant/considerations-recommendations" TargetMode="External"/><Relationship Id="rId2510" Type="http://schemas.openxmlformats.org/officeDocument/2006/relationships/hyperlink" Target="https://microsoft.github.io/code-with-engineering-playbook/continuous-integration/dev-sec-ops/secret-management/recipes/detect-secrets-ado/" TargetMode="External"/><Relationship Id="rId1112" Type="http://schemas.openxmlformats.org/officeDocument/2006/relationships/hyperlink" Target="https://learn.microsoft.com/azure/cloud-adoption-framework/ready/landing-zone/design-area/multi-tenant/considerations-recommendations" TargetMode="External"/><Relationship Id="rId1929" Type="http://schemas.openxmlformats.org/officeDocument/2006/relationships/hyperlink" Target="https://learn.microsoft.com/azure/cloud-adoption-framework/ready/landing-zone/design-area/multi-tenant/considerations-recommendations" TargetMode="External"/><Relationship Id="rId2093" Type="http://schemas.openxmlformats.org/officeDocument/2006/relationships/hyperlink" Target="https://learn.microsoft.com/azure/cloud-adoption-framework/ready/landing-zone/design-area/multi-tenant/considerations-recommendations" TargetMode="External"/><Relationship Id="rId272" Type="http://schemas.openxmlformats.org/officeDocument/2006/relationships/hyperlink" Target="https://learn.microsoft.com/azure/cloud-adoption-framework/ready/landing-zone/design-area/multi-tenant/considerations-recommendations" TargetMode="External"/><Relationship Id="rId2160" Type="http://schemas.openxmlformats.org/officeDocument/2006/relationships/hyperlink" Target="https://learn.microsoft.com/azure/cloud-adoption-framework/ready/landing-zone/design-area/multi-tenant/considerations-recommendations" TargetMode="External"/><Relationship Id="rId132" Type="http://schemas.openxmlformats.org/officeDocument/2006/relationships/hyperlink" Target="https://learn.microsoft.com/azure/cloud-adoption-framework/ready/landing-zone/design-area/multi-tenant/considerations-recommendations" TargetMode="External"/><Relationship Id="rId2020" Type="http://schemas.openxmlformats.org/officeDocument/2006/relationships/hyperlink" Target="https://learn.microsoft.com/azure/cloud-adoption-framework/ready/landing-zone/design-area/multi-tenant/considerations-recommendations" TargetMode="External"/><Relationship Id="rId1579" Type="http://schemas.openxmlformats.org/officeDocument/2006/relationships/hyperlink" Target="https://learn.microsoft.com/azure/cloud-adoption-framework/ready/landing-zone/design-area/multi-tenant/considerations-recommendations" TargetMode="External"/><Relationship Id="rId949" Type="http://schemas.openxmlformats.org/officeDocument/2006/relationships/hyperlink" Target="https://learn.microsoft.com/azure/cloud-adoption-framework/ready/landing-zone/design-area/multi-tenant/considerations-recommendations" TargetMode="External"/><Relationship Id="rId1786" Type="http://schemas.openxmlformats.org/officeDocument/2006/relationships/hyperlink" Target="https://learn.microsoft.com/azure/cloud-adoption-framework/ready/landing-zone/design-area/multi-tenant/considerations-recommendations" TargetMode="External"/><Relationship Id="rId1993" Type="http://schemas.openxmlformats.org/officeDocument/2006/relationships/hyperlink" Target="https://learn.microsoft.com/azure/cloud-adoption-framework/ready/landing-zone/design-area/multi-tenant/considerations-recommendations" TargetMode="External"/><Relationship Id="rId78" Type="http://schemas.openxmlformats.org/officeDocument/2006/relationships/hyperlink" Target="https://learn.microsoft.com/azure/cloud-adoption-framework/ready/landing-zone/design-area/multi-tenant/considerations-recommendations" TargetMode="External"/><Relationship Id="rId809" Type="http://schemas.openxmlformats.org/officeDocument/2006/relationships/hyperlink" Target="https://learn.microsoft.com/azure/cloud-adoption-framework/ready/landing-zone/design-area/multi-tenant/considerations-recommendations" TargetMode="External"/><Relationship Id="rId1439" Type="http://schemas.openxmlformats.org/officeDocument/2006/relationships/hyperlink" Target="https://learn.microsoft.com/azure/cloud-adoption-framework/ready/landing-zone/design-area/multi-tenant/considerations-recommendations" TargetMode="External"/><Relationship Id="rId1646" Type="http://schemas.openxmlformats.org/officeDocument/2006/relationships/hyperlink" Target="https://learn.microsoft.com/azure/cloud-adoption-framework/ready/landing-zone/design-area/multi-tenant/considerations-recommendations" TargetMode="External"/><Relationship Id="rId1853" Type="http://schemas.openxmlformats.org/officeDocument/2006/relationships/hyperlink" Target="https://learn.microsoft.com/azure/cloud-adoption-framework/ready/landing-zone/design-area/multi-tenant/considerations-recommendations" TargetMode="External"/><Relationship Id="rId1506" Type="http://schemas.openxmlformats.org/officeDocument/2006/relationships/hyperlink" Target="https://learn.microsoft.com/azure/cloud-adoption-framework/ready/landing-zone/design-area/multi-tenant/considerations-recommendations" TargetMode="External"/><Relationship Id="rId1713" Type="http://schemas.openxmlformats.org/officeDocument/2006/relationships/hyperlink" Target="https://learn.microsoft.com/azure/cloud-adoption-framework/ready/landing-zone/design-area/multi-tenant/considerations-recommendations" TargetMode="External"/><Relationship Id="rId1920" Type="http://schemas.openxmlformats.org/officeDocument/2006/relationships/hyperlink" Target="https://learn.microsoft.com/azure/cloud-adoption-framework/ready/landing-zone/design-area/multi-tenant/considerations-recommendations" TargetMode="External"/><Relationship Id="rId599" Type="http://schemas.openxmlformats.org/officeDocument/2006/relationships/hyperlink" Target="https://learn.microsoft.com/azure/cloud-adoption-framework/ready/landing-zone/design-area/multi-tenant/considerations-recommendations" TargetMode="External"/><Relationship Id="rId2487" Type="http://schemas.openxmlformats.org/officeDocument/2006/relationships/hyperlink" Target="https://learn.microsoft.com/azure/spring-apps/how-to-configure-enterprise-spring-cloud-gateway" TargetMode="External"/><Relationship Id="rId2694" Type="http://schemas.openxmlformats.org/officeDocument/2006/relationships/hyperlink" Target="https://github.com/Azure/Community-Policy/tree/main/policyDefinitions/Compute/deploy-vm-auto-shutdown" TargetMode="External"/><Relationship Id="rId459" Type="http://schemas.openxmlformats.org/officeDocument/2006/relationships/hyperlink" Target="https://learn.microsoft.com/azure/cloud-adoption-framework/ready/landing-zone/design-area/multi-tenant/considerations-recommendations" TargetMode="External"/><Relationship Id="rId666" Type="http://schemas.openxmlformats.org/officeDocument/2006/relationships/hyperlink" Target="https://learn.microsoft.com/azure/cloud-adoption-framework/ready/landing-zone/design-area/multi-tenant/considerations-recommendations" TargetMode="External"/><Relationship Id="rId873" Type="http://schemas.openxmlformats.org/officeDocument/2006/relationships/hyperlink" Target="https://learn.microsoft.com/azure/cloud-adoption-framework/ready/landing-zone/design-area/multi-tenant/considerations-recommendations" TargetMode="External"/><Relationship Id="rId1089" Type="http://schemas.openxmlformats.org/officeDocument/2006/relationships/hyperlink" Target="https://learn.microsoft.com/azure/cloud-adoption-framework/ready/landing-zone/design-area/multi-tenant/considerations-recommendations" TargetMode="External"/><Relationship Id="rId1296" Type="http://schemas.openxmlformats.org/officeDocument/2006/relationships/hyperlink" Target="https://learn.microsoft.com/azure/cloud-adoption-framework/ready/landing-zone/design-area/multi-tenant/considerations-recommendations" TargetMode="External"/><Relationship Id="rId2347" Type="http://schemas.openxmlformats.org/officeDocument/2006/relationships/hyperlink" Target="https://learn.microsoft.com/azure/cloud-adoption-framework/ready/landing-zone/design-area/multi-tenant/considerations-recommendations" TargetMode="External"/><Relationship Id="rId2554" Type="http://schemas.openxmlformats.org/officeDocument/2006/relationships/hyperlink" Target="https://learn.microsoft.com/learn/paths/secure-networking-infrastructure/" TargetMode="External"/><Relationship Id="rId319" Type="http://schemas.openxmlformats.org/officeDocument/2006/relationships/hyperlink" Target="https://learn.microsoft.com/azure/cloud-adoption-framework/ready/landing-zone/design-area/multi-tenant/considerations-recommendations" TargetMode="External"/><Relationship Id="rId526" Type="http://schemas.openxmlformats.org/officeDocument/2006/relationships/hyperlink" Target="https://learn.microsoft.com/azure/cloud-adoption-framework/ready/landing-zone/design-area/multi-tenant/considerations-recommendations" TargetMode="External"/><Relationship Id="rId1156" Type="http://schemas.openxmlformats.org/officeDocument/2006/relationships/hyperlink" Target="https://learn.microsoft.com/azure/cloud-adoption-framework/ready/landing-zone/design-area/multi-tenant/considerations-recommendations" TargetMode="External"/><Relationship Id="rId1363" Type="http://schemas.openxmlformats.org/officeDocument/2006/relationships/hyperlink" Target="https://learn.microsoft.com/azure/cloud-adoption-framework/ready/landing-zone/design-area/multi-tenant/considerations-recommendations" TargetMode="External"/><Relationship Id="rId2207" Type="http://schemas.openxmlformats.org/officeDocument/2006/relationships/hyperlink" Target="https://learn.microsoft.com/azure/cloud-adoption-framework/ready/landing-zone/design-area/multi-tenant/considerations-recommendations" TargetMode="External"/><Relationship Id="rId2761" Type="http://schemas.openxmlformats.org/officeDocument/2006/relationships/hyperlink" Target="https://learn.microsoft.com/azure/active-directory/authentication/concept-mfa-howitworks" TargetMode="External"/><Relationship Id="rId733" Type="http://schemas.openxmlformats.org/officeDocument/2006/relationships/hyperlink" Target="https://learn.microsoft.com/azure/cloud-adoption-framework/ready/landing-zone/design-area/multi-tenant/considerations-recommendations" TargetMode="External"/><Relationship Id="rId940" Type="http://schemas.openxmlformats.org/officeDocument/2006/relationships/hyperlink" Target="https://learn.microsoft.com/azure/cloud-adoption-framework/ready/landing-zone/design-area/multi-tenant/considerations-recommendations" TargetMode="External"/><Relationship Id="rId1016" Type="http://schemas.openxmlformats.org/officeDocument/2006/relationships/hyperlink" Target="https://learn.microsoft.com/azure/cloud-adoption-framework/ready/landing-zone/design-area/multi-tenant/considerations-recommendations" TargetMode="External"/><Relationship Id="rId1570" Type="http://schemas.openxmlformats.org/officeDocument/2006/relationships/hyperlink" Target="https://learn.microsoft.com/azure/cloud-adoption-framework/ready/landing-zone/design-area/multi-tenant/considerations-recommendations" TargetMode="External"/><Relationship Id="rId2414" Type="http://schemas.openxmlformats.org/officeDocument/2006/relationships/hyperlink" Target="https://learn.microsoft.com/azure/api-management/automation-manage-api-management" TargetMode="External"/><Relationship Id="rId2621" Type="http://schemas.openxmlformats.org/officeDocument/2006/relationships/hyperlink" Target="https://learn.microsoft.com/azure/ai-services/openai/how-to/business-continuity-disaster-recovery" TargetMode="External"/><Relationship Id="rId800" Type="http://schemas.openxmlformats.org/officeDocument/2006/relationships/hyperlink" Target="https://learn.microsoft.com/azure/cloud-adoption-framework/ready/landing-zone/design-area/multi-tenant/considerations-recommendations" TargetMode="External"/><Relationship Id="rId1223" Type="http://schemas.openxmlformats.org/officeDocument/2006/relationships/hyperlink" Target="https://learn.microsoft.com/azure/cloud-adoption-framework/ready/landing-zone/design-area/multi-tenant/considerations-recommendations" TargetMode="External"/><Relationship Id="rId1430" Type="http://schemas.openxmlformats.org/officeDocument/2006/relationships/hyperlink" Target="https://learn.microsoft.com/azure/cloud-adoption-framework/ready/landing-zone/design-area/multi-tenant/considerations-recommendations" TargetMode="External"/><Relationship Id="rId176" Type="http://schemas.openxmlformats.org/officeDocument/2006/relationships/hyperlink" Target="https://learn.microsoft.com/azure/cloud-adoption-framework/ready/landing-zone/design-area/multi-tenant/considerations-recommendations" TargetMode="External"/><Relationship Id="rId383" Type="http://schemas.openxmlformats.org/officeDocument/2006/relationships/hyperlink" Target="https://learn.microsoft.com/azure/cloud-adoption-framework/ready/landing-zone/design-area/multi-tenant/considerations-recommendations" TargetMode="External"/><Relationship Id="rId590" Type="http://schemas.openxmlformats.org/officeDocument/2006/relationships/hyperlink" Target="https://learn.microsoft.com/azure/cloud-adoption-framework/ready/landing-zone/design-area/multi-tenant/considerations-recommendations" TargetMode="External"/><Relationship Id="rId2064" Type="http://schemas.openxmlformats.org/officeDocument/2006/relationships/hyperlink" Target="https://learn.microsoft.com/azure/cloud-adoption-framework/ready/landing-zone/design-area/multi-tenant/considerations-recommendations" TargetMode="External"/><Relationship Id="rId2271" Type="http://schemas.openxmlformats.org/officeDocument/2006/relationships/hyperlink" Target="https://learn.microsoft.com/azure/cloud-adoption-framework/ready/landing-zone/design-area/multi-tenant/considerations-recommendations" TargetMode="External"/><Relationship Id="rId243" Type="http://schemas.openxmlformats.org/officeDocument/2006/relationships/hyperlink" Target="https://learn.microsoft.com/azure/cloud-adoption-framework/ready/landing-zone/design-area/multi-tenant/considerations-recommendations" TargetMode="External"/><Relationship Id="rId450" Type="http://schemas.openxmlformats.org/officeDocument/2006/relationships/hyperlink" Target="https://learn.microsoft.com/azure/cloud-adoption-framework/ready/landing-zone/design-area/multi-tenant/considerations-recommendations" TargetMode="External"/><Relationship Id="rId1080" Type="http://schemas.openxmlformats.org/officeDocument/2006/relationships/hyperlink" Target="https://learn.microsoft.com/azure/cloud-adoption-framework/ready/landing-zone/design-area/multi-tenant/considerations-recommendations" TargetMode="External"/><Relationship Id="rId2131" Type="http://schemas.openxmlformats.org/officeDocument/2006/relationships/hyperlink" Target="https://learn.microsoft.com/azure/cloud-adoption-framework/ready/landing-zone/design-area/multi-tenant/considerations-recommendations" TargetMode="External"/><Relationship Id="rId103" Type="http://schemas.openxmlformats.org/officeDocument/2006/relationships/hyperlink" Target="https://learn.microsoft.com/azure/cloud-adoption-framework/ready/landing-zone/design-area/multi-tenant/considerations-recommendations" TargetMode="External"/><Relationship Id="rId310" Type="http://schemas.openxmlformats.org/officeDocument/2006/relationships/hyperlink" Target="https://learn.microsoft.com/azure/cloud-adoption-framework/ready/landing-zone/design-area/multi-tenant/considerations-recommendations" TargetMode="External"/><Relationship Id="rId1897" Type="http://schemas.openxmlformats.org/officeDocument/2006/relationships/hyperlink" Target="https://learn.microsoft.com/azure/cloud-adoption-framework/ready/landing-zone/design-area/multi-tenant/considerations-recommendations" TargetMode="External"/><Relationship Id="rId1757" Type="http://schemas.openxmlformats.org/officeDocument/2006/relationships/hyperlink" Target="https://learn.microsoft.com/azure/cloud-adoption-framework/ready/landing-zone/design-area/multi-tenant/considerations-recommendations" TargetMode="External"/><Relationship Id="rId1964" Type="http://schemas.openxmlformats.org/officeDocument/2006/relationships/hyperlink" Target="https://learn.microsoft.com/azure/cloud-adoption-framework/ready/landing-zone/design-area/multi-tenant/considerations-recommendations" TargetMode="External"/><Relationship Id="rId49" Type="http://schemas.openxmlformats.org/officeDocument/2006/relationships/hyperlink" Target="https://learn.microsoft.com/azure/cloud-adoption-framework/ready/landing-zone/design-area/multi-tenant/considerations-recommendations" TargetMode="External"/><Relationship Id="rId1617" Type="http://schemas.openxmlformats.org/officeDocument/2006/relationships/hyperlink" Target="https://learn.microsoft.com/azure/cloud-adoption-framework/ready/landing-zone/design-area/multi-tenant/considerations-recommendations" TargetMode="External"/><Relationship Id="rId1824" Type="http://schemas.openxmlformats.org/officeDocument/2006/relationships/hyperlink" Target="https://learn.microsoft.com/azure/cloud-adoption-framework/ready/landing-zone/design-area/multi-tenant/considerations-recommendations" TargetMode="External"/><Relationship Id="rId2598" Type="http://schemas.openxmlformats.org/officeDocument/2006/relationships/hyperlink" Target="https://learn.microsoft.com/azure/quotas/per-vm-quota-requests" TargetMode="External"/><Relationship Id="rId777" Type="http://schemas.openxmlformats.org/officeDocument/2006/relationships/hyperlink" Target="https://learn.microsoft.com/azure/cloud-adoption-framework/ready/landing-zone/design-area/multi-tenant/considerations-recommendations" TargetMode="External"/><Relationship Id="rId984" Type="http://schemas.openxmlformats.org/officeDocument/2006/relationships/hyperlink" Target="https://learn.microsoft.com/azure/cloud-adoption-framework/ready/landing-zone/design-area/multi-tenant/considerations-recommendations" TargetMode="External"/><Relationship Id="rId2458" Type="http://schemas.openxmlformats.org/officeDocument/2006/relationships/hyperlink" Target="https://learn.microsoft.com/learn/paths/azure-administrator-manage-identities-governance/" TargetMode="External"/><Relationship Id="rId2665" Type="http://schemas.openxmlformats.org/officeDocument/2006/relationships/hyperlink" Target="https://www.microsoft.com/haxtoolkit/guideline/encourage-granular-feedback/" TargetMode="External"/><Relationship Id="rId637" Type="http://schemas.openxmlformats.org/officeDocument/2006/relationships/hyperlink" Target="https://learn.microsoft.com/azure/cloud-adoption-framework/ready/landing-zone/design-area/multi-tenant/considerations-recommendations" TargetMode="External"/><Relationship Id="rId844" Type="http://schemas.openxmlformats.org/officeDocument/2006/relationships/hyperlink" Target="https://learn.microsoft.com/azure/cloud-adoption-framework/ready/landing-zone/design-area/multi-tenant/considerations-recommendations" TargetMode="External"/><Relationship Id="rId1267" Type="http://schemas.openxmlformats.org/officeDocument/2006/relationships/hyperlink" Target="https://learn.microsoft.com/azure/cloud-adoption-framework/ready/landing-zone/design-area/multi-tenant/considerations-recommendations" TargetMode="External"/><Relationship Id="rId1474" Type="http://schemas.openxmlformats.org/officeDocument/2006/relationships/hyperlink" Target="https://learn.microsoft.com/azure/cloud-adoption-framework/ready/landing-zone/design-area/multi-tenant/considerations-recommendations" TargetMode="External"/><Relationship Id="rId1681" Type="http://schemas.openxmlformats.org/officeDocument/2006/relationships/hyperlink" Target="https://learn.microsoft.com/azure/cloud-adoption-framework/ready/landing-zone/design-area/multi-tenant/considerations-recommendations" TargetMode="External"/><Relationship Id="rId2318" Type="http://schemas.openxmlformats.org/officeDocument/2006/relationships/hyperlink" Target="https://learn.microsoft.com/azure/cloud-adoption-framework/ready/landing-zone/design-area/multi-tenant/considerations-recommendations" TargetMode="External"/><Relationship Id="rId2525" Type="http://schemas.openxmlformats.org/officeDocument/2006/relationships/hyperlink" Target="https://learn.microsoft.com/learn/modules/secure-aad-users-with-mfa/" TargetMode="External"/><Relationship Id="rId2732" Type="http://schemas.openxmlformats.org/officeDocument/2006/relationships/hyperlink" Target="https://learn.microsoft.com/azure/ai-services/content-safety/concepts/protected-material?branch=main&amp;tabs=text" TargetMode="External"/><Relationship Id="rId704" Type="http://schemas.openxmlformats.org/officeDocument/2006/relationships/hyperlink" Target="https://learn.microsoft.com/azure/cloud-adoption-framework/ready/landing-zone/design-area/multi-tenant/considerations-recommendations" TargetMode="External"/><Relationship Id="rId911" Type="http://schemas.openxmlformats.org/officeDocument/2006/relationships/hyperlink" Target="https://learn.microsoft.com/azure/cloud-adoption-framework/ready/landing-zone/design-area/multi-tenant/considerations-recommendations" TargetMode="External"/><Relationship Id="rId1127" Type="http://schemas.openxmlformats.org/officeDocument/2006/relationships/hyperlink" Target="https://learn.microsoft.com/azure/cloud-adoption-framework/ready/landing-zone/design-area/multi-tenant/considerations-recommendations" TargetMode="External"/><Relationship Id="rId1334" Type="http://schemas.openxmlformats.org/officeDocument/2006/relationships/hyperlink" Target="https://learn.microsoft.com/azure/cloud-adoption-framework/ready/landing-zone/design-area/multi-tenant/considerations-recommendations" TargetMode="External"/><Relationship Id="rId1541" Type="http://schemas.openxmlformats.org/officeDocument/2006/relationships/hyperlink" Target="https://learn.microsoft.com/azure/cloud-adoption-framework/ready/landing-zone/design-area/multi-tenant/considerations-recommendations" TargetMode="External"/><Relationship Id="rId40" Type="http://schemas.openxmlformats.org/officeDocument/2006/relationships/hyperlink" Target="https://learn.microsoft.com/azure/cloud-adoption-framework/ready/landing-zone/design-area/multi-tenant/considerations-recommendations" TargetMode="External"/><Relationship Id="rId1401" Type="http://schemas.openxmlformats.org/officeDocument/2006/relationships/hyperlink" Target="https://learn.microsoft.com/azure/cloud-adoption-framework/ready/landing-zone/design-area/multi-tenant/considerations-recommendation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4B7A3-F207-4AF4-8579-95FFC9A7072F}">
  <sheetPr codeName="Sheet1"/>
  <dimension ref="A1:U2999"/>
  <sheetViews>
    <sheetView showGridLines="0" topLeftCell="B1" zoomScale="110" zoomScaleNormal="110" workbookViewId="0">
      <selection activeCell="F27" sqref="F27"/>
    </sheetView>
  </sheetViews>
  <sheetFormatPr defaultColWidth="9" defaultRowHeight="16.5"/>
  <cols>
    <col min="1" max="1" width="10" style="2" customWidth="1"/>
    <col min="2" max="2" width="19" style="1" customWidth="1"/>
    <col min="3" max="3" width="22.26953125" style="1" customWidth="1"/>
    <col min="4" max="4" width="18.26953125" style="1" customWidth="1"/>
    <col min="5" max="5" width="18.26953125" style="1" hidden="1" customWidth="1"/>
    <col min="6" max="6" width="94.54296875" style="2" customWidth="1"/>
    <col min="7" max="7" width="34.1796875" style="2" customWidth="1"/>
    <col min="8" max="9" width="18.7265625" style="2" customWidth="1"/>
    <col min="10" max="10" width="76" style="2" customWidth="1"/>
    <col min="11" max="11" width="13.453125" style="2" hidden="1" customWidth="1"/>
    <col min="12" max="12" width="18.453125" style="2" customWidth="1"/>
    <col min="13" max="13" width="14.54296875" style="2" customWidth="1"/>
    <col min="14" max="14" width="11.453125" style="2" customWidth="1"/>
    <col min="15" max="15" width="46.1796875" style="2" customWidth="1"/>
    <col min="16" max="16" width="10.81640625" style="2" customWidth="1"/>
    <col min="17" max="17" width="10.26953125" style="2" customWidth="1"/>
    <col min="18" max="18" width="9.81640625" style="2" customWidth="1"/>
    <col min="19" max="20" width="10.26953125" style="2" customWidth="1"/>
    <col min="21" max="21" width="122.54296875" style="2" customWidth="1"/>
    <col min="22" max="16384" width="9" style="2"/>
  </cols>
  <sheetData>
    <row r="1" spans="1:21" ht="17" thickBot="1">
      <c r="J1" s="49" t="s">
        <v>156</v>
      </c>
    </row>
    <row r="2" spans="1:21" ht="55.5" customHeight="1" thickBot="1">
      <c r="B2" s="52"/>
      <c r="C2" s="52"/>
      <c r="D2" s="23"/>
      <c r="E2" s="23"/>
      <c r="F2" s="42" t="s">
        <v>78</v>
      </c>
      <c r="G2" s="20"/>
      <c r="H2" s="35" t="s">
        <v>211</v>
      </c>
      <c r="I2" s="21" t="s">
        <v>30</v>
      </c>
      <c r="J2" s="26" t="s">
        <v>36</v>
      </c>
      <c r="K2" s="26"/>
    </row>
    <row r="3" spans="1:21" ht="17.5">
      <c r="B3" s="23"/>
      <c r="C3" s="23"/>
      <c r="D3" s="23"/>
      <c r="E3" s="23"/>
      <c r="F3" s="46" t="s">
        <v>115</v>
      </c>
      <c r="G3" s="11"/>
      <c r="H3" s="24"/>
      <c r="I3" s="25"/>
      <c r="J3" s="26"/>
      <c r="K3" s="26"/>
      <c r="T3" s="40" t="s">
        <v>81</v>
      </c>
    </row>
    <row r="4" spans="1:21" ht="17.25" customHeight="1">
      <c r="B4" s="23"/>
      <c r="C4" s="23"/>
      <c r="D4" s="23"/>
      <c r="E4" s="23"/>
      <c r="F4" s="46" t="s">
        <v>85</v>
      </c>
      <c r="G4" s="50" t="s">
        <v>175</v>
      </c>
      <c r="H4" s="2" t="str">
        <f>Values!B2</f>
        <v>Not verified</v>
      </c>
      <c r="I4" s="28" t="str">
        <f>Values!J2</f>
        <v>This check has not been looked at yet</v>
      </c>
      <c r="J4" s="22"/>
      <c r="K4" s="22"/>
      <c r="T4" s="40" t="s">
        <v>219</v>
      </c>
    </row>
    <row r="5" spans="1:21">
      <c r="B5" s="23"/>
      <c r="C5" s="23"/>
      <c r="D5" s="23"/>
      <c r="E5" s="23"/>
      <c r="G5" s="50" t="s">
        <v>169</v>
      </c>
      <c r="H5" s="2" t="str">
        <f>Values!B3</f>
        <v>Open</v>
      </c>
      <c r="I5" s="28" t="str">
        <f>Values!J3</f>
        <v>There is an action item associated to this check</v>
      </c>
      <c r="J5" s="22"/>
      <c r="K5" s="22"/>
    </row>
    <row r="6" spans="1:21" s="5" customFormat="1" ht="17.25" customHeight="1">
      <c r="A6" s="16" t="s">
        <v>211</v>
      </c>
      <c r="B6" s="16"/>
      <c r="C6" s="4"/>
      <c r="D6" s="16"/>
      <c r="E6" s="4"/>
      <c r="G6" s="4"/>
      <c r="H6" s="2" t="str">
        <f>Values!B4</f>
        <v>Fulfilled</v>
      </c>
      <c r="I6" s="28" t="str">
        <f>Values!J4</f>
        <v>This check has been verified, and there are no further action items associated to it</v>
      </c>
      <c r="J6" s="4"/>
      <c r="K6" s="4"/>
      <c r="L6" s="4"/>
      <c r="P6" s="2" t="s">
        <v>152</v>
      </c>
    </row>
    <row r="7" spans="1:21">
      <c r="A7" s="43" t="s">
        <v>220</v>
      </c>
      <c r="B7" s="44" t="s">
        <v>117</v>
      </c>
      <c r="C7" s="43" t="s">
        <v>179</v>
      </c>
      <c r="D7" s="43"/>
      <c r="E7" s="44"/>
      <c r="F7" s="43"/>
      <c r="G7" s="6"/>
      <c r="H7" s="2" t="str">
        <f>Values!B5</f>
        <v>Not required</v>
      </c>
      <c r="I7" s="28" t="str">
        <f>Values!J5</f>
        <v>Recommendation understood, but not needed by current requirements</v>
      </c>
      <c r="J7" s="3"/>
      <c r="K7" s="3"/>
      <c r="L7" s="3"/>
    </row>
    <row r="8" spans="1:21">
      <c r="A8" s="43" t="s">
        <v>116</v>
      </c>
      <c r="B8" s="45">
        <v>45763</v>
      </c>
      <c r="C8" s="36"/>
      <c r="D8" s="43"/>
      <c r="E8" s="45"/>
      <c r="F8" s="6"/>
      <c r="G8" s="6"/>
      <c r="H8" s="2" t="str">
        <f>Values!B6</f>
        <v>N/A</v>
      </c>
      <c r="I8" s="28" t="str">
        <f>Values!J6</f>
        <v>Not applicable for current design</v>
      </c>
      <c r="J8" s="3"/>
      <c r="K8" s="3"/>
      <c r="L8" s="3"/>
      <c r="P8" s="34">
        <f>Dashboard!$E$51</f>
        <v>1</v>
      </c>
      <c r="Q8" s="34">
        <f>Dashboard!$E$52</f>
        <v>1</v>
      </c>
      <c r="R8" s="34">
        <f>Dashboard!$E$53</f>
        <v>1</v>
      </c>
      <c r="S8" s="34">
        <f>Dashboard!$E$54</f>
        <v>1</v>
      </c>
      <c r="T8" s="34">
        <f>Dashboard!$E$55</f>
        <v>1</v>
      </c>
    </row>
    <row r="9" spans="1:21" s="27" customFormat="1" ht="21.75" customHeight="1">
      <c r="A9" s="37" t="s">
        <v>82</v>
      </c>
      <c r="B9" s="37" t="s">
        <v>80</v>
      </c>
      <c r="C9" s="37" t="s">
        <v>0</v>
      </c>
      <c r="D9" s="37" t="s">
        <v>71</v>
      </c>
      <c r="E9" s="37" t="s">
        <v>112</v>
      </c>
      <c r="F9" s="37" t="s">
        <v>23</v>
      </c>
      <c r="G9" s="37" t="s">
        <v>24</v>
      </c>
      <c r="H9" s="37" t="s">
        <v>1</v>
      </c>
      <c r="I9" s="37" t="s">
        <v>2</v>
      </c>
      <c r="J9" s="37" t="s">
        <v>3</v>
      </c>
      <c r="K9" s="37" t="s">
        <v>83</v>
      </c>
      <c r="L9" s="37" t="s">
        <v>11</v>
      </c>
      <c r="M9" s="37" t="s">
        <v>17</v>
      </c>
      <c r="N9" s="38" t="s">
        <v>66</v>
      </c>
      <c r="O9" s="38" t="s">
        <v>19</v>
      </c>
      <c r="P9" s="39" t="s">
        <v>56</v>
      </c>
      <c r="Q9" s="39" t="s">
        <v>54</v>
      </c>
      <c r="R9" s="39" t="s">
        <v>55</v>
      </c>
      <c r="S9" s="39" t="s">
        <v>57</v>
      </c>
      <c r="T9" s="39" t="s">
        <v>58</v>
      </c>
      <c r="U9" s="38" t="s">
        <v>111</v>
      </c>
    </row>
    <row r="10" spans="1:21" ht="16.5" customHeight="1">
      <c r="A10" s="29" t="s">
        <v>221</v>
      </c>
      <c r="B10" s="29" t="s">
        <v>215</v>
      </c>
      <c r="C10" s="29" t="s">
        <v>222</v>
      </c>
      <c r="D10" s="29" t="s">
        <v>72</v>
      </c>
      <c r="E10" s="29" t="s">
        <v>223</v>
      </c>
      <c r="F10" s="29" t="s">
        <v>224</v>
      </c>
      <c r="G10" s="29"/>
      <c r="H10" s="29" t="s">
        <v>6</v>
      </c>
      <c r="I10" s="2" t="s">
        <v>9</v>
      </c>
      <c r="J10" s="29" t="s">
        <v>871</v>
      </c>
      <c r="K10" s="29"/>
      <c r="L10" s="19"/>
      <c r="M10" s="19"/>
      <c r="N10" s="30"/>
      <c r="O10" s="30" t="s">
        <v>225</v>
      </c>
      <c r="P10" s="32"/>
      <c r="Q10" s="32"/>
      <c r="R10" s="32"/>
      <c r="S10" s="32"/>
      <c r="T10" s="32"/>
      <c r="U10" s="30"/>
    </row>
    <row r="11" spans="1:21" ht="16.5" customHeight="1">
      <c r="A11" s="29" t="s">
        <v>226</v>
      </c>
      <c r="B11" s="29" t="s">
        <v>216</v>
      </c>
      <c r="C11" s="29" t="s">
        <v>227</v>
      </c>
      <c r="D11" s="29" t="s">
        <v>74</v>
      </c>
      <c r="E11" s="29" t="s">
        <v>228</v>
      </c>
      <c r="F11" s="29" t="s">
        <v>229</v>
      </c>
      <c r="G11" s="29"/>
      <c r="H11" s="29" t="s">
        <v>7</v>
      </c>
      <c r="I11" s="2" t="s">
        <v>9</v>
      </c>
      <c r="J11" s="29" t="s">
        <v>875</v>
      </c>
      <c r="K11" s="29"/>
      <c r="L11" s="19" t="s">
        <v>11</v>
      </c>
      <c r="M11" s="19"/>
      <c r="N11" s="30"/>
      <c r="O11" s="30" t="s">
        <v>230</v>
      </c>
      <c r="P11" s="32"/>
      <c r="Q11" s="32"/>
      <c r="R11" s="32"/>
      <c r="S11" s="32"/>
      <c r="T11" s="32"/>
      <c r="U11" s="30"/>
    </row>
    <row r="12" spans="1:21" ht="16.5" customHeight="1">
      <c r="A12" s="29" t="s">
        <v>231</v>
      </c>
      <c r="B12" s="29" t="s">
        <v>213</v>
      </c>
      <c r="C12" s="29" t="s">
        <v>232</v>
      </c>
      <c r="D12" s="29" t="s">
        <v>29</v>
      </c>
      <c r="E12" s="29" t="s">
        <v>233</v>
      </c>
      <c r="F12" s="29" t="s">
        <v>234</v>
      </c>
      <c r="G12" s="29"/>
      <c r="H12" s="29" t="s">
        <v>4</v>
      </c>
      <c r="I12" s="2" t="s">
        <v>9</v>
      </c>
      <c r="J12" s="29"/>
      <c r="K12" s="29"/>
      <c r="L12" s="19" t="s">
        <v>11</v>
      </c>
      <c r="M12" s="19"/>
      <c r="N12" s="30"/>
      <c r="O12" s="31" t="s">
        <v>235</v>
      </c>
      <c r="P12" s="32"/>
      <c r="Q12" s="32"/>
      <c r="R12" s="32"/>
      <c r="S12" s="32"/>
      <c r="T12" s="32"/>
      <c r="U12" s="30"/>
    </row>
    <row r="13" spans="1:21" ht="16.5" customHeight="1">
      <c r="A13" s="29" t="s">
        <v>236</v>
      </c>
      <c r="B13" s="29" t="s">
        <v>213</v>
      </c>
      <c r="C13" s="29" t="s">
        <v>232</v>
      </c>
      <c r="D13" s="29" t="s">
        <v>29</v>
      </c>
      <c r="E13" s="29" t="s">
        <v>237</v>
      </c>
      <c r="F13" s="29" t="s">
        <v>238</v>
      </c>
      <c r="G13" s="29"/>
      <c r="H13" s="29" t="s">
        <v>4</v>
      </c>
      <c r="I13" s="2" t="s">
        <v>9</v>
      </c>
      <c r="J13" s="29"/>
      <c r="K13" s="29"/>
      <c r="L13" s="19" t="s">
        <v>11</v>
      </c>
      <c r="M13" s="19"/>
      <c r="N13" s="30"/>
      <c r="O13" s="30" t="s">
        <v>239</v>
      </c>
      <c r="P13" s="32"/>
      <c r="Q13" s="32"/>
      <c r="R13" s="32"/>
      <c r="S13" s="32"/>
      <c r="T13" s="32"/>
      <c r="U13" s="30"/>
    </row>
    <row r="14" spans="1:21" ht="16.5" customHeight="1">
      <c r="A14" s="29" t="s">
        <v>240</v>
      </c>
      <c r="B14" s="29" t="s">
        <v>213</v>
      </c>
      <c r="C14" s="29" t="s">
        <v>241</v>
      </c>
      <c r="D14" s="29" t="s">
        <v>29</v>
      </c>
      <c r="E14" s="29" t="s">
        <v>228</v>
      </c>
      <c r="F14" s="29" t="s">
        <v>242</v>
      </c>
      <c r="G14" s="29"/>
      <c r="H14" s="29" t="s">
        <v>4</v>
      </c>
      <c r="I14" s="2" t="s">
        <v>9</v>
      </c>
      <c r="J14" s="51" t="s">
        <v>866</v>
      </c>
      <c r="K14" s="29"/>
      <c r="L14" s="19" t="s">
        <v>11</v>
      </c>
      <c r="M14" s="19"/>
      <c r="N14" s="30" t="s">
        <v>243</v>
      </c>
      <c r="O14" s="30" t="s">
        <v>244</v>
      </c>
      <c r="P14" s="32"/>
      <c r="Q14" s="32"/>
      <c r="R14" s="32"/>
      <c r="S14" s="32"/>
      <c r="T14" s="32"/>
      <c r="U14" s="30"/>
    </row>
    <row r="15" spans="1:21" ht="16.5" customHeight="1">
      <c r="A15" s="29" t="s">
        <v>245</v>
      </c>
      <c r="B15" s="29" t="s">
        <v>214</v>
      </c>
      <c r="C15" s="29" t="s">
        <v>228</v>
      </c>
      <c r="D15" s="29" t="s">
        <v>29</v>
      </c>
      <c r="E15" s="29" t="s">
        <v>228</v>
      </c>
      <c r="F15" s="29" t="s">
        <v>246</v>
      </c>
      <c r="G15" s="29"/>
      <c r="H15" s="29" t="s">
        <v>4</v>
      </c>
      <c r="I15" s="2" t="s">
        <v>9</v>
      </c>
      <c r="J15" s="29"/>
      <c r="K15" s="29"/>
      <c r="L15" s="19" t="s">
        <v>11</v>
      </c>
      <c r="M15" s="19"/>
      <c r="N15" s="30"/>
      <c r="O15" s="30" t="s">
        <v>247</v>
      </c>
      <c r="P15" s="32"/>
      <c r="Q15" s="32"/>
      <c r="R15" s="32"/>
      <c r="S15" s="32"/>
      <c r="T15" s="32"/>
      <c r="U15" s="30"/>
    </row>
    <row r="16" spans="1:21" ht="16.5" customHeight="1">
      <c r="A16" s="29" t="s">
        <v>248</v>
      </c>
      <c r="B16" s="29" t="s">
        <v>214</v>
      </c>
      <c r="C16" s="29" t="s">
        <v>249</v>
      </c>
      <c r="D16" s="29" t="s">
        <v>29</v>
      </c>
      <c r="E16" s="29" t="s">
        <v>250</v>
      </c>
      <c r="F16" s="29" t="s">
        <v>246</v>
      </c>
      <c r="G16" s="29"/>
      <c r="H16" s="29" t="s">
        <v>4</v>
      </c>
      <c r="I16" s="2" t="s">
        <v>9</v>
      </c>
      <c r="J16" s="29"/>
      <c r="K16" s="29"/>
      <c r="L16" s="19" t="s">
        <v>11</v>
      </c>
      <c r="M16" s="19"/>
      <c r="N16" s="30"/>
      <c r="O16" s="30" t="s">
        <v>251</v>
      </c>
      <c r="P16" s="32"/>
      <c r="Q16" s="32"/>
      <c r="R16" s="32"/>
      <c r="S16" s="32"/>
      <c r="T16" s="32"/>
      <c r="U16" s="30"/>
    </row>
    <row r="17" spans="1:21" ht="16.5" customHeight="1">
      <c r="A17" s="29" t="s">
        <v>252</v>
      </c>
      <c r="B17" s="29" t="s">
        <v>214</v>
      </c>
      <c r="C17" s="29" t="s">
        <v>253</v>
      </c>
      <c r="D17" s="29" t="s">
        <v>29</v>
      </c>
      <c r="E17" s="29" t="s">
        <v>253</v>
      </c>
      <c r="F17" s="29" t="s">
        <v>254</v>
      </c>
      <c r="G17" s="29"/>
      <c r="H17" s="29" t="s">
        <v>4</v>
      </c>
      <c r="I17" s="2" t="s">
        <v>9</v>
      </c>
      <c r="J17" s="29"/>
      <c r="K17" s="29"/>
      <c r="L17" s="19" t="s">
        <v>11</v>
      </c>
      <c r="M17" s="19"/>
      <c r="N17" s="30"/>
      <c r="O17" s="30" t="s">
        <v>255</v>
      </c>
      <c r="P17" s="32"/>
      <c r="Q17" s="32"/>
      <c r="R17" s="32"/>
      <c r="S17" s="32"/>
      <c r="T17" s="32"/>
      <c r="U17" s="30"/>
    </row>
    <row r="18" spans="1:21" ht="16.5" customHeight="1">
      <c r="A18" s="29" t="s">
        <v>256</v>
      </c>
      <c r="B18" s="29" t="s">
        <v>214</v>
      </c>
      <c r="C18" s="29" t="s">
        <v>250</v>
      </c>
      <c r="D18" s="29" t="s">
        <v>29</v>
      </c>
      <c r="E18" s="29" t="s">
        <v>250</v>
      </c>
      <c r="F18" s="29" t="s">
        <v>257</v>
      </c>
      <c r="G18" s="29"/>
      <c r="H18" s="29" t="s">
        <v>4</v>
      </c>
      <c r="I18" s="2" t="s">
        <v>62</v>
      </c>
      <c r="J18" s="29"/>
      <c r="K18" s="29"/>
      <c r="L18" s="19" t="s">
        <v>11</v>
      </c>
      <c r="M18" s="19"/>
      <c r="N18" s="30"/>
      <c r="O18" s="30" t="s">
        <v>258</v>
      </c>
      <c r="P18" s="32"/>
      <c r="Q18" s="32"/>
      <c r="R18" s="32"/>
      <c r="S18" s="32"/>
      <c r="T18" s="32"/>
      <c r="U18" s="30"/>
    </row>
    <row r="19" spans="1:21" ht="16.5" customHeight="1">
      <c r="A19" s="29" t="s">
        <v>259</v>
      </c>
      <c r="B19" s="29" t="s">
        <v>214</v>
      </c>
      <c r="C19" s="29" t="s">
        <v>260</v>
      </c>
      <c r="D19" s="29" t="s">
        <v>29</v>
      </c>
      <c r="E19" s="29" t="s">
        <v>260</v>
      </c>
      <c r="F19" s="29" t="s">
        <v>261</v>
      </c>
      <c r="G19" s="29"/>
      <c r="H19" s="29" t="s">
        <v>4</v>
      </c>
      <c r="I19" s="2" t="s">
        <v>9</v>
      </c>
      <c r="J19" s="29"/>
      <c r="K19" s="29"/>
      <c r="L19" s="19" t="s">
        <v>11</v>
      </c>
      <c r="M19" s="19"/>
      <c r="N19" s="30"/>
      <c r="O19" s="30" t="s">
        <v>262</v>
      </c>
      <c r="P19" s="32"/>
      <c r="Q19" s="32"/>
      <c r="R19" s="32"/>
      <c r="S19" s="32"/>
      <c r="T19" s="32"/>
      <c r="U19" s="30"/>
    </row>
    <row r="20" spans="1:21" ht="16.5" customHeight="1">
      <c r="A20" s="29" t="s">
        <v>263</v>
      </c>
      <c r="B20" s="29" t="s">
        <v>214</v>
      </c>
      <c r="C20" s="29" t="s">
        <v>253</v>
      </c>
      <c r="D20" s="29" t="s">
        <v>29</v>
      </c>
      <c r="E20" s="29" t="s">
        <v>253</v>
      </c>
      <c r="F20" s="29" t="s">
        <v>264</v>
      </c>
      <c r="G20" s="29"/>
      <c r="H20" s="29" t="s">
        <v>4</v>
      </c>
      <c r="I20" s="2" t="s">
        <v>9</v>
      </c>
      <c r="J20" s="29"/>
      <c r="K20" s="29"/>
      <c r="L20" s="19" t="s">
        <v>11</v>
      </c>
      <c r="M20" s="19"/>
      <c r="N20" s="30"/>
      <c r="O20" s="30" t="s">
        <v>265</v>
      </c>
      <c r="P20" s="32"/>
      <c r="Q20" s="32"/>
      <c r="R20" s="32"/>
      <c r="S20" s="32"/>
      <c r="T20" s="32"/>
      <c r="U20" s="30"/>
    </row>
    <row r="21" spans="1:21" ht="16.5" customHeight="1">
      <c r="A21" s="29" t="s">
        <v>266</v>
      </c>
      <c r="B21" s="29" t="s">
        <v>214</v>
      </c>
      <c r="C21" s="29" t="s">
        <v>267</v>
      </c>
      <c r="D21" s="29" t="s">
        <v>29</v>
      </c>
      <c r="E21" s="29" t="s">
        <v>237</v>
      </c>
      <c r="F21" s="29" t="s">
        <v>268</v>
      </c>
      <c r="G21" s="29"/>
      <c r="H21" s="29" t="s">
        <v>4</v>
      </c>
      <c r="I21" s="2" t="s">
        <v>8</v>
      </c>
      <c r="J21" s="29"/>
      <c r="K21" s="29"/>
      <c r="L21" s="19" t="s">
        <v>11</v>
      </c>
      <c r="M21" s="19"/>
      <c r="N21" s="30"/>
      <c r="O21" s="30" t="s">
        <v>269</v>
      </c>
      <c r="P21" s="32"/>
      <c r="Q21" s="32"/>
      <c r="R21" s="32"/>
      <c r="S21" s="32"/>
      <c r="T21" s="32"/>
      <c r="U21" s="30"/>
    </row>
    <row r="22" spans="1:21" ht="16.5" customHeight="1">
      <c r="A22" s="29" t="s">
        <v>270</v>
      </c>
      <c r="B22" s="29" t="s">
        <v>216</v>
      </c>
      <c r="C22" s="29" t="s">
        <v>271</v>
      </c>
      <c r="D22" s="29" t="s">
        <v>74</v>
      </c>
      <c r="E22" s="29" t="s">
        <v>228</v>
      </c>
      <c r="F22" s="29" t="s">
        <v>272</v>
      </c>
      <c r="G22" s="29"/>
      <c r="H22" s="29" t="s">
        <v>7</v>
      </c>
      <c r="I22" s="2" t="s">
        <v>62</v>
      </c>
      <c r="J22" s="29" t="s">
        <v>876</v>
      </c>
      <c r="K22" s="29"/>
      <c r="L22" s="19" t="s">
        <v>11</v>
      </c>
      <c r="M22" s="19"/>
      <c r="N22" s="30"/>
      <c r="O22" s="31" t="s">
        <v>273</v>
      </c>
      <c r="P22" s="32"/>
      <c r="Q22" s="32"/>
      <c r="R22" s="32"/>
      <c r="S22" s="32"/>
      <c r="T22" s="32"/>
      <c r="U22" s="30"/>
    </row>
    <row r="23" spans="1:21" ht="16.5" customHeight="1">
      <c r="A23" s="29" t="s">
        <v>274</v>
      </c>
      <c r="B23" s="29" t="s">
        <v>275</v>
      </c>
      <c r="C23" s="29" t="s">
        <v>260</v>
      </c>
      <c r="D23" s="29" t="s">
        <v>29</v>
      </c>
      <c r="E23" s="29" t="s">
        <v>260</v>
      </c>
      <c r="F23" s="29" t="s">
        <v>276</v>
      </c>
      <c r="G23" s="29"/>
      <c r="H23" s="29" t="s">
        <v>4</v>
      </c>
      <c r="I23" s="2" t="s">
        <v>9</v>
      </c>
      <c r="J23" s="29"/>
      <c r="K23" s="29"/>
      <c r="L23" s="19" t="s">
        <v>11</v>
      </c>
      <c r="M23" s="19"/>
      <c r="N23" s="30"/>
      <c r="O23" s="31" t="s">
        <v>277</v>
      </c>
      <c r="P23" s="32"/>
      <c r="Q23" s="32"/>
      <c r="R23" s="32"/>
      <c r="S23" s="32"/>
      <c r="T23" s="32"/>
      <c r="U23" s="30"/>
    </row>
    <row r="24" spans="1:21" ht="16.5" customHeight="1">
      <c r="A24" s="29" t="s">
        <v>278</v>
      </c>
      <c r="B24" s="29" t="s">
        <v>72</v>
      </c>
      <c r="C24" s="29" t="s">
        <v>72</v>
      </c>
      <c r="D24" s="29" t="s">
        <v>29</v>
      </c>
      <c r="E24" s="29" t="s">
        <v>279</v>
      </c>
      <c r="F24" s="29" t="s">
        <v>280</v>
      </c>
      <c r="G24" s="29"/>
      <c r="H24" s="29" t="s">
        <v>4</v>
      </c>
      <c r="I24" s="2" t="s">
        <v>9</v>
      </c>
      <c r="J24" s="29"/>
      <c r="K24" s="29"/>
      <c r="L24" s="19" t="s">
        <v>11</v>
      </c>
      <c r="M24" s="19"/>
      <c r="N24" s="30"/>
      <c r="O24" s="31" t="s">
        <v>281</v>
      </c>
      <c r="P24" s="32"/>
      <c r="Q24" s="32"/>
      <c r="R24" s="32"/>
      <c r="S24" s="32"/>
      <c r="T24" s="32"/>
      <c r="U24" s="30"/>
    </row>
    <row r="25" spans="1:21" ht="16.5" customHeight="1">
      <c r="A25" s="29" t="s">
        <v>282</v>
      </c>
      <c r="B25" s="29" t="s">
        <v>72</v>
      </c>
      <c r="C25" s="29" t="s">
        <v>72</v>
      </c>
      <c r="D25" s="29" t="s">
        <v>29</v>
      </c>
      <c r="E25" s="29" t="s">
        <v>283</v>
      </c>
      <c r="F25" s="29" t="s">
        <v>284</v>
      </c>
      <c r="G25" s="29"/>
      <c r="H25" s="29" t="s">
        <v>7</v>
      </c>
      <c r="I25" s="2" t="s">
        <v>9</v>
      </c>
      <c r="J25" s="29"/>
      <c r="K25" s="29"/>
      <c r="L25" s="19"/>
      <c r="M25" s="19"/>
      <c r="N25" s="30"/>
      <c r="O25" s="31" t="s">
        <v>285</v>
      </c>
      <c r="P25" s="32"/>
      <c r="Q25" s="32"/>
      <c r="R25" s="32"/>
      <c r="S25" s="32"/>
      <c r="T25" s="32"/>
      <c r="U25" s="30"/>
    </row>
    <row r="26" spans="1:21" ht="16.5" customHeight="1">
      <c r="A26" s="29" t="s">
        <v>286</v>
      </c>
      <c r="B26" s="29" t="s">
        <v>72</v>
      </c>
      <c r="C26" s="29" t="s">
        <v>287</v>
      </c>
      <c r="D26" s="29" t="s">
        <v>75</v>
      </c>
      <c r="E26" s="29" t="s">
        <v>260</v>
      </c>
      <c r="F26" s="29" t="s">
        <v>288</v>
      </c>
      <c r="G26" s="29"/>
      <c r="H26" s="29" t="s">
        <v>4</v>
      </c>
      <c r="I26" s="2" t="s">
        <v>9</v>
      </c>
      <c r="J26" s="29"/>
      <c r="K26" s="29"/>
      <c r="L26" s="19" t="s">
        <v>11</v>
      </c>
      <c r="M26" s="19"/>
      <c r="N26" s="30"/>
      <c r="O26" s="30" t="s">
        <v>289</v>
      </c>
      <c r="P26" s="32"/>
      <c r="Q26" s="32"/>
      <c r="R26" s="32"/>
      <c r="S26" s="32"/>
      <c r="T26" s="32"/>
      <c r="U26" s="30"/>
    </row>
    <row r="27" spans="1:21" ht="16.5" customHeight="1">
      <c r="A27" s="29" t="s">
        <v>290</v>
      </c>
      <c r="B27" s="29" t="s">
        <v>72</v>
      </c>
      <c r="C27" s="29" t="s">
        <v>287</v>
      </c>
      <c r="D27" s="29" t="s">
        <v>75</v>
      </c>
      <c r="E27" s="29" t="s">
        <v>260</v>
      </c>
      <c r="F27" s="29" t="s">
        <v>291</v>
      </c>
      <c r="G27" s="29"/>
      <c r="H27" s="29" t="s">
        <v>4</v>
      </c>
      <c r="I27" s="2" t="s">
        <v>9</v>
      </c>
      <c r="J27" s="29"/>
      <c r="K27" s="29"/>
      <c r="L27" s="19" t="s">
        <v>11</v>
      </c>
      <c r="M27" s="19"/>
      <c r="N27" s="30"/>
      <c r="O27" s="31" t="s">
        <v>292</v>
      </c>
      <c r="P27" s="32"/>
      <c r="Q27" s="32"/>
      <c r="R27" s="32"/>
      <c r="S27" s="32"/>
      <c r="T27" s="32"/>
      <c r="U27" s="30"/>
    </row>
    <row r="28" spans="1:21" ht="16.5" customHeight="1">
      <c r="A28" s="29" t="s">
        <v>293</v>
      </c>
      <c r="B28" s="29" t="s">
        <v>72</v>
      </c>
      <c r="C28" s="29" t="s">
        <v>287</v>
      </c>
      <c r="D28" s="29" t="s">
        <v>72</v>
      </c>
      <c r="E28" s="29" t="s">
        <v>294</v>
      </c>
      <c r="F28" s="29" t="s">
        <v>295</v>
      </c>
      <c r="G28" s="29"/>
      <c r="H28" s="29" t="s">
        <v>4</v>
      </c>
      <c r="I28" s="2" t="s">
        <v>9</v>
      </c>
      <c r="J28" s="29"/>
      <c r="K28" s="29"/>
      <c r="L28" s="19" t="s">
        <v>11</v>
      </c>
      <c r="M28" s="19"/>
      <c r="N28" s="30"/>
      <c r="O28" s="30" t="s">
        <v>296</v>
      </c>
      <c r="P28" s="32"/>
      <c r="Q28" s="32"/>
      <c r="R28" s="32"/>
      <c r="S28" s="32"/>
      <c r="T28" s="32"/>
      <c r="U28" s="30"/>
    </row>
    <row r="29" spans="1:21" ht="16.5" customHeight="1">
      <c r="A29" s="29" t="s">
        <v>297</v>
      </c>
      <c r="B29" s="29" t="s">
        <v>72</v>
      </c>
      <c r="C29" s="29" t="s">
        <v>287</v>
      </c>
      <c r="D29" s="29" t="s">
        <v>72</v>
      </c>
      <c r="E29" s="29" t="s">
        <v>298</v>
      </c>
      <c r="F29" s="29" t="s">
        <v>299</v>
      </c>
      <c r="G29" s="29"/>
      <c r="H29" s="29" t="s">
        <v>7</v>
      </c>
      <c r="I29" s="2" t="s">
        <v>5</v>
      </c>
      <c r="J29" s="29"/>
      <c r="K29" s="29"/>
      <c r="L29" s="19" t="s">
        <v>11</v>
      </c>
      <c r="M29" s="19"/>
      <c r="N29" s="30"/>
      <c r="O29" s="31" t="s">
        <v>300</v>
      </c>
      <c r="P29" s="32"/>
      <c r="Q29" s="32"/>
      <c r="R29" s="32"/>
      <c r="S29" s="32"/>
      <c r="T29" s="32"/>
      <c r="U29" s="30"/>
    </row>
    <row r="30" spans="1:21" ht="16.5" customHeight="1">
      <c r="A30" s="29" t="s">
        <v>301</v>
      </c>
      <c r="B30" s="29" t="s">
        <v>72</v>
      </c>
      <c r="C30" s="29" t="s">
        <v>72</v>
      </c>
      <c r="D30" s="29" t="s">
        <v>72</v>
      </c>
      <c r="E30" s="29" t="s">
        <v>250</v>
      </c>
      <c r="F30" s="29" t="s">
        <v>302</v>
      </c>
      <c r="G30" s="29"/>
      <c r="H30" s="29" t="s">
        <v>4</v>
      </c>
      <c r="I30" s="2" t="s">
        <v>8</v>
      </c>
      <c r="J30" s="29"/>
      <c r="K30" s="29"/>
      <c r="L30" s="19" t="s">
        <v>11</v>
      </c>
      <c r="M30" s="19"/>
      <c r="N30" s="30"/>
      <c r="O30" s="30" t="s">
        <v>303</v>
      </c>
      <c r="P30" s="32"/>
      <c r="Q30" s="32"/>
      <c r="R30" s="32"/>
      <c r="S30" s="32"/>
      <c r="T30" s="32"/>
      <c r="U30" s="30"/>
    </row>
    <row r="31" spans="1:21" ht="16.5" customHeight="1">
      <c r="A31" s="29" t="s">
        <v>304</v>
      </c>
      <c r="B31" s="29" t="s">
        <v>72</v>
      </c>
      <c r="C31" s="29" t="s">
        <v>72</v>
      </c>
      <c r="D31" s="29" t="s">
        <v>72</v>
      </c>
      <c r="E31" s="29" t="s">
        <v>260</v>
      </c>
      <c r="F31" s="29" t="s">
        <v>305</v>
      </c>
      <c r="G31" s="29"/>
      <c r="H31" s="29" t="s">
        <v>4</v>
      </c>
      <c r="I31" s="2" t="s">
        <v>8</v>
      </c>
      <c r="J31" s="29"/>
      <c r="K31" s="29"/>
      <c r="L31" s="19" t="s">
        <v>11</v>
      </c>
      <c r="M31" s="19"/>
      <c r="N31" s="30"/>
      <c r="O31" s="31" t="s">
        <v>306</v>
      </c>
      <c r="P31" s="32"/>
      <c r="Q31" s="32"/>
      <c r="R31" s="32"/>
      <c r="S31" s="32"/>
      <c r="T31" s="32"/>
      <c r="U31" s="30"/>
    </row>
    <row r="32" spans="1:21" ht="16.5" customHeight="1">
      <c r="A32" s="29" t="s">
        <v>307</v>
      </c>
      <c r="B32" s="29" t="s">
        <v>72</v>
      </c>
      <c r="C32" s="29" t="s">
        <v>72</v>
      </c>
      <c r="D32" s="29" t="s">
        <v>72</v>
      </c>
      <c r="E32" s="29" t="s">
        <v>260</v>
      </c>
      <c r="F32" s="29" t="s">
        <v>308</v>
      </c>
      <c r="G32" s="29"/>
      <c r="H32" s="29" t="s">
        <v>7</v>
      </c>
      <c r="I32" s="2" t="s">
        <v>8</v>
      </c>
      <c r="J32" s="29"/>
      <c r="K32" s="29"/>
      <c r="L32" s="19" t="s">
        <v>11</v>
      </c>
      <c r="M32" s="19"/>
      <c r="N32" s="30"/>
      <c r="O32" s="30" t="s">
        <v>309</v>
      </c>
      <c r="P32" s="32"/>
      <c r="Q32" s="32"/>
      <c r="R32" s="32"/>
      <c r="S32" s="32"/>
      <c r="T32" s="32"/>
      <c r="U32" s="30"/>
    </row>
    <row r="33" spans="1:21" ht="16.5" customHeight="1">
      <c r="A33" s="29" t="s">
        <v>310</v>
      </c>
      <c r="B33" s="29" t="s">
        <v>216</v>
      </c>
      <c r="C33" s="29" t="s">
        <v>311</v>
      </c>
      <c r="D33" s="29" t="s">
        <v>74</v>
      </c>
      <c r="E33" s="29" t="s">
        <v>228</v>
      </c>
      <c r="F33" s="29" t="s">
        <v>312</v>
      </c>
      <c r="G33" s="29"/>
      <c r="H33" s="29" t="s">
        <v>7</v>
      </c>
      <c r="I33" s="2" t="s">
        <v>62</v>
      </c>
      <c r="J33" s="29" t="s">
        <v>876</v>
      </c>
      <c r="K33" s="29"/>
      <c r="L33" s="19" t="s">
        <v>11</v>
      </c>
      <c r="M33" s="19"/>
      <c r="N33" s="30"/>
      <c r="O33" s="30" t="s">
        <v>313</v>
      </c>
      <c r="P33" s="32"/>
      <c r="Q33" s="32"/>
      <c r="R33" s="32"/>
      <c r="S33" s="32"/>
      <c r="T33" s="32"/>
      <c r="U33" s="30"/>
    </row>
    <row r="34" spans="1:21" ht="16.5" customHeight="1">
      <c r="A34" s="29" t="s">
        <v>314</v>
      </c>
      <c r="B34" s="29" t="s">
        <v>72</v>
      </c>
      <c r="C34" s="29" t="s">
        <v>72</v>
      </c>
      <c r="D34" s="29" t="s">
        <v>72</v>
      </c>
      <c r="E34" s="29" t="s">
        <v>260</v>
      </c>
      <c r="F34" s="29" t="s">
        <v>315</v>
      </c>
      <c r="G34" s="29"/>
      <c r="H34" s="29" t="s">
        <v>7</v>
      </c>
      <c r="I34" s="2" t="s">
        <v>9</v>
      </c>
      <c r="J34" s="29"/>
      <c r="K34" s="29"/>
      <c r="L34" s="19" t="s">
        <v>11</v>
      </c>
      <c r="M34" s="19"/>
      <c r="N34" s="30"/>
      <c r="O34" s="30" t="s">
        <v>316</v>
      </c>
      <c r="P34" s="32"/>
      <c r="Q34" s="32"/>
      <c r="R34" s="32"/>
      <c r="S34" s="32"/>
      <c r="T34" s="32"/>
      <c r="U34" s="30"/>
    </row>
    <row r="35" spans="1:21" ht="16.5" customHeight="1">
      <c r="A35" s="29" t="s">
        <v>317</v>
      </c>
      <c r="B35" s="29" t="s">
        <v>72</v>
      </c>
      <c r="C35" s="29" t="s">
        <v>72</v>
      </c>
      <c r="D35" s="29" t="s">
        <v>72</v>
      </c>
      <c r="E35" s="29" t="s">
        <v>253</v>
      </c>
      <c r="F35" s="29" t="s">
        <v>318</v>
      </c>
      <c r="G35" s="29"/>
      <c r="H35" s="29" t="s">
        <v>7</v>
      </c>
      <c r="I35" s="2" t="s">
        <v>9</v>
      </c>
      <c r="J35" s="29"/>
      <c r="K35" s="29"/>
      <c r="L35" s="19" t="s">
        <v>11</v>
      </c>
      <c r="M35" s="19"/>
      <c r="N35" s="30"/>
      <c r="O35" s="30" t="s">
        <v>319</v>
      </c>
      <c r="P35" s="32"/>
      <c r="Q35" s="32"/>
      <c r="R35" s="32"/>
      <c r="S35" s="32"/>
      <c r="T35" s="32"/>
      <c r="U35" s="30"/>
    </row>
    <row r="36" spans="1:21" ht="16.5" customHeight="1">
      <c r="A36" s="29" t="s">
        <v>320</v>
      </c>
      <c r="B36" s="29" t="s">
        <v>72</v>
      </c>
      <c r="C36" s="29" t="s">
        <v>72</v>
      </c>
      <c r="D36" s="29" t="s">
        <v>72</v>
      </c>
      <c r="E36" s="29" t="s">
        <v>321</v>
      </c>
      <c r="F36" s="29" t="s">
        <v>322</v>
      </c>
      <c r="G36" s="29"/>
      <c r="H36" s="29" t="s">
        <v>4</v>
      </c>
      <c r="I36" s="2" t="s">
        <v>9</v>
      </c>
      <c r="J36" s="29"/>
      <c r="K36" s="29"/>
      <c r="L36" s="19" t="s">
        <v>11</v>
      </c>
      <c r="M36" s="19"/>
      <c r="N36" s="30"/>
      <c r="O36" s="31" t="s">
        <v>323</v>
      </c>
      <c r="P36" s="32"/>
      <c r="Q36" s="32"/>
      <c r="R36" s="32"/>
      <c r="S36" s="32"/>
      <c r="T36" s="32"/>
      <c r="U36" s="30"/>
    </row>
    <row r="37" spans="1:21" ht="16.5" customHeight="1">
      <c r="A37" s="29" t="s">
        <v>324</v>
      </c>
      <c r="B37" s="29" t="s">
        <v>72</v>
      </c>
      <c r="C37" s="29" t="s">
        <v>72</v>
      </c>
      <c r="D37" s="29" t="s">
        <v>29</v>
      </c>
      <c r="E37" s="29" t="s">
        <v>325</v>
      </c>
      <c r="F37" s="29" t="s">
        <v>326</v>
      </c>
      <c r="G37" s="29"/>
      <c r="H37" s="29" t="s">
        <v>7</v>
      </c>
      <c r="I37" s="2" t="s">
        <v>9</v>
      </c>
      <c r="J37" s="29"/>
      <c r="K37" s="29"/>
      <c r="L37" s="19" t="s">
        <v>11</v>
      </c>
      <c r="M37" s="19"/>
      <c r="N37" s="30"/>
      <c r="O37" s="30" t="s">
        <v>327</v>
      </c>
      <c r="P37" s="32"/>
      <c r="Q37" s="32"/>
      <c r="R37" s="32"/>
      <c r="S37" s="32"/>
      <c r="T37" s="32"/>
      <c r="U37" s="30"/>
    </row>
    <row r="38" spans="1:21" ht="16.5" customHeight="1">
      <c r="A38" s="29" t="s">
        <v>328</v>
      </c>
      <c r="B38" s="29" t="s">
        <v>72</v>
      </c>
      <c r="C38" s="29" t="s">
        <v>72</v>
      </c>
      <c r="D38" s="29" t="s">
        <v>29</v>
      </c>
      <c r="E38" s="29" t="s">
        <v>253</v>
      </c>
      <c r="F38" s="29" t="s">
        <v>329</v>
      </c>
      <c r="G38" s="29"/>
      <c r="H38" s="29" t="s">
        <v>7</v>
      </c>
      <c r="I38" s="2" t="s">
        <v>62</v>
      </c>
      <c r="J38" s="29"/>
      <c r="K38" s="29"/>
      <c r="L38" s="19" t="s">
        <v>11</v>
      </c>
      <c r="M38" s="19"/>
      <c r="N38" s="30"/>
      <c r="O38" s="30" t="s">
        <v>330</v>
      </c>
      <c r="P38" s="32"/>
      <c r="Q38" s="32"/>
      <c r="R38" s="32"/>
      <c r="S38" s="32"/>
      <c r="T38" s="32"/>
      <c r="U38" s="30"/>
    </row>
    <row r="39" spans="1:21" ht="16.5" customHeight="1">
      <c r="A39" s="29" t="s">
        <v>331</v>
      </c>
      <c r="B39" s="29" t="s">
        <v>72</v>
      </c>
      <c r="C39" s="29" t="s">
        <v>72</v>
      </c>
      <c r="D39" s="29" t="s">
        <v>29</v>
      </c>
      <c r="E39" s="29" t="s">
        <v>250</v>
      </c>
      <c r="F39" s="29" t="s">
        <v>332</v>
      </c>
      <c r="G39" s="29"/>
      <c r="H39" s="29" t="s">
        <v>7</v>
      </c>
      <c r="I39" s="2" t="s">
        <v>62</v>
      </c>
      <c r="J39" s="29"/>
      <c r="K39" s="29"/>
      <c r="L39" s="19" t="s">
        <v>11</v>
      </c>
      <c r="M39" s="19"/>
      <c r="N39" s="30"/>
      <c r="O39" s="30" t="s">
        <v>333</v>
      </c>
      <c r="P39" s="32"/>
      <c r="Q39" s="32"/>
      <c r="R39" s="32"/>
      <c r="S39" s="32"/>
      <c r="T39" s="32"/>
      <c r="U39" s="30"/>
    </row>
    <row r="40" spans="1:21" ht="16.5" customHeight="1">
      <c r="A40" s="29" t="s">
        <v>334</v>
      </c>
      <c r="B40" s="29" t="s">
        <v>72</v>
      </c>
      <c r="C40" s="29" t="s">
        <v>72</v>
      </c>
      <c r="D40" s="29" t="s">
        <v>29</v>
      </c>
      <c r="E40" s="29" t="s">
        <v>237</v>
      </c>
      <c r="F40" s="29" t="s">
        <v>335</v>
      </c>
      <c r="G40" s="29"/>
      <c r="H40" s="29" t="s">
        <v>7</v>
      </c>
      <c r="I40" s="2" t="s">
        <v>62</v>
      </c>
      <c r="J40" s="29"/>
      <c r="K40" s="29"/>
      <c r="L40" s="19" t="s">
        <v>11</v>
      </c>
      <c r="M40" s="19"/>
      <c r="N40" s="30"/>
      <c r="O40" s="30" t="s">
        <v>336</v>
      </c>
      <c r="P40" s="32"/>
      <c r="Q40" s="32"/>
      <c r="R40" s="32"/>
      <c r="S40" s="32"/>
      <c r="T40" s="32"/>
      <c r="U40" s="30"/>
    </row>
    <row r="41" spans="1:21" ht="16.5" customHeight="1">
      <c r="A41" s="29" t="s">
        <v>337</v>
      </c>
      <c r="B41" s="29" t="s">
        <v>72</v>
      </c>
      <c r="C41" s="29" t="s">
        <v>72</v>
      </c>
      <c r="D41" s="29" t="s">
        <v>72</v>
      </c>
      <c r="E41" s="29" t="s">
        <v>338</v>
      </c>
      <c r="F41" s="29" t="s">
        <v>339</v>
      </c>
      <c r="G41" s="29"/>
      <c r="H41" s="29" t="s">
        <v>4</v>
      </c>
      <c r="I41" s="2" t="s">
        <v>9</v>
      </c>
      <c r="J41" s="29"/>
      <c r="K41" s="29"/>
      <c r="L41" s="19" t="s">
        <v>11</v>
      </c>
      <c r="M41" s="19"/>
      <c r="N41" s="30"/>
      <c r="O41" s="30" t="s">
        <v>340</v>
      </c>
      <c r="P41" s="32"/>
      <c r="Q41" s="32"/>
      <c r="R41" s="32"/>
      <c r="S41" s="32"/>
      <c r="T41" s="32"/>
      <c r="U41" s="30"/>
    </row>
    <row r="42" spans="1:21" ht="16.5" customHeight="1">
      <c r="A42" s="29" t="s">
        <v>341</v>
      </c>
      <c r="B42" s="29" t="s">
        <v>72</v>
      </c>
      <c r="C42" s="29" t="s">
        <v>72</v>
      </c>
      <c r="D42" s="29" t="s">
        <v>72</v>
      </c>
      <c r="E42" s="29" t="s">
        <v>260</v>
      </c>
      <c r="F42" s="29" t="s">
        <v>342</v>
      </c>
      <c r="G42" s="29"/>
      <c r="H42" s="29" t="s">
        <v>7</v>
      </c>
      <c r="I42" s="2" t="s">
        <v>9</v>
      </c>
      <c r="J42" s="29"/>
      <c r="K42" s="29"/>
      <c r="L42" s="19" t="s">
        <v>11</v>
      </c>
      <c r="M42" s="19"/>
      <c r="N42" s="30"/>
      <c r="O42" s="31" t="s">
        <v>343</v>
      </c>
      <c r="P42" s="32"/>
      <c r="Q42" s="32"/>
      <c r="R42" s="32"/>
      <c r="S42" s="32"/>
      <c r="T42" s="32"/>
      <c r="U42" s="30"/>
    </row>
    <row r="43" spans="1:21" ht="16.5" customHeight="1">
      <c r="A43" s="29" t="s">
        <v>344</v>
      </c>
      <c r="B43" s="29" t="s">
        <v>72</v>
      </c>
      <c r="C43" s="29" t="s">
        <v>345</v>
      </c>
      <c r="D43" s="29" t="s">
        <v>72</v>
      </c>
      <c r="E43" s="29" t="s">
        <v>228</v>
      </c>
      <c r="F43" s="29" t="s">
        <v>346</v>
      </c>
      <c r="G43" s="29"/>
      <c r="H43" s="29" t="s">
        <v>4</v>
      </c>
      <c r="I43" s="2" t="s">
        <v>62</v>
      </c>
      <c r="J43" s="29"/>
      <c r="K43" s="29"/>
      <c r="L43" s="19" t="s">
        <v>11</v>
      </c>
      <c r="M43" s="19"/>
      <c r="N43" s="30"/>
      <c r="O43" s="30" t="s">
        <v>347</v>
      </c>
      <c r="P43" s="32"/>
      <c r="Q43" s="32"/>
      <c r="R43" s="32"/>
      <c r="S43" s="32"/>
      <c r="T43" s="32"/>
      <c r="U43" s="30"/>
    </row>
    <row r="44" spans="1:21" ht="16.5" customHeight="1">
      <c r="A44" s="29" t="s">
        <v>348</v>
      </c>
      <c r="B44" s="29" t="s">
        <v>216</v>
      </c>
      <c r="C44" s="29" t="s">
        <v>349</v>
      </c>
      <c r="D44" s="29" t="s">
        <v>74</v>
      </c>
      <c r="E44" s="29" t="s">
        <v>228</v>
      </c>
      <c r="F44" s="29" t="s">
        <v>350</v>
      </c>
      <c r="G44" s="29"/>
      <c r="H44" s="29" t="s">
        <v>4</v>
      </c>
      <c r="I44" s="2" t="s">
        <v>9</v>
      </c>
      <c r="J44" s="51" t="s">
        <v>867</v>
      </c>
      <c r="K44" s="29"/>
      <c r="L44" s="19" t="s">
        <v>11</v>
      </c>
      <c r="M44" s="19"/>
      <c r="N44" s="30" t="s">
        <v>351</v>
      </c>
      <c r="O44" s="30" t="s">
        <v>352</v>
      </c>
      <c r="P44" s="32"/>
      <c r="Q44" s="32"/>
      <c r="R44" s="32"/>
      <c r="S44" s="32"/>
      <c r="T44" s="32"/>
      <c r="U44" s="30"/>
    </row>
    <row r="45" spans="1:21" ht="16.5" customHeight="1">
      <c r="A45" s="29" t="s">
        <v>353</v>
      </c>
      <c r="B45" s="29" t="s">
        <v>72</v>
      </c>
      <c r="C45" s="29" t="s">
        <v>287</v>
      </c>
      <c r="D45" s="29" t="s">
        <v>72</v>
      </c>
      <c r="E45" s="29" t="s">
        <v>228</v>
      </c>
      <c r="F45" s="29" t="s">
        <v>354</v>
      </c>
      <c r="G45" s="29"/>
      <c r="H45" s="29" t="s">
        <v>4</v>
      </c>
      <c r="I45" s="2" t="s">
        <v>9</v>
      </c>
      <c r="J45" s="29"/>
      <c r="K45" s="29"/>
      <c r="L45" s="19" t="s">
        <v>11</v>
      </c>
      <c r="M45" s="19"/>
      <c r="N45" s="30"/>
      <c r="O45" s="30" t="s">
        <v>355</v>
      </c>
      <c r="P45" s="32"/>
      <c r="Q45" s="32"/>
      <c r="R45" s="32"/>
      <c r="S45" s="32"/>
      <c r="T45" s="32"/>
      <c r="U45" s="30"/>
    </row>
    <row r="46" spans="1:21" ht="16.5" customHeight="1">
      <c r="A46" s="29" t="s">
        <v>356</v>
      </c>
      <c r="B46" s="29" t="s">
        <v>72</v>
      </c>
      <c r="C46" s="29" t="s">
        <v>357</v>
      </c>
      <c r="D46" s="29" t="s">
        <v>72</v>
      </c>
      <c r="E46" s="29" t="s">
        <v>228</v>
      </c>
      <c r="F46" s="29" t="s">
        <v>358</v>
      </c>
      <c r="G46" s="29"/>
      <c r="H46" s="29" t="s">
        <v>4</v>
      </c>
      <c r="I46" s="2" t="s">
        <v>5</v>
      </c>
      <c r="J46" s="29"/>
      <c r="K46" s="29"/>
      <c r="L46" s="19" t="s">
        <v>11</v>
      </c>
      <c r="M46" s="19"/>
      <c r="N46" s="30" t="s">
        <v>359</v>
      </c>
      <c r="O46" s="30" t="s">
        <v>360</v>
      </c>
      <c r="P46" s="32"/>
      <c r="Q46" s="32"/>
      <c r="R46" s="32"/>
      <c r="S46" s="32"/>
      <c r="T46" s="32"/>
      <c r="U46" s="30"/>
    </row>
    <row r="47" spans="1:21" ht="16.5" customHeight="1">
      <c r="A47" s="29" t="s">
        <v>361</v>
      </c>
      <c r="B47" s="29" t="s">
        <v>72</v>
      </c>
      <c r="C47" s="29" t="s">
        <v>287</v>
      </c>
      <c r="D47" s="29" t="s">
        <v>72</v>
      </c>
      <c r="E47" s="29" t="s">
        <v>228</v>
      </c>
      <c r="F47" s="29" t="s">
        <v>362</v>
      </c>
      <c r="G47" s="29"/>
      <c r="H47" s="29" t="s">
        <v>4</v>
      </c>
      <c r="I47" s="2" t="s">
        <v>9</v>
      </c>
      <c r="J47" s="29"/>
      <c r="K47" s="29"/>
      <c r="L47" s="19" t="s">
        <v>11</v>
      </c>
      <c r="M47" s="19"/>
      <c r="N47" s="30"/>
      <c r="O47" s="30" t="s">
        <v>363</v>
      </c>
      <c r="P47" s="32"/>
      <c r="Q47" s="32"/>
      <c r="R47" s="32"/>
      <c r="S47" s="32"/>
      <c r="T47" s="32"/>
      <c r="U47" s="30"/>
    </row>
    <row r="48" spans="1:21" ht="16.5" customHeight="1">
      <c r="A48" s="29" t="s">
        <v>364</v>
      </c>
      <c r="B48" s="29" t="s">
        <v>72</v>
      </c>
      <c r="C48" s="29" t="s">
        <v>365</v>
      </c>
      <c r="D48" s="29" t="s">
        <v>72</v>
      </c>
      <c r="E48" s="29" t="s">
        <v>228</v>
      </c>
      <c r="F48" s="29" t="s">
        <v>366</v>
      </c>
      <c r="G48" s="29"/>
      <c r="H48" s="29" t="s">
        <v>7</v>
      </c>
      <c r="I48" s="2" t="s">
        <v>9</v>
      </c>
      <c r="J48" s="29"/>
      <c r="K48" s="29"/>
      <c r="L48" s="19" t="s">
        <v>11</v>
      </c>
      <c r="M48" s="19"/>
      <c r="N48" s="30"/>
      <c r="O48" s="30" t="s">
        <v>367</v>
      </c>
      <c r="P48" s="32"/>
      <c r="Q48" s="32"/>
      <c r="R48" s="32"/>
      <c r="S48" s="32"/>
      <c r="T48" s="32"/>
      <c r="U48" s="30"/>
    </row>
    <row r="49" spans="1:21" ht="16.5" customHeight="1">
      <c r="A49" s="29" t="s">
        <v>368</v>
      </c>
      <c r="B49" s="29" t="s">
        <v>72</v>
      </c>
      <c r="C49" s="29" t="s">
        <v>365</v>
      </c>
      <c r="D49" s="29" t="s">
        <v>72</v>
      </c>
      <c r="E49" s="29" t="s">
        <v>228</v>
      </c>
      <c r="F49" s="29" t="s">
        <v>369</v>
      </c>
      <c r="G49" s="29"/>
      <c r="H49" s="29" t="s">
        <v>6</v>
      </c>
      <c r="I49" s="2" t="s">
        <v>9</v>
      </c>
      <c r="J49" s="29"/>
      <c r="K49" s="29"/>
      <c r="L49" s="19" t="s">
        <v>11</v>
      </c>
      <c r="M49" s="19"/>
      <c r="N49" s="30"/>
      <c r="O49" s="30" t="s">
        <v>370</v>
      </c>
      <c r="P49" s="32"/>
      <c r="Q49" s="32"/>
      <c r="R49" s="32"/>
      <c r="S49" s="32"/>
      <c r="T49" s="32"/>
      <c r="U49" s="30"/>
    </row>
    <row r="50" spans="1:21" ht="16.5" customHeight="1">
      <c r="A50" s="29" t="s">
        <v>371</v>
      </c>
      <c r="B50" s="29" t="s">
        <v>72</v>
      </c>
      <c r="C50" s="29" t="s">
        <v>372</v>
      </c>
      <c r="D50" s="29" t="s">
        <v>72</v>
      </c>
      <c r="E50" s="29" t="s">
        <v>228</v>
      </c>
      <c r="F50" s="29" t="s">
        <v>373</v>
      </c>
      <c r="G50" s="29"/>
      <c r="H50" s="29" t="s">
        <v>4</v>
      </c>
      <c r="I50" s="2" t="s">
        <v>9</v>
      </c>
      <c r="J50" s="29"/>
      <c r="K50" s="29"/>
      <c r="L50" s="19" t="s">
        <v>11</v>
      </c>
      <c r="M50" s="19"/>
      <c r="N50" s="30"/>
      <c r="O50" s="30" t="s">
        <v>374</v>
      </c>
      <c r="P50" s="32"/>
      <c r="Q50" s="32"/>
      <c r="R50" s="32"/>
      <c r="S50" s="32"/>
      <c r="T50" s="32"/>
      <c r="U50" s="30"/>
    </row>
    <row r="51" spans="1:21" ht="16.5" customHeight="1">
      <c r="A51" s="29" t="s">
        <v>375</v>
      </c>
      <c r="B51" s="29" t="s">
        <v>72</v>
      </c>
      <c r="C51" s="29" t="s">
        <v>376</v>
      </c>
      <c r="D51" s="29" t="s">
        <v>75</v>
      </c>
      <c r="E51" s="29" t="s">
        <v>228</v>
      </c>
      <c r="F51" s="29" t="s">
        <v>377</v>
      </c>
      <c r="G51" s="29"/>
      <c r="H51" s="29" t="s">
        <v>4</v>
      </c>
      <c r="I51" s="2" t="s">
        <v>62</v>
      </c>
      <c r="J51" s="29"/>
      <c r="K51" s="29"/>
      <c r="L51" s="19" t="s">
        <v>11</v>
      </c>
      <c r="M51" s="19"/>
      <c r="N51" s="30"/>
      <c r="O51" s="30" t="s">
        <v>378</v>
      </c>
      <c r="P51" s="32"/>
      <c r="Q51" s="32"/>
      <c r="R51" s="32"/>
      <c r="S51" s="32"/>
      <c r="T51" s="32"/>
      <c r="U51" s="30"/>
    </row>
    <row r="52" spans="1:21" ht="16.5" customHeight="1">
      <c r="A52" s="29" t="s">
        <v>379</v>
      </c>
      <c r="B52" s="29" t="s">
        <v>72</v>
      </c>
      <c r="C52" s="29" t="s">
        <v>380</v>
      </c>
      <c r="D52" s="29" t="s">
        <v>75</v>
      </c>
      <c r="E52" s="29" t="s">
        <v>228</v>
      </c>
      <c r="F52" s="29" t="s">
        <v>381</v>
      </c>
      <c r="G52" s="29"/>
      <c r="H52" s="29" t="s">
        <v>4</v>
      </c>
      <c r="I52" s="2" t="s">
        <v>8</v>
      </c>
      <c r="J52" s="29"/>
      <c r="K52" s="29"/>
      <c r="L52" s="19" t="s">
        <v>11</v>
      </c>
      <c r="M52" s="19"/>
      <c r="N52" s="30"/>
      <c r="O52" s="30" t="s">
        <v>382</v>
      </c>
      <c r="P52" s="32"/>
      <c r="Q52" s="32"/>
      <c r="R52" s="32"/>
      <c r="S52" s="32"/>
      <c r="T52" s="32"/>
      <c r="U52" s="30"/>
    </row>
    <row r="53" spans="1:21" ht="16.5" customHeight="1">
      <c r="A53" s="29" t="s">
        <v>383</v>
      </c>
      <c r="B53" s="29" t="s">
        <v>72</v>
      </c>
      <c r="C53" s="29" t="s">
        <v>384</v>
      </c>
      <c r="D53" s="29" t="s">
        <v>75</v>
      </c>
      <c r="E53" s="29" t="s">
        <v>228</v>
      </c>
      <c r="F53" s="29" t="s">
        <v>385</v>
      </c>
      <c r="G53" s="29"/>
      <c r="H53" s="29" t="s">
        <v>7</v>
      </c>
      <c r="I53" s="2" t="s">
        <v>9</v>
      </c>
      <c r="J53" s="29"/>
      <c r="K53" s="29"/>
      <c r="L53" s="19" t="s">
        <v>11</v>
      </c>
      <c r="M53" s="19"/>
      <c r="N53" s="30"/>
      <c r="O53" s="30" t="s">
        <v>386</v>
      </c>
      <c r="P53" s="32"/>
      <c r="Q53" s="32"/>
      <c r="R53" s="32"/>
      <c r="S53" s="32"/>
      <c r="T53" s="32"/>
      <c r="U53" s="30"/>
    </row>
    <row r="54" spans="1:21" ht="16.5" customHeight="1">
      <c r="A54" s="29" t="s">
        <v>387</v>
      </c>
      <c r="B54" s="29" t="s">
        <v>72</v>
      </c>
      <c r="C54" s="29" t="s">
        <v>388</v>
      </c>
      <c r="D54" s="29" t="s">
        <v>75</v>
      </c>
      <c r="E54" s="29" t="s">
        <v>228</v>
      </c>
      <c r="F54" s="29" t="s">
        <v>389</v>
      </c>
      <c r="G54" s="29"/>
      <c r="H54" s="29" t="s">
        <v>7</v>
      </c>
      <c r="I54" s="2" t="s">
        <v>8</v>
      </c>
      <c r="J54" s="29"/>
      <c r="K54" s="29"/>
      <c r="L54" s="19" t="s">
        <v>11</v>
      </c>
      <c r="M54" s="19"/>
      <c r="N54" s="30"/>
      <c r="O54" s="30" t="s">
        <v>390</v>
      </c>
      <c r="P54" s="32"/>
      <c r="Q54" s="32"/>
      <c r="R54" s="32"/>
      <c r="S54" s="32"/>
      <c r="T54" s="32"/>
      <c r="U54" s="30"/>
    </row>
    <row r="55" spans="1:21" ht="16.5" customHeight="1">
      <c r="A55" s="29" t="s">
        <v>391</v>
      </c>
      <c r="B55" s="29" t="s">
        <v>217</v>
      </c>
      <c r="C55" s="29" t="s">
        <v>392</v>
      </c>
      <c r="D55" s="29" t="s">
        <v>54</v>
      </c>
      <c r="E55" s="29" t="s">
        <v>228</v>
      </c>
      <c r="F55" s="29" t="s">
        <v>393</v>
      </c>
      <c r="G55" s="29"/>
      <c r="H55" s="29" t="s">
        <v>4</v>
      </c>
      <c r="I55" s="2" t="s">
        <v>62</v>
      </c>
      <c r="J55" s="29" t="s">
        <v>876</v>
      </c>
      <c r="K55" s="29"/>
      <c r="L55" s="19" t="s">
        <v>11</v>
      </c>
      <c r="M55" s="19"/>
      <c r="N55" s="30"/>
      <c r="O55" s="30" t="s">
        <v>394</v>
      </c>
      <c r="P55" s="32"/>
      <c r="Q55" s="32"/>
      <c r="R55" s="32"/>
      <c r="S55" s="32"/>
      <c r="T55" s="32"/>
      <c r="U55" s="30"/>
    </row>
    <row r="56" spans="1:21" ht="16.5" customHeight="1">
      <c r="A56" s="29" t="s">
        <v>395</v>
      </c>
      <c r="B56" s="29" t="s">
        <v>72</v>
      </c>
      <c r="C56" s="29" t="s">
        <v>396</v>
      </c>
      <c r="D56" s="29" t="s">
        <v>75</v>
      </c>
      <c r="E56" s="29" t="s">
        <v>228</v>
      </c>
      <c r="F56" s="29" t="s">
        <v>397</v>
      </c>
      <c r="G56" s="29"/>
      <c r="H56" s="29" t="s">
        <v>4</v>
      </c>
      <c r="I56" s="2" t="s">
        <v>5</v>
      </c>
      <c r="J56" s="29"/>
      <c r="K56" s="29"/>
      <c r="L56" s="19" t="s">
        <v>11</v>
      </c>
      <c r="M56" s="19"/>
      <c r="N56" s="30"/>
      <c r="O56" s="30" t="s">
        <v>398</v>
      </c>
      <c r="P56" s="32"/>
      <c r="Q56" s="32"/>
      <c r="R56" s="32"/>
      <c r="S56" s="32"/>
      <c r="T56" s="32"/>
      <c r="U56" s="30"/>
    </row>
    <row r="57" spans="1:21" ht="16.5" customHeight="1">
      <c r="A57" s="29" t="s">
        <v>399</v>
      </c>
      <c r="B57" s="29" t="s">
        <v>72</v>
      </c>
      <c r="C57" s="29" t="s">
        <v>400</v>
      </c>
      <c r="D57" s="29" t="s">
        <v>75</v>
      </c>
      <c r="E57" s="29" t="s">
        <v>228</v>
      </c>
      <c r="F57" s="29" t="s">
        <v>401</v>
      </c>
      <c r="G57" s="29"/>
      <c r="H57" s="29" t="s">
        <v>7</v>
      </c>
      <c r="I57" s="2" t="s">
        <v>62</v>
      </c>
      <c r="J57" s="29"/>
      <c r="K57" s="29"/>
      <c r="L57" s="19" t="s">
        <v>11</v>
      </c>
      <c r="M57" s="19"/>
      <c r="N57" s="30"/>
      <c r="O57" s="30" t="s">
        <v>402</v>
      </c>
      <c r="P57" s="32"/>
      <c r="Q57" s="32"/>
      <c r="R57" s="32"/>
      <c r="S57" s="32"/>
      <c r="T57" s="32"/>
      <c r="U57" s="30"/>
    </row>
    <row r="58" spans="1:21" ht="16.5" customHeight="1">
      <c r="A58" s="29" t="s">
        <v>403</v>
      </c>
      <c r="B58" s="29" t="s">
        <v>72</v>
      </c>
      <c r="C58" s="29" t="s">
        <v>404</v>
      </c>
      <c r="D58" s="29" t="s">
        <v>75</v>
      </c>
      <c r="E58" s="29" t="s">
        <v>228</v>
      </c>
      <c r="F58" s="29" t="s">
        <v>405</v>
      </c>
      <c r="G58" s="29"/>
      <c r="H58" s="29" t="s">
        <v>4</v>
      </c>
      <c r="I58" s="2" t="s">
        <v>9</v>
      </c>
      <c r="J58" s="29"/>
      <c r="K58" s="29"/>
      <c r="L58" s="19" t="s">
        <v>11</v>
      </c>
      <c r="M58" s="19"/>
      <c r="N58" s="30"/>
      <c r="O58" s="30" t="s">
        <v>406</v>
      </c>
      <c r="P58" s="32"/>
      <c r="Q58" s="32"/>
      <c r="R58" s="32"/>
      <c r="S58" s="32"/>
      <c r="T58" s="32"/>
      <c r="U58" s="30"/>
    </row>
    <row r="59" spans="1:21" ht="16.5" customHeight="1">
      <c r="A59" s="29" t="s">
        <v>407</v>
      </c>
      <c r="B59" s="29" t="s">
        <v>72</v>
      </c>
      <c r="C59" s="29" t="s">
        <v>408</v>
      </c>
      <c r="D59" s="29" t="s">
        <v>75</v>
      </c>
      <c r="E59" s="29" t="s">
        <v>228</v>
      </c>
      <c r="F59" s="29" t="s">
        <v>409</v>
      </c>
      <c r="G59" s="29"/>
      <c r="H59" s="29" t="s">
        <v>7</v>
      </c>
      <c r="I59" s="2" t="s">
        <v>9</v>
      </c>
      <c r="J59" s="29"/>
      <c r="K59" s="29"/>
      <c r="L59" s="19" t="s">
        <v>11</v>
      </c>
      <c r="M59" s="19"/>
      <c r="N59" s="30"/>
      <c r="O59" s="30" t="s">
        <v>410</v>
      </c>
      <c r="P59" s="32"/>
      <c r="Q59" s="32"/>
      <c r="R59" s="32"/>
      <c r="S59" s="32"/>
      <c r="T59" s="32"/>
      <c r="U59" s="30"/>
    </row>
    <row r="60" spans="1:21" ht="16.5" customHeight="1">
      <c r="A60" s="29" t="s">
        <v>411</v>
      </c>
      <c r="B60" s="29" t="s">
        <v>72</v>
      </c>
      <c r="C60" s="29" t="s">
        <v>412</v>
      </c>
      <c r="D60" s="29" t="s">
        <v>72</v>
      </c>
      <c r="E60" s="29" t="s">
        <v>228</v>
      </c>
      <c r="F60" s="29" t="s">
        <v>413</v>
      </c>
      <c r="G60" s="29"/>
      <c r="H60" s="29" t="s">
        <v>7</v>
      </c>
      <c r="I60" s="2" t="s">
        <v>9</v>
      </c>
      <c r="J60" s="29"/>
      <c r="K60" s="29"/>
      <c r="L60" s="19" t="s">
        <v>11</v>
      </c>
      <c r="M60" s="19"/>
      <c r="N60" s="30"/>
      <c r="O60" s="30" t="s">
        <v>414</v>
      </c>
      <c r="P60" s="32"/>
      <c r="Q60" s="32"/>
      <c r="R60" s="32"/>
      <c r="S60" s="32"/>
      <c r="T60" s="32"/>
      <c r="U60" s="30"/>
    </row>
    <row r="61" spans="1:21" ht="16.5" customHeight="1">
      <c r="A61" s="29" t="s">
        <v>415</v>
      </c>
      <c r="B61" s="29" t="s">
        <v>72</v>
      </c>
      <c r="C61" s="29" t="s">
        <v>416</v>
      </c>
      <c r="D61" s="29" t="s">
        <v>72</v>
      </c>
      <c r="E61" s="29" t="s">
        <v>228</v>
      </c>
      <c r="F61" s="29" t="s">
        <v>417</v>
      </c>
      <c r="G61" s="29"/>
      <c r="H61" s="29" t="s">
        <v>7</v>
      </c>
      <c r="I61" s="2" t="s">
        <v>9</v>
      </c>
      <c r="J61" s="29"/>
      <c r="K61" s="29"/>
      <c r="L61" s="19" t="s">
        <v>11</v>
      </c>
      <c r="M61" s="19"/>
      <c r="N61" s="30"/>
      <c r="O61" s="30" t="s">
        <v>418</v>
      </c>
      <c r="P61" s="32"/>
      <c r="Q61" s="32"/>
      <c r="R61" s="32"/>
      <c r="S61" s="32"/>
      <c r="T61" s="32"/>
      <c r="U61" s="30"/>
    </row>
    <row r="62" spans="1:21" ht="16.5" customHeight="1">
      <c r="A62" s="29" t="s">
        <v>419</v>
      </c>
      <c r="B62" s="29" t="s">
        <v>72</v>
      </c>
      <c r="C62" s="29" t="s">
        <v>416</v>
      </c>
      <c r="D62" s="29" t="s">
        <v>72</v>
      </c>
      <c r="E62" s="29" t="s">
        <v>228</v>
      </c>
      <c r="F62" s="29" t="s">
        <v>420</v>
      </c>
      <c r="G62" s="29"/>
      <c r="H62" s="29" t="s">
        <v>7</v>
      </c>
      <c r="I62" s="2" t="s">
        <v>9</v>
      </c>
      <c r="J62" s="29"/>
      <c r="K62" s="29"/>
      <c r="L62" s="19" t="s">
        <v>11</v>
      </c>
      <c r="M62" s="19"/>
      <c r="N62" s="30"/>
      <c r="O62" s="30" t="s">
        <v>421</v>
      </c>
      <c r="P62" s="32"/>
      <c r="Q62" s="32"/>
      <c r="R62" s="32"/>
      <c r="S62" s="32"/>
      <c r="T62" s="32"/>
      <c r="U62" s="30"/>
    </row>
    <row r="63" spans="1:21" ht="16.5" customHeight="1">
      <c r="A63" s="29" t="s">
        <v>422</v>
      </c>
      <c r="B63" s="29" t="s">
        <v>72</v>
      </c>
      <c r="C63" s="29" t="s">
        <v>423</v>
      </c>
      <c r="D63" s="29" t="s">
        <v>72</v>
      </c>
      <c r="E63" s="29" t="s">
        <v>228</v>
      </c>
      <c r="F63" s="29" t="s">
        <v>424</v>
      </c>
      <c r="G63" s="29"/>
      <c r="H63" s="29" t="s">
        <v>7</v>
      </c>
      <c r="I63" s="2" t="s">
        <v>9</v>
      </c>
      <c r="J63" s="29"/>
      <c r="K63" s="29"/>
      <c r="L63" s="19" t="s">
        <v>11</v>
      </c>
      <c r="M63" s="19"/>
      <c r="N63" s="30"/>
      <c r="O63" s="30" t="s">
        <v>425</v>
      </c>
      <c r="P63" s="32"/>
      <c r="Q63" s="32"/>
      <c r="R63" s="32"/>
      <c r="S63" s="32"/>
      <c r="T63" s="32"/>
      <c r="U63" s="30"/>
    </row>
    <row r="64" spans="1:21" ht="16.5" customHeight="1">
      <c r="A64" s="29" t="s">
        <v>426</v>
      </c>
      <c r="B64" s="29" t="s">
        <v>72</v>
      </c>
      <c r="C64" s="29" t="s">
        <v>423</v>
      </c>
      <c r="D64" s="29" t="s">
        <v>72</v>
      </c>
      <c r="E64" s="29" t="s">
        <v>228</v>
      </c>
      <c r="F64" s="29" t="s">
        <v>427</v>
      </c>
      <c r="G64" s="29"/>
      <c r="H64" s="29" t="s">
        <v>7</v>
      </c>
      <c r="I64" s="2" t="s">
        <v>9</v>
      </c>
      <c r="J64" s="29"/>
      <c r="K64" s="29"/>
      <c r="L64" s="19"/>
      <c r="M64" s="19"/>
      <c r="N64" s="30"/>
      <c r="O64" s="30" t="s">
        <v>428</v>
      </c>
      <c r="P64" s="32"/>
      <c r="Q64" s="32"/>
      <c r="R64" s="32"/>
      <c r="S64" s="32"/>
      <c r="T64" s="32"/>
      <c r="U64" s="30"/>
    </row>
    <row r="65" spans="1:21" ht="16.5" customHeight="1">
      <c r="A65" s="29" t="s">
        <v>429</v>
      </c>
      <c r="B65" s="29" t="s">
        <v>72</v>
      </c>
      <c r="C65" s="29" t="s">
        <v>423</v>
      </c>
      <c r="D65" s="29" t="s">
        <v>72</v>
      </c>
      <c r="E65" s="29" t="s">
        <v>228</v>
      </c>
      <c r="F65" s="29" t="s">
        <v>430</v>
      </c>
      <c r="G65" s="29"/>
      <c r="H65" s="29" t="s">
        <v>7</v>
      </c>
      <c r="I65" s="2" t="s">
        <v>62</v>
      </c>
      <c r="J65" s="29"/>
      <c r="K65" s="29"/>
      <c r="L65" s="19" t="s">
        <v>11</v>
      </c>
      <c r="M65" s="19"/>
      <c r="N65" s="30"/>
      <c r="O65" s="30" t="s">
        <v>431</v>
      </c>
      <c r="P65" s="32"/>
      <c r="Q65" s="32"/>
      <c r="R65" s="32"/>
      <c r="S65" s="32"/>
      <c r="T65" s="32"/>
      <c r="U65" s="30"/>
    </row>
    <row r="66" spans="1:21" ht="16.5" customHeight="1">
      <c r="A66" s="29" t="s">
        <v>432</v>
      </c>
      <c r="B66" s="29" t="s">
        <v>217</v>
      </c>
      <c r="C66" s="29" t="s">
        <v>392</v>
      </c>
      <c r="D66" s="29" t="s">
        <v>54</v>
      </c>
      <c r="E66" s="29" t="s">
        <v>228</v>
      </c>
      <c r="F66" s="29" t="s">
        <v>433</v>
      </c>
      <c r="G66" s="29"/>
      <c r="H66" s="29" t="s">
        <v>7</v>
      </c>
      <c r="I66" s="2" t="s">
        <v>9</v>
      </c>
      <c r="J66" s="29" t="s">
        <v>877</v>
      </c>
      <c r="K66" s="29"/>
      <c r="L66" s="19" t="s">
        <v>11</v>
      </c>
      <c r="M66" s="19"/>
      <c r="N66" s="30"/>
      <c r="O66" s="30" t="s">
        <v>434</v>
      </c>
      <c r="P66" s="32"/>
      <c r="Q66" s="32"/>
      <c r="R66" s="32"/>
      <c r="S66" s="32"/>
      <c r="T66" s="32"/>
      <c r="U66" s="30"/>
    </row>
    <row r="67" spans="1:21" ht="16.5" customHeight="1">
      <c r="A67" s="29" t="s">
        <v>435</v>
      </c>
      <c r="B67" s="29" t="s">
        <v>72</v>
      </c>
      <c r="C67" s="29" t="s">
        <v>423</v>
      </c>
      <c r="D67" s="29" t="s">
        <v>72</v>
      </c>
      <c r="E67" s="29" t="s">
        <v>228</v>
      </c>
      <c r="F67" s="29" t="s">
        <v>436</v>
      </c>
      <c r="G67" s="29"/>
      <c r="H67" s="29" t="s">
        <v>7</v>
      </c>
      <c r="I67" s="2" t="s">
        <v>9</v>
      </c>
      <c r="J67" s="29"/>
      <c r="K67" s="29"/>
      <c r="L67" s="19" t="s">
        <v>11</v>
      </c>
      <c r="M67" s="19"/>
      <c r="N67" s="30"/>
      <c r="O67" s="30" t="s">
        <v>437</v>
      </c>
      <c r="P67" s="32"/>
      <c r="Q67" s="32"/>
      <c r="R67" s="32"/>
      <c r="S67" s="32"/>
      <c r="T67" s="32"/>
      <c r="U67" s="30"/>
    </row>
    <row r="68" spans="1:21" ht="16.5" customHeight="1">
      <c r="A68" s="29" t="s">
        <v>438</v>
      </c>
      <c r="B68" s="29" t="s">
        <v>72</v>
      </c>
      <c r="C68" s="29" t="s">
        <v>439</v>
      </c>
      <c r="D68" s="29" t="s">
        <v>72</v>
      </c>
      <c r="E68" s="29" t="s">
        <v>228</v>
      </c>
      <c r="F68" s="29" t="s">
        <v>440</v>
      </c>
      <c r="G68" s="29"/>
      <c r="H68" s="29" t="s">
        <v>7</v>
      </c>
      <c r="I68" s="2" t="s">
        <v>9</v>
      </c>
      <c r="J68" s="29"/>
      <c r="K68" s="29"/>
      <c r="L68" s="19" t="s">
        <v>11</v>
      </c>
      <c r="M68" s="19"/>
      <c r="N68" s="30"/>
      <c r="O68" s="30" t="s">
        <v>441</v>
      </c>
      <c r="P68" s="32"/>
      <c r="Q68" s="32"/>
      <c r="R68" s="32"/>
      <c r="S68" s="32"/>
      <c r="T68" s="32"/>
      <c r="U68" s="30"/>
    </row>
    <row r="69" spans="1:21" ht="16.5" customHeight="1">
      <c r="A69" s="29" t="s">
        <v>442</v>
      </c>
      <c r="B69" s="29" t="s">
        <v>72</v>
      </c>
      <c r="C69" s="29" t="s">
        <v>345</v>
      </c>
      <c r="D69" s="29" t="s">
        <v>72</v>
      </c>
      <c r="E69" s="29" t="s">
        <v>228</v>
      </c>
      <c r="F69" s="29" t="s">
        <v>443</v>
      </c>
      <c r="G69" s="29"/>
      <c r="H69" s="29" t="s">
        <v>7</v>
      </c>
      <c r="I69" s="2" t="s">
        <v>62</v>
      </c>
      <c r="J69" s="29"/>
      <c r="K69" s="29"/>
      <c r="L69" s="19" t="s">
        <v>11</v>
      </c>
      <c r="M69" s="19"/>
      <c r="N69" s="30"/>
      <c r="O69" s="30" t="s">
        <v>444</v>
      </c>
      <c r="P69" s="32"/>
      <c r="Q69" s="32"/>
      <c r="R69" s="32"/>
      <c r="S69" s="32"/>
      <c r="T69" s="32"/>
      <c r="U69" s="30"/>
    </row>
    <row r="70" spans="1:21" ht="16.5" customHeight="1">
      <c r="A70" s="29" t="s">
        <v>445</v>
      </c>
      <c r="B70" s="29" t="s">
        <v>72</v>
      </c>
      <c r="C70" s="29" t="s">
        <v>408</v>
      </c>
      <c r="D70" s="29" t="s">
        <v>74</v>
      </c>
      <c r="E70" s="29" t="s">
        <v>228</v>
      </c>
      <c r="F70" s="29" t="s">
        <v>446</v>
      </c>
      <c r="G70" s="29"/>
      <c r="H70" s="29" t="s">
        <v>7</v>
      </c>
      <c r="I70" s="2" t="s">
        <v>62</v>
      </c>
      <c r="J70" s="29"/>
      <c r="K70" s="29"/>
      <c r="L70" s="19" t="s">
        <v>11</v>
      </c>
      <c r="M70" s="19"/>
      <c r="N70" s="30"/>
      <c r="O70" s="30" t="s">
        <v>447</v>
      </c>
      <c r="P70" s="32"/>
      <c r="Q70" s="32"/>
      <c r="R70" s="32"/>
      <c r="S70" s="32"/>
      <c r="T70" s="32"/>
      <c r="U70" s="30"/>
    </row>
    <row r="71" spans="1:21" ht="16.5" customHeight="1">
      <c r="A71" s="29" t="s">
        <v>448</v>
      </c>
      <c r="B71" s="29" t="s">
        <v>72</v>
      </c>
      <c r="C71" s="29" t="s">
        <v>287</v>
      </c>
      <c r="D71" s="29" t="s">
        <v>74</v>
      </c>
      <c r="E71" s="29" t="s">
        <v>228</v>
      </c>
      <c r="F71" s="29" t="s">
        <v>449</v>
      </c>
      <c r="G71" s="29"/>
      <c r="H71" s="29" t="s">
        <v>7</v>
      </c>
      <c r="I71" s="2" t="s">
        <v>8</v>
      </c>
      <c r="J71" s="29"/>
      <c r="K71" s="29"/>
      <c r="L71" s="19" t="s">
        <v>11</v>
      </c>
      <c r="M71" s="19"/>
      <c r="N71" s="30"/>
      <c r="O71" s="30" t="s">
        <v>450</v>
      </c>
      <c r="P71" s="32"/>
      <c r="Q71" s="32"/>
      <c r="R71" s="32"/>
      <c r="S71" s="32"/>
      <c r="T71" s="32"/>
      <c r="U71" s="30"/>
    </row>
    <row r="72" spans="1:21" ht="16.5" customHeight="1">
      <c r="A72" s="29" t="s">
        <v>451</v>
      </c>
      <c r="B72" s="29" t="s">
        <v>72</v>
      </c>
      <c r="C72" s="29" t="s">
        <v>287</v>
      </c>
      <c r="D72" s="29" t="s">
        <v>74</v>
      </c>
      <c r="E72" s="29" t="s">
        <v>228</v>
      </c>
      <c r="F72" s="29" t="s">
        <v>452</v>
      </c>
      <c r="G72" s="29"/>
      <c r="H72" s="29" t="s">
        <v>7</v>
      </c>
      <c r="I72" s="2" t="s">
        <v>62</v>
      </c>
      <c r="J72" s="29"/>
      <c r="K72" s="29"/>
      <c r="L72" s="19" t="s">
        <v>11</v>
      </c>
      <c r="M72" s="19"/>
      <c r="N72" s="30"/>
      <c r="O72" s="30" t="s">
        <v>453</v>
      </c>
      <c r="P72" s="32"/>
      <c r="Q72" s="32"/>
      <c r="R72" s="32"/>
      <c r="S72" s="32"/>
      <c r="T72" s="32"/>
      <c r="U72" s="30"/>
    </row>
    <row r="73" spans="1:21" ht="16.5" customHeight="1">
      <c r="A73" s="29" t="s">
        <v>454</v>
      </c>
      <c r="B73" s="29" t="s">
        <v>72</v>
      </c>
      <c r="C73" s="29" t="s">
        <v>455</v>
      </c>
      <c r="D73" s="29" t="s">
        <v>72</v>
      </c>
      <c r="E73" s="29" t="s">
        <v>228</v>
      </c>
      <c r="F73" s="29" t="s">
        <v>456</v>
      </c>
      <c r="G73" s="29"/>
      <c r="H73" s="29" t="s">
        <v>7</v>
      </c>
      <c r="I73" s="2" t="s">
        <v>9</v>
      </c>
      <c r="J73" s="29"/>
      <c r="K73" s="29"/>
      <c r="L73" s="19" t="s">
        <v>11</v>
      </c>
      <c r="M73" s="19"/>
      <c r="N73" s="30"/>
      <c r="O73" s="31" t="s">
        <v>457</v>
      </c>
      <c r="P73" s="32"/>
      <c r="Q73" s="32"/>
      <c r="R73" s="32"/>
      <c r="S73" s="32"/>
      <c r="T73" s="32"/>
      <c r="U73" s="30"/>
    </row>
    <row r="74" spans="1:21" ht="16.5" customHeight="1">
      <c r="A74" s="29" t="s">
        <v>458</v>
      </c>
      <c r="B74" s="29" t="s">
        <v>72</v>
      </c>
      <c r="C74" s="29" t="s">
        <v>423</v>
      </c>
      <c r="D74" s="29" t="s">
        <v>72</v>
      </c>
      <c r="E74" s="29" t="s">
        <v>228</v>
      </c>
      <c r="F74" s="29" t="s">
        <v>459</v>
      </c>
      <c r="G74" s="29"/>
      <c r="H74" s="29" t="s">
        <v>7</v>
      </c>
      <c r="I74" s="2" t="s">
        <v>5</v>
      </c>
      <c r="J74" s="29"/>
      <c r="K74" s="29"/>
      <c r="L74" s="19" t="s">
        <v>11</v>
      </c>
      <c r="M74" s="19"/>
      <c r="N74" s="30"/>
      <c r="O74" s="31" t="s">
        <v>460</v>
      </c>
      <c r="P74" s="32"/>
      <c r="Q74" s="32"/>
      <c r="R74" s="32"/>
      <c r="S74" s="32"/>
      <c r="T74" s="32"/>
      <c r="U74" s="30"/>
    </row>
    <row r="75" spans="1:21" ht="16.5" customHeight="1">
      <c r="A75" s="29" t="s">
        <v>461</v>
      </c>
      <c r="B75" s="29" t="s">
        <v>72</v>
      </c>
      <c r="C75" s="29" t="s">
        <v>462</v>
      </c>
      <c r="D75" s="29" t="s">
        <v>74</v>
      </c>
      <c r="E75" s="29" t="s">
        <v>463</v>
      </c>
      <c r="F75" s="29" t="s">
        <v>464</v>
      </c>
      <c r="G75" s="29"/>
      <c r="H75" s="29" t="s">
        <v>4</v>
      </c>
      <c r="I75" s="2" t="s">
        <v>62</v>
      </c>
      <c r="J75" s="29"/>
      <c r="K75" s="29"/>
      <c r="L75" s="19" t="s">
        <v>11</v>
      </c>
      <c r="M75" s="19"/>
      <c r="N75" s="30"/>
      <c r="O75" s="30" t="s">
        <v>465</v>
      </c>
      <c r="P75" s="32"/>
      <c r="Q75" s="32"/>
      <c r="R75" s="32"/>
      <c r="S75" s="32"/>
      <c r="T75" s="32"/>
      <c r="U75" s="30"/>
    </row>
    <row r="76" spans="1:21" ht="16.5" customHeight="1">
      <c r="A76" s="29" t="s">
        <v>466</v>
      </c>
      <c r="B76" s="29" t="s">
        <v>72</v>
      </c>
      <c r="C76" s="29" t="s">
        <v>462</v>
      </c>
      <c r="D76" s="29" t="s">
        <v>74</v>
      </c>
      <c r="E76" s="29" t="s">
        <v>463</v>
      </c>
      <c r="F76" s="29" t="s">
        <v>467</v>
      </c>
      <c r="G76" s="29"/>
      <c r="H76" s="29" t="s">
        <v>7</v>
      </c>
      <c r="I76" s="2" t="s">
        <v>62</v>
      </c>
      <c r="J76" s="29"/>
      <c r="K76" s="29"/>
      <c r="L76" s="19" t="s">
        <v>11</v>
      </c>
      <c r="M76" s="19"/>
      <c r="N76" s="30"/>
      <c r="O76" s="30" t="s">
        <v>468</v>
      </c>
      <c r="P76" s="32"/>
      <c r="Q76" s="32"/>
      <c r="R76" s="32"/>
      <c r="S76" s="32"/>
      <c r="T76" s="32"/>
      <c r="U76" s="30"/>
    </row>
    <row r="77" spans="1:21" ht="16.5" customHeight="1">
      <c r="A77" s="29" t="s">
        <v>469</v>
      </c>
      <c r="B77" s="29" t="s">
        <v>217</v>
      </c>
      <c r="C77" s="29" t="s">
        <v>392</v>
      </c>
      <c r="D77" s="29" t="s">
        <v>54</v>
      </c>
      <c r="E77" s="29" t="s">
        <v>228</v>
      </c>
      <c r="F77" s="29" t="s">
        <v>470</v>
      </c>
      <c r="G77" s="29"/>
      <c r="H77" s="29" t="s">
        <v>7</v>
      </c>
      <c r="I77" s="2" t="s">
        <v>9</v>
      </c>
      <c r="J77" s="29" t="s">
        <v>881</v>
      </c>
      <c r="K77" s="29"/>
      <c r="L77" s="19" t="s">
        <v>11</v>
      </c>
      <c r="M77" s="19"/>
      <c r="N77" s="30"/>
      <c r="O77" s="30" t="s">
        <v>471</v>
      </c>
      <c r="P77" s="32"/>
      <c r="Q77" s="32"/>
      <c r="R77" s="32"/>
      <c r="S77" s="32"/>
      <c r="T77" s="32"/>
      <c r="U77" s="30"/>
    </row>
    <row r="78" spans="1:21" ht="16.5" customHeight="1">
      <c r="A78" s="29" t="s">
        <v>472</v>
      </c>
      <c r="B78" s="29" t="s">
        <v>72</v>
      </c>
      <c r="C78" s="29" t="s">
        <v>462</v>
      </c>
      <c r="D78" s="29" t="s">
        <v>74</v>
      </c>
      <c r="E78" s="29" t="s">
        <v>463</v>
      </c>
      <c r="F78" s="29" t="s">
        <v>473</v>
      </c>
      <c r="G78" s="29"/>
      <c r="H78" s="29" t="s">
        <v>4</v>
      </c>
      <c r="I78" s="2" t="s">
        <v>62</v>
      </c>
      <c r="J78" s="29"/>
      <c r="K78" s="29"/>
      <c r="L78" s="19" t="s">
        <v>11</v>
      </c>
      <c r="M78" s="19"/>
      <c r="N78" s="30"/>
      <c r="O78" s="30" t="s">
        <v>474</v>
      </c>
      <c r="P78" s="32"/>
      <c r="Q78" s="32"/>
      <c r="R78" s="32"/>
      <c r="S78" s="32"/>
      <c r="T78" s="32"/>
      <c r="U78" s="30"/>
    </row>
    <row r="79" spans="1:21" ht="16.5" customHeight="1">
      <c r="A79" s="29" t="s">
        <v>475</v>
      </c>
      <c r="B79" s="29" t="s">
        <v>72</v>
      </c>
      <c r="C79" s="29" t="s">
        <v>476</v>
      </c>
      <c r="D79" s="29" t="s">
        <v>74</v>
      </c>
      <c r="E79" s="29" t="s">
        <v>463</v>
      </c>
      <c r="F79" s="29" t="s">
        <v>477</v>
      </c>
      <c r="G79" s="29"/>
      <c r="H79" s="29" t="s">
        <v>7</v>
      </c>
      <c r="I79" s="2" t="s">
        <v>62</v>
      </c>
      <c r="J79" s="29"/>
      <c r="K79" s="29"/>
      <c r="L79" s="19" t="s">
        <v>11</v>
      </c>
      <c r="M79" s="19"/>
      <c r="N79" s="30"/>
      <c r="O79" s="30" t="s">
        <v>478</v>
      </c>
      <c r="P79" s="32"/>
      <c r="Q79" s="32"/>
      <c r="R79" s="32"/>
      <c r="S79" s="32"/>
      <c r="T79" s="32"/>
      <c r="U79" s="30"/>
    </row>
    <row r="80" spans="1:21" ht="16.5" customHeight="1">
      <c r="A80" s="29" t="s">
        <v>479</v>
      </c>
      <c r="B80" s="29" t="s">
        <v>72</v>
      </c>
      <c r="C80" s="29" t="s">
        <v>476</v>
      </c>
      <c r="D80" s="29" t="s">
        <v>74</v>
      </c>
      <c r="E80" s="29" t="s">
        <v>463</v>
      </c>
      <c r="F80" s="29" t="s">
        <v>480</v>
      </c>
      <c r="G80" s="29"/>
      <c r="H80" s="29" t="s">
        <v>7</v>
      </c>
      <c r="I80" s="2" t="s">
        <v>62</v>
      </c>
      <c r="J80" s="29"/>
      <c r="K80" s="29"/>
      <c r="L80" s="19" t="s">
        <v>11</v>
      </c>
      <c r="M80" s="19"/>
      <c r="N80" s="30"/>
      <c r="O80" s="30" t="s">
        <v>481</v>
      </c>
      <c r="P80" s="32"/>
      <c r="Q80" s="32"/>
      <c r="R80" s="32"/>
      <c r="S80" s="32"/>
      <c r="T80" s="32"/>
      <c r="U80" s="30"/>
    </row>
    <row r="81" spans="1:21" ht="16.5" customHeight="1">
      <c r="A81" s="29" t="s">
        <v>482</v>
      </c>
      <c r="B81" s="29" t="s">
        <v>72</v>
      </c>
      <c r="C81" s="29" t="s">
        <v>476</v>
      </c>
      <c r="D81" s="29" t="s">
        <v>74</v>
      </c>
      <c r="E81" s="29" t="s">
        <v>463</v>
      </c>
      <c r="F81" s="29" t="s">
        <v>483</v>
      </c>
      <c r="G81" s="29"/>
      <c r="H81" s="29" t="s">
        <v>7</v>
      </c>
      <c r="I81" s="2" t="s">
        <v>8</v>
      </c>
      <c r="J81" s="29"/>
      <c r="K81" s="29"/>
      <c r="L81" s="19" t="s">
        <v>11</v>
      </c>
      <c r="M81" s="19"/>
      <c r="N81" s="30"/>
      <c r="O81" s="30" t="s">
        <v>484</v>
      </c>
      <c r="P81" s="32"/>
      <c r="Q81" s="32"/>
      <c r="R81" s="32"/>
      <c r="S81" s="32"/>
      <c r="T81" s="32"/>
      <c r="U81" s="30"/>
    </row>
    <row r="82" spans="1:21" ht="16.5" customHeight="1">
      <c r="A82" s="29" t="s">
        <v>485</v>
      </c>
      <c r="B82" s="29" t="s">
        <v>72</v>
      </c>
      <c r="C82" s="29" t="s">
        <v>486</v>
      </c>
      <c r="D82" s="29" t="s">
        <v>74</v>
      </c>
      <c r="E82" s="29" t="s">
        <v>463</v>
      </c>
      <c r="F82" s="29" t="s">
        <v>487</v>
      </c>
      <c r="G82" s="29"/>
      <c r="H82" s="29" t="s">
        <v>4</v>
      </c>
      <c r="I82" s="2" t="s">
        <v>8</v>
      </c>
      <c r="J82" s="29"/>
      <c r="K82" s="29"/>
      <c r="L82" s="19" t="s">
        <v>11</v>
      </c>
      <c r="M82" s="19"/>
      <c r="N82" s="30"/>
      <c r="O82" s="31" t="s">
        <v>488</v>
      </c>
      <c r="P82" s="32"/>
      <c r="Q82" s="32"/>
      <c r="R82" s="32"/>
      <c r="S82" s="32"/>
      <c r="T82" s="32"/>
      <c r="U82" s="30"/>
    </row>
    <row r="83" spans="1:21" ht="16.5" customHeight="1">
      <c r="A83" s="29" t="s">
        <v>489</v>
      </c>
      <c r="B83" s="29" t="s">
        <v>72</v>
      </c>
      <c r="C83" s="29" t="s">
        <v>490</v>
      </c>
      <c r="D83" s="29" t="s">
        <v>74</v>
      </c>
      <c r="E83" s="29" t="s">
        <v>491</v>
      </c>
      <c r="F83" s="29" t="s">
        <v>492</v>
      </c>
      <c r="G83" s="29"/>
      <c r="H83" s="29" t="s">
        <v>7</v>
      </c>
      <c r="I83" s="2" t="s">
        <v>5</v>
      </c>
      <c r="J83" s="29"/>
      <c r="K83" s="29"/>
      <c r="L83" s="19" t="s">
        <v>11</v>
      </c>
      <c r="M83" s="19"/>
      <c r="N83" s="30"/>
      <c r="O83" s="30" t="s">
        <v>493</v>
      </c>
      <c r="P83" s="32"/>
      <c r="Q83" s="32"/>
      <c r="R83" s="32"/>
      <c r="S83" s="32"/>
      <c r="T83" s="32"/>
      <c r="U83" s="30"/>
    </row>
    <row r="84" spans="1:21" ht="16.5" customHeight="1">
      <c r="A84" s="29" t="s">
        <v>494</v>
      </c>
      <c r="B84" s="29" t="s">
        <v>72</v>
      </c>
      <c r="C84" s="29" t="s">
        <v>495</v>
      </c>
      <c r="D84" s="29" t="s">
        <v>74</v>
      </c>
      <c r="E84" s="29" t="s">
        <v>491</v>
      </c>
      <c r="F84" s="29" t="s">
        <v>496</v>
      </c>
      <c r="G84" s="29"/>
      <c r="H84" s="29" t="s">
        <v>7</v>
      </c>
      <c r="I84" s="2" t="s">
        <v>5</v>
      </c>
      <c r="J84" s="29"/>
      <c r="K84" s="29"/>
      <c r="L84" s="19" t="s">
        <v>11</v>
      </c>
      <c r="M84" s="19"/>
      <c r="N84" s="30"/>
      <c r="O84" s="30" t="s">
        <v>497</v>
      </c>
      <c r="P84" s="32"/>
      <c r="Q84" s="32"/>
      <c r="R84" s="32"/>
      <c r="S84" s="32"/>
      <c r="T84" s="32"/>
      <c r="U84" s="30"/>
    </row>
    <row r="85" spans="1:21" ht="15.75" customHeight="1">
      <c r="A85" s="29" t="s">
        <v>498</v>
      </c>
      <c r="B85" s="29" t="s">
        <v>72</v>
      </c>
      <c r="C85" s="29" t="s">
        <v>495</v>
      </c>
      <c r="D85" s="29" t="s">
        <v>74</v>
      </c>
      <c r="E85" s="29" t="s">
        <v>491</v>
      </c>
      <c r="F85" s="29" t="s">
        <v>499</v>
      </c>
      <c r="G85" s="29"/>
      <c r="H85" s="29" t="s">
        <v>4</v>
      </c>
      <c r="I85" s="2" t="s">
        <v>62</v>
      </c>
      <c r="J85" s="29"/>
      <c r="K85" s="29"/>
      <c r="L85" s="19" t="s">
        <v>11</v>
      </c>
      <c r="M85" s="19"/>
      <c r="N85" s="30"/>
      <c r="O85" s="30" t="s">
        <v>500</v>
      </c>
      <c r="P85" s="32"/>
      <c r="Q85" s="32"/>
      <c r="R85" s="32"/>
      <c r="S85" s="32"/>
      <c r="T85" s="32"/>
      <c r="U85" s="30"/>
    </row>
    <row r="86" spans="1:21" ht="16.5" customHeight="1">
      <c r="A86" s="29" t="s">
        <v>501</v>
      </c>
      <c r="B86" s="29" t="s">
        <v>72</v>
      </c>
      <c r="C86" s="29" t="s">
        <v>495</v>
      </c>
      <c r="D86" s="29" t="s">
        <v>74</v>
      </c>
      <c r="E86" s="29" t="s">
        <v>491</v>
      </c>
      <c r="F86" s="29" t="s">
        <v>502</v>
      </c>
      <c r="G86" s="29"/>
      <c r="H86" s="29" t="s">
        <v>7</v>
      </c>
      <c r="I86" s="2" t="s">
        <v>62</v>
      </c>
      <c r="J86" s="29"/>
      <c r="K86" s="29"/>
      <c r="L86" s="19" t="s">
        <v>11</v>
      </c>
      <c r="M86" s="19"/>
      <c r="N86" s="30"/>
      <c r="O86" s="30" t="s">
        <v>503</v>
      </c>
      <c r="P86" s="32"/>
      <c r="Q86" s="32"/>
      <c r="R86" s="32"/>
      <c r="S86" s="32"/>
      <c r="T86" s="32"/>
      <c r="U86" s="30"/>
    </row>
    <row r="87" spans="1:21" ht="16.5" customHeight="1">
      <c r="A87" s="29" t="s">
        <v>504</v>
      </c>
      <c r="B87" s="29" t="s">
        <v>72</v>
      </c>
      <c r="C87" s="29" t="s">
        <v>416</v>
      </c>
      <c r="D87" s="29" t="s">
        <v>74</v>
      </c>
      <c r="E87" s="29" t="s">
        <v>491</v>
      </c>
      <c r="F87" s="29" t="s">
        <v>505</v>
      </c>
      <c r="G87" s="29"/>
      <c r="H87" s="29" t="s">
        <v>7</v>
      </c>
      <c r="I87" s="2" t="s">
        <v>62</v>
      </c>
      <c r="J87" s="29"/>
      <c r="K87" s="29"/>
      <c r="L87" s="19" t="s">
        <v>11</v>
      </c>
      <c r="M87" s="19"/>
      <c r="N87" s="30"/>
      <c r="O87" s="30" t="s">
        <v>506</v>
      </c>
      <c r="P87" s="32"/>
      <c r="Q87" s="32"/>
      <c r="R87" s="32"/>
      <c r="S87" s="32"/>
      <c r="T87" s="32"/>
      <c r="U87" s="30"/>
    </row>
    <row r="88" spans="1:21" ht="16.5" customHeight="1">
      <c r="A88" s="29" t="s">
        <v>507</v>
      </c>
      <c r="B88" s="29" t="s">
        <v>217</v>
      </c>
      <c r="C88" s="29" t="s">
        <v>392</v>
      </c>
      <c r="D88" s="29" t="s">
        <v>54</v>
      </c>
      <c r="E88" s="29" t="s">
        <v>228</v>
      </c>
      <c r="F88" s="29" t="s">
        <v>508</v>
      </c>
      <c r="G88" s="29"/>
      <c r="H88" s="29" t="s">
        <v>4</v>
      </c>
      <c r="I88" s="2" t="s">
        <v>9</v>
      </c>
      <c r="J88" s="29" t="s">
        <v>880</v>
      </c>
      <c r="K88" s="29"/>
      <c r="L88" s="19" t="s">
        <v>11</v>
      </c>
      <c r="M88" s="19"/>
      <c r="N88" s="30"/>
      <c r="O88" s="31" t="s">
        <v>509</v>
      </c>
      <c r="P88" s="32"/>
      <c r="Q88" s="32"/>
      <c r="R88" s="32"/>
      <c r="S88" s="32"/>
      <c r="T88" s="32"/>
      <c r="U88" s="30"/>
    </row>
    <row r="89" spans="1:21" ht="16.5" customHeight="1">
      <c r="A89" s="29" t="s">
        <v>510</v>
      </c>
      <c r="B89" s="29" t="s">
        <v>72</v>
      </c>
      <c r="C89" s="29" t="s">
        <v>511</v>
      </c>
      <c r="D89" s="29" t="s">
        <v>74</v>
      </c>
      <c r="E89" s="29" t="s">
        <v>491</v>
      </c>
      <c r="F89" s="29" t="s">
        <v>512</v>
      </c>
      <c r="G89" s="29"/>
      <c r="H89" s="29" t="s">
        <v>6</v>
      </c>
      <c r="I89" s="2" t="s">
        <v>62</v>
      </c>
      <c r="J89" s="29"/>
      <c r="K89" s="29"/>
      <c r="L89" s="19" t="s">
        <v>11</v>
      </c>
      <c r="M89" s="19"/>
      <c r="N89" s="30"/>
      <c r="O89" s="30" t="s">
        <v>513</v>
      </c>
      <c r="P89" s="32"/>
      <c r="Q89" s="32"/>
      <c r="R89" s="32"/>
      <c r="S89" s="32"/>
      <c r="T89" s="32"/>
      <c r="U89" s="30"/>
    </row>
    <row r="90" spans="1:21" ht="16.5" customHeight="1">
      <c r="A90" s="29" t="s">
        <v>514</v>
      </c>
      <c r="B90" s="29" t="s">
        <v>218</v>
      </c>
      <c r="C90" s="29" t="s">
        <v>515</v>
      </c>
      <c r="D90" s="29" t="s">
        <v>72</v>
      </c>
      <c r="E90" s="29" t="s">
        <v>228</v>
      </c>
      <c r="F90" s="29" t="s">
        <v>516</v>
      </c>
      <c r="G90" s="29"/>
      <c r="H90" s="29" t="s">
        <v>4</v>
      </c>
      <c r="I90" s="2" t="s">
        <v>9</v>
      </c>
      <c r="J90" s="29"/>
      <c r="K90" s="29"/>
      <c r="L90" s="19" t="s">
        <v>11</v>
      </c>
      <c r="M90" s="19"/>
      <c r="N90" s="30"/>
      <c r="O90" s="30" t="s">
        <v>517</v>
      </c>
      <c r="P90" s="32"/>
      <c r="Q90" s="32"/>
      <c r="R90" s="32"/>
      <c r="S90" s="32"/>
      <c r="T90" s="32"/>
      <c r="U90" s="30"/>
    </row>
    <row r="91" spans="1:21" ht="16.5" customHeight="1">
      <c r="A91" s="29" t="s">
        <v>518</v>
      </c>
      <c r="B91" s="29" t="s">
        <v>218</v>
      </c>
      <c r="C91" s="29" t="s">
        <v>519</v>
      </c>
      <c r="D91" s="29" t="s">
        <v>72</v>
      </c>
      <c r="E91" s="29" t="s">
        <v>228</v>
      </c>
      <c r="F91" s="29" t="s">
        <v>520</v>
      </c>
      <c r="G91" s="29"/>
      <c r="H91" s="29" t="s">
        <v>4</v>
      </c>
      <c r="I91" s="2" t="s">
        <v>9</v>
      </c>
      <c r="J91" s="29"/>
      <c r="K91" s="29"/>
      <c r="L91" s="19" t="s">
        <v>11</v>
      </c>
      <c r="M91" s="19"/>
      <c r="N91" s="30"/>
      <c r="O91" s="31" t="s">
        <v>521</v>
      </c>
      <c r="P91" s="32"/>
      <c r="Q91" s="32"/>
      <c r="R91" s="32"/>
      <c r="S91" s="32"/>
      <c r="T91" s="32"/>
      <c r="U91" s="30"/>
    </row>
    <row r="92" spans="1:21" ht="16.5" customHeight="1">
      <c r="A92" s="29" t="s">
        <v>522</v>
      </c>
      <c r="B92" s="29" t="s">
        <v>218</v>
      </c>
      <c r="C92" s="29" t="s">
        <v>523</v>
      </c>
      <c r="D92" s="29" t="s">
        <v>72</v>
      </c>
      <c r="E92" s="29" t="s">
        <v>228</v>
      </c>
      <c r="F92" s="29" t="s">
        <v>524</v>
      </c>
      <c r="G92" s="29"/>
      <c r="H92" s="29" t="s">
        <v>4</v>
      </c>
      <c r="I92" s="2" t="s">
        <v>9</v>
      </c>
      <c r="J92" s="29"/>
      <c r="K92" s="29"/>
      <c r="L92" s="19" t="s">
        <v>11</v>
      </c>
      <c r="M92" s="19"/>
      <c r="N92" s="30"/>
      <c r="O92" s="30" t="s">
        <v>525</v>
      </c>
      <c r="P92" s="32"/>
      <c r="Q92" s="32"/>
      <c r="R92" s="32"/>
      <c r="S92" s="32"/>
      <c r="T92" s="32"/>
      <c r="U92" s="30"/>
    </row>
    <row r="93" spans="1:21" ht="16.5" customHeight="1">
      <c r="A93" s="29" t="s">
        <v>526</v>
      </c>
      <c r="B93" s="29" t="s">
        <v>218</v>
      </c>
      <c r="C93" s="29" t="s">
        <v>527</v>
      </c>
      <c r="D93" s="29" t="s">
        <v>72</v>
      </c>
      <c r="E93" s="29" t="s">
        <v>228</v>
      </c>
      <c r="F93" s="29" t="s">
        <v>528</v>
      </c>
      <c r="G93" s="29"/>
      <c r="H93" s="29" t="s">
        <v>7</v>
      </c>
      <c r="I93" s="2" t="s">
        <v>8</v>
      </c>
      <c r="J93" s="29" t="s">
        <v>878</v>
      </c>
      <c r="K93" s="29"/>
      <c r="L93" s="19" t="s">
        <v>11</v>
      </c>
      <c r="M93" s="19"/>
      <c r="N93" s="30"/>
      <c r="O93" s="30" t="s">
        <v>529</v>
      </c>
      <c r="P93" s="32"/>
      <c r="Q93" s="32"/>
      <c r="R93" s="32"/>
      <c r="S93" s="32"/>
      <c r="T93" s="32"/>
      <c r="U93" s="30"/>
    </row>
    <row r="94" spans="1:21" ht="16.5" customHeight="1">
      <c r="A94" s="29" t="s">
        <v>530</v>
      </c>
      <c r="B94" s="29" t="s">
        <v>218</v>
      </c>
      <c r="C94" s="29" t="s">
        <v>531</v>
      </c>
      <c r="D94" s="29" t="s">
        <v>72</v>
      </c>
      <c r="E94" s="29" t="s">
        <v>228</v>
      </c>
      <c r="F94" s="29" t="s">
        <v>532</v>
      </c>
      <c r="G94" s="29"/>
      <c r="H94" s="29" t="s">
        <v>4</v>
      </c>
      <c r="I94" s="2" t="s">
        <v>9</v>
      </c>
      <c r="J94" s="29"/>
      <c r="K94" s="29"/>
      <c r="L94" s="19" t="s">
        <v>11</v>
      </c>
      <c r="M94" s="19"/>
      <c r="N94" s="30"/>
      <c r="O94" s="30" t="s">
        <v>533</v>
      </c>
      <c r="P94" s="32"/>
      <c r="Q94" s="32"/>
      <c r="R94" s="32"/>
      <c r="S94" s="32"/>
      <c r="T94" s="32"/>
      <c r="U94" s="30"/>
    </row>
    <row r="95" spans="1:21" ht="16.5" customHeight="1">
      <c r="A95" s="29" t="s">
        <v>534</v>
      </c>
      <c r="B95" s="29" t="s">
        <v>218</v>
      </c>
      <c r="C95" s="29" t="s">
        <v>535</v>
      </c>
      <c r="D95" s="29" t="s">
        <v>72</v>
      </c>
      <c r="E95" s="29" t="s">
        <v>228</v>
      </c>
      <c r="F95" s="29" t="s">
        <v>536</v>
      </c>
      <c r="G95" s="29"/>
      <c r="H95" s="29" t="s">
        <v>4</v>
      </c>
      <c r="I95" s="2" t="s">
        <v>9</v>
      </c>
      <c r="J95" s="29"/>
      <c r="K95" s="29"/>
      <c r="L95" s="19" t="s">
        <v>11</v>
      </c>
      <c r="M95" s="19"/>
      <c r="N95" s="30"/>
      <c r="O95" s="30" t="s">
        <v>537</v>
      </c>
      <c r="P95" s="32"/>
      <c r="Q95" s="32"/>
      <c r="R95" s="32"/>
      <c r="S95" s="32"/>
      <c r="T95" s="32"/>
      <c r="U95" s="30"/>
    </row>
    <row r="96" spans="1:21" ht="16.5" customHeight="1">
      <c r="A96" s="29" t="s">
        <v>538</v>
      </c>
      <c r="B96" s="29" t="s">
        <v>218</v>
      </c>
      <c r="C96" s="29" t="s">
        <v>523</v>
      </c>
      <c r="D96" s="29" t="s">
        <v>74</v>
      </c>
      <c r="E96" s="29" t="s">
        <v>228</v>
      </c>
      <c r="F96" s="29" t="s">
        <v>539</v>
      </c>
      <c r="G96" s="29"/>
      <c r="H96" s="29" t="s">
        <v>7</v>
      </c>
      <c r="I96" s="2" t="s">
        <v>8</v>
      </c>
      <c r="J96" s="29" t="s">
        <v>878</v>
      </c>
      <c r="K96" s="29"/>
      <c r="L96" s="19" t="s">
        <v>11</v>
      </c>
      <c r="M96" s="19"/>
      <c r="N96" s="30"/>
      <c r="O96" s="30" t="s">
        <v>540</v>
      </c>
      <c r="P96" s="32"/>
      <c r="Q96" s="32"/>
      <c r="R96" s="32"/>
      <c r="S96" s="32"/>
      <c r="T96" s="32"/>
      <c r="U96" s="30"/>
    </row>
    <row r="97" spans="1:21" ht="16.5" customHeight="1">
      <c r="A97" s="29" t="s">
        <v>541</v>
      </c>
      <c r="B97" s="29" t="s">
        <v>217</v>
      </c>
      <c r="C97" s="29" t="s">
        <v>392</v>
      </c>
      <c r="D97" s="29" t="s">
        <v>54</v>
      </c>
      <c r="E97" s="29" t="s">
        <v>283</v>
      </c>
      <c r="F97" s="29" t="s">
        <v>542</v>
      </c>
      <c r="G97" s="29"/>
      <c r="H97" s="29" t="s">
        <v>7</v>
      </c>
      <c r="I97" s="2" t="s">
        <v>9</v>
      </c>
      <c r="J97" s="29" t="s">
        <v>879</v>
      </c>
      <c r="K97" s="29"/>
      <c r="L97" s="19"/>
      <c r="M97" s="19"/>
      <c r="N97" s="30"/>
      <c r="O97" s="30" t="s">
        <v>543</v>
      </c>
      <c r="P97" s="32"/>
      <c r="Q97" s="32"/>
      <c r="R97" s="32"/>
      <c r="S97" s="32"/>
      <c r="T97" s="32"/>
      <c r="U97" s="30"/>
    </row>
    <row r="98" spans="1:21" ht="16.5" customHeight="1">
      <c r="A98" s="29" t="s">
        <v>544</v>
      </c>
      <c r="B98" s="29" t="s">
        <v>217</v>
      </c>
      <c r="C98" s="29" t="s">
        <v>392</v>
      </c>
      <c r="D98" s="29" t="s">
        <v>54</v>
      </c>
      <c r="E98" s="29" t="s">
        <v>260</v>
      </c>
      <c r="F98" s="29" t="s">
        <v>545</v>
      </c>
      <c r="G98" s="29"/>
      <c r="H98" s="29" t="s">
        <v>6</v>
      </c>
      <c r="I98" s="2" t="s">
        <v>8</v>
      </c>
      <c r="J98" s="29" t="s">
        <v>878</v>
      </c>
      <c r="K98" s="29"/>
      <c r="L98" s="19" t="s">
        <v>11</v>
      </c>
      <c r="M98" s="19"/>
      <c r="N98" s="30"/>
      <c r="O98" s="30" t="s">
        <v>546</v>
      </c>
      <c r="P98" s="32"/>
      <c r="Q98" s="32"/>
      <c r="R98" s="32"/>
      <c r="S98" s="32"/>
      <c r="T98" s="32"/>
      <c r="U98" s="30"/>
    </row>
    <row r="99" spans="1:21" ht="16.5" customHeight="1">
      <c r="A99" s="29" t="s">
        <v>547</v>
      </c>
      <c r="B99" s="29" t="s">
        <v>215</v>
      </c>
      <c r="C99" s="29" t="s">
        <v>416</v>
      </c>
      <c r="D99" s="29" t="s">
        <v>72</v>
      </c>
      <c r="E99" s="29" t="s">
        <v>223</v>
      </c>
      <c r="F99" s="29" t="s">
        <v>548</v>
      </c>
      <c r="G99" s="29"/>
      <c r="H99" s="29" t="s">
        <v>7</v>
      </c>
      <c r="I99" s="2" t="s">
        <v>9</v>
      </c>
      <c r="J99" s="29" t="s">
        <v>872</v>
      </c>
      <c r="K99" s="29"/>
      <c r="L99" s="19" t="s">
        <v>11</v>
      </c>
      <c r="M99" s="19"/>
      <c r="N99" s="30"/>
      <c r="O99" s="30" t="s">
        <v>549</v>
      </c>
      <c r="P99" s="32"/>
      <c r="Q99" s="32"/>
      <c r="R99" s="32"/>
      <c r="S99" s="32"/>
      <c r="T99" s="32"/>
      <c r="U99" s="30"/>
    </row>
    <row r="100" spans="1:21" ht="16.5" customHeight="1">
      <c r="A100" s="29" t="s">
        <v>550</v>
      </c>
      <c r="B100" s="29" t="s">
        <v>217</v>
      </c>
      <c r="C100" s="29" t="s">
        <v>392</v>
      </c>
      <c r="D100" s="29" t="s">
        <v>54</v>
      </c>
      <c r="E100" s="29" t="s">
        <v>551</v>
      </c>
      <c r="F100" s="29" t="s">
        <v>552</v>
      </c>
      <c r="G100" s="29"/>
      <c r="H100" s="29" t="s">
        <v>7</v>
      </c>
      <c r="I100" s="2" t="s">
        <v>8</v>
      </c>
      <c r="J100" s="29" t="s">
        <v>878</v>
      </c>
      <c r="K100" s="29"/>
      <c r="L100" s="19" t="s">
        <v>11</v>
      </c>
      <c r="M100" s="19"/>
      <c r="N100" s="30"/>
      <c r="O100" s="31" t="s">
        <v>553</v>
      </c>
      <c r="P100" s="32"/>
      <c r="Q100" s="32"/>
      <c r="R100" s="32"/>
      <c r="S100" s="32"/>
      <c r="T100" s="32"/>
      <c r="U100" s="30"/>
    </row>
    <row r="101" spans="1:21" ht="16.5" customHeight="1">
      <c r="A101" s="29" t="s">
        <v>554</v>
      </c>
      <c r="B101" s="29" t="s">
        <v>217</v>
      </c>
      <c r="C101" s="29" t="s">
        <v>555</v>
      </c>
      <c r="D101" s="29" t="s">
        <v>54</v>
      </c>
      <c r="E101" s="29" t="s">
        <v>228</v>
      </c>
      <c r="F101" s="29" t="s">
        <v>556</v>
      </c>
      <c r="G101" s="29"/>
      <c r="H101" s="29" t="s">
        <v>7</v>
      </c>
      <c r="I101" s="2" t="s">
        <v>62</v>
      </c>
      <c r="J101" s="29" t="s">
        <v>876</v>
      </c>
      <c r="K101" s="29"/>
      <c r="L101" s="19" t="s">
        <v>11</v>
      </c>
      <c r="M101" s="19"/>
      <c r="N101" s="30"/>
      <c r="O101" s="30" t="s">
        <v>557</v>
      </c>
      <c r="P101" s="32"/>
      <c r="Q101" s="32"/>
      <c r="R101" s="32"/>
      <c r="S101" s="32"/>
      <c r="T101" s="32"/>
      <c r="U101" s="30"/>
    </row>
    <row r="102" spans="1:21" ht="16.5" customHeight="1">
      <c r="A102" s="29" t="s">
        <v>558</v>
      </c>
      <c r="B102" s="29" t="s">
        <v>217</v>
      </c>
      <c r="C102" s="29" t="s">
        <v>555</v>
      </c>
      <c r="D102" s="29" t="s">
        <v>54</v>
      </c>
      <c r="E102" s="29" t="s">
        <v>228</v>
      </c>
      <c r="F102" s="29" t="s">
        <v>559</v>
      </c>
      <c r="G102" s="29"/>
      <c r="H102" s="29" t="s">
        <v>4</v>
      </c>
      <c r="I102" s="2" t="s">
        <v>62</v>
      </c>
      <c r="J102" s="29" t="s">
        <v>876</v>
      </c>
      <c r="K102" s="29"/>
      <c r="L102" s="19" t="s">
        <v>11</v>
      </c>
      <c r="M102" s="19"/>
      <c r="N102" s="30"/>
      <c r="O102" s="31" t="s">
        <v>560</v>
      </c>
      <c r="P102" s="32"/>
      <c r="Q102" s="32"/>
      <c r="R102" s="32"/>
      <c r="S102" s="32"/>
      <c r="T102" s="32"/>
      <c r="U102" s="30"/>
    </row>
    <row r="103" spans="1:21" ht="16.5" customHeight="1">
      <c r="A103" s="29" t="s">
        <v>561</v>
      </c>
      <c r="B103" s="29" t="s">
        <v>217</v>
      </c>
      <c r="C103" s="29" t="s">
        <v>562</v>
      </c>
      <c r="D103" s="29" t="s">
        <v>54</v>
      </c>
      <c r="E103" s="29" t="s">
        <v>228</v>
      </c>
      <c r="F103" s="29" t="s">
        <v>563</v>
      </c>
      <c r="G103" s="29"/>
      <c r="H103" s="29" t="s">
        <v>7</v>
      </c>
      <c r="I103" s="2" t="s">
        <v>9</v>
      </c>
      <c r="J103" s="29" t="s">
        <v>883</v>
      </c>
      <c r="K103" s="29"/>
      <c r="L103" s="19" t="s">
        <v>11</v>
      </c>
      <c r="M103" s="19"/>
      <c r="N103" s="30"/>
      <c r="O103" s="30" t="s">
        <v>564</v>
      </c>
      <c r="P103" s="32"/>
      <c r="Q103" s="32"/>
      <c r="R103" s="32"/>
      <c r="S103" s="32"/>
      <c r="T103" s="32"/>
      <c r="U103" s="30"/>
    </row>
    <row r="104" spans="1:21" ht="16.5" customHeight="1">
      <c r="A104" s="29" t="s">
        <v>565</v>
      </c>
      <c r="B104" s="29" t="s">
        <v>217</v>
      </c>
      <c r="C104" s="29" t="s">
        <v>566</v>
      </c>
      <c r="D104" s="29" t="s">
        <v>54</v>
      </c>
      <c r="E104" s="29" t="s">
        <v>228</v>
      </c>
      <c r="F104" s="29" t="s">
        <v>567</v>
      </c>
      <c r="G104" s="29"/>
      <c r="H104" s="29" t="s">
        <v>4</v>
      </c>
      <c r="I104" s="2" t="s">
        <v>5</v>
      </c>
      <c r="J104" s="29"/>
      <c r="K104" s="29"/>
      <c r="L104" s="19" t="s">
        <v>11</v>
      </c>
      <c r="M104" s="19"/>
      <c r="N104" s="30"/>
      <c r="O104" s="30" t="s">
        <v>568</v>
      </c>
      <c r="P104" s="32"/>
      <c r="Q104" s="32"/>
      <c r="R104" s="32"/>
      <c r="S104" s="32"/>
      <c r="T104" s="32"/>
      <c r="U104" s="30"/>
    </row>
    <row r="105" spans="1:21" ht="16.5" customHeight="1">
      <c r="A105" s="29" t="s">
        <v>569</v>
      </c>
      <c r="B105" s="29" t="s">
        <v>217</v>
      </c>
      <c r="C105" s="29" t="s">
        <v>570</v>
      </c>
      <c r="D105" s="29" t="s">
        <v>54</v>
      </c>
      <c r="E105" s="29" t="s">
        <v>228</v>
      </c>
      <c r="F105" s="29" t="s">
        <v>571</v>
      </c>
      <c r="G105" s="29"/>
      <c r="H105" s="29" t="s">
        <v>7</v>
      </c>
      <c r="I105" s="2" t="s">
        <v>5</v>
      </c>
      <c r="J105" s="29"/>
      <c r="K105" s="29"/>
      <c r="L105" s="19" t="s">
        <v>11</v>
      </c>
      <c r="M105" s="19"/>
      <c r="N105" s="30"/>
      <c r="O105" s="30" t="s">
        <v>572</v>
      </c>
      <c r="P105" s="32"/>
      <c r="Q105" s="32"/>
      <c r="R105" s="32"/>
      <c r="S105" s="32"/>
      <c r="T105" s="32"/>
      <c r="U105" s="30"/>
    </row>
    <row r="106" spans="1:21" ht="16.5" customHeight="1">
      <c r="A106" s="29" t="s">
        <v>573</v>
      </c>
      <c r="B106" s="29" t="s">
        <v>217</v>
      </c>
      <c r="C106" s="29" t="s">
        <v>574</v>
      </c>
      <c r="D106" s="29" t="s">
        <v>54</v>
      </c>
      <c r="E106" s="29" t="s">
        <v>228</v>
      </c>
      <c r="F106" s="29" t="s">
        <v>575</v>
      </c>
      <c r="G106" s="29"/>
      <c r="H106" s="29" t="s">
        <v>7</v>
      </c>
      <c r="I106" s="2" t="s">
        <v>9</v>
      </c>
      <c r="J106" s="29"/>
      <c r="K106" s="29"/>
      <c r="L106" s="19" t="s">
        <v>11</v>
      </c>
      <c r="M106" s="19"/>
      <c r="N106" s="30"/>
      <c r="O106" s="30" t="s">
        <v>576</v>
      </c>
      <c r="P106" s="32"/>
      <c r="Q106" s="32"/>
      <c r="R106" s="32"/>
      <c r="S106" s="32"/>
      <c r="T106" s="32"/>
      <c r="U106" s="30"/>
    </row>
    <row r="107" spans="1:21" ht="16.5" customHeight="1">
      <c r="A107" s="29" t="s">
        <v>577</v>
      </c>
      <c r="B107" s="29" t="s">
        <v>217</v>
      </c>
      <c r="C107" s="29" t="s">
        <v>578</v>
      </c>
      <c r="D107" s="29" t="s">
        <v>54</v>
      </c>
      <c r="E107" s="29" t="s">
        <v>228</v>
      </c>
      <c r="F107" s="29" t="s">
        <v>579</v>
      </c>
      <c r="G107" s="29"/>
      <c r="H107" s="29" t="s">
        <v>4</v>
      </c>
      <c r="I107" s="2" t="s">
        <v>5</v>
      </c>
      <c r="J107" s="29"/>
      <c r="K107" s="29"/>
      <c r="L107" s="19" t="s">
        <v>11</v>
      </c>
      <c r="M107" s="19"/>
      <c r="N107" s="30"/>
      <c r="O107" s="30" t="s">
        <v>580</v>
      </c>
      <c r="P107" s="32"/>
      <c r="Q107" s="32"/>
      <c r="R107" s="32"/>
      <c r="S107" s="32"/>
      <c r="T107" s="32"/>
      <c r="U107" s="30"/>
    </row>
    <row r="108" spans="1:21" ht="16.5" customHeight="1">
      <c r="A108" s="29" t="s">
        <v>581</v>
      </c>
      <c r="B108" s="29" t="s">
        <v>217</v>
      </c>
      <c r="C108" s="29" t="s">
        <v>582</v>
      </c>
      <c r="D108" s="29" t="s">
        <v>54</v>
      </c>
      <c r="E108" s="29" t="s">
        <v>228</v>
      </c>
      <c r="F108" s="29" t="s">
        <v>583</v>
      </c>
      <c r="G108" s="29"/>
      <c r="H108" s="29" t="s">
        <v>4</v>
      </c>
      <c r="I108" s="2" t="s">
        <v>5</v>
      </c>
      <c r="J108" s="29"/>
      <c r="K108" s="29"/>
      <c r="L108" s="19" t="s">
        <v>11</v>
      </c>
      <c r="M108" s="19"/>
      <c r="N108" s="30"/>
      <c r="O108" s="30" t="s">
        <v>584</v>
      </c>
      <c r="P108" s="32"/>
      <c r="Q108" s="32"/>
      <c r="R108" s="32"/>
      <c r="S108" s="32"/>
      <c r="T108" s="32"/>
      <c r="U108" s="30"/>
    </row>
    <row r="109" spans="1:21" ht="16.5" customHeight="1">
      <c r="A109" s="29" t="s">
        <v>585</v>
      </c>
      <c r="B109" s="29" t="s">
        <v>217</v>
      </c>
      <c r="C109" s="29" t="s">
        <v>586</v>
      </c>
      <c r="D109" s="29" t="s">
        <v>54</v>
      </c>
      <c r="E109" s="29" t="s">
        <v>228</v>
      </c>
      <c r="F109" s="29" t="s">
        <v>587</v>
      </c>
      <c r="G109" s="29"/>
      <c r="H109" s="29" t="s">
        <v>7</v>
      </c>
      <c r="I109" s="2" t="s">
        <v>9</v>
      </c>
      <c r="J109" s="29" t="s">
        <v>882</v>
      </c>
      <c r="K109" s="29"/>
      <c r="L109" s="19" t="s">
        <v>11</v>
      </c>
      <c r="M109" s="19"/>
      <c r="N109" s="30"/>
      <c r="O109" s="30" t="s">
        <v>588</v>
      </c>
      <c r="P109" s="32"/>
      <c r="Q109" s="32"/>
      <c r="R109" s="32"/>
      <c r="S109" s="32"/>
      <c r="T109" s="32"/>
      <c r="U109" s="30"/>
    </row>
    <row r="110" spans="1:21" ht="16.5" customHeight="1">
      <c r="A110" s="29" t="s">
        <v>589</v>
      </c>
      <c r="B110" s="29" t="s">
        <v>215</v>
      </c>
      <c r="C110" s="29" t="s">
        <v>416</v>
      </c>
      <c r="D110" s="29" t="s">
        <v>72</v>
      </c>
      <c r="E110" s="29" t="s">
        <v>283</v>
      </c>
      <c r="F110" s="29" t="s">
        <v>590</v>
      </c>
      <c r="G110" s="29"/>
      <c r="H110" s="29" t="s">
        <v>6</v>
      </c>
      <c r="I110" s="2" t="s">
        <v>9</v>
      </c>
      <c r="J110" s="29" t="s">
        <v>873</v>
      </c>
      <c r="K110" s="29"/>
      <c r="L110" s="19" t="s">
        <v>11</v>
      </c>
      <c r="M110" s="19"/>
      <c r="N110" s="30"/>
      <c r="O110" s="30" t="s">
        <v>591</v>
      </c>
      <c r="P110" s="32"/>
      <c r="Q110" s="32"/>
      <c r="R110" s="32"/>
      <c r="S110" s="32"/>
      <c r="T110" s="32"/>
      <c r="U110" s="30"/>
    </row>
    <row r="111" spans="1:21" ht="16.5" customHeight="1">
      <c r="A111" s="29" t="s">
        <v>592</v>
      </c>
      <c r="B111" s="29" t="s">
        <v>217</v>
      </c>
      <c r="C111" s="29" t="s">
        <v>593</v>
      </c>
      <c r="D111" s="29" t="s">
        <v>54</v>
      </c>
      <c r="E111" s="29" t="s">
        <v>228</v>
      </c>
      <c r="F111" s="29" t="s">
        <v>594</v>
      </c>
      <c r="G111" s="29"/>
      <c r="H111" s="29" t="s">
        <v>7</v>
      </c>
      <c r="I111" s="2" t="s">
        <v>9</v>
      </c>
      <c r="J111" s="29"/>
      <c r="K111" s="29"/>
      <c r="L111" s="19" t="s">
        <v>11</v>
      </c>
      <c r="M111" s="19"/>
      <c r="N111" s="30"/>
      <c r="O111" s="30" t="s">
        <v>595</v>
      </c>
      <c r="P111" s="32"/>
      <c r="Q111" s="32"/>
      <c r="R111" s="32"/>
      <c r="S111" s="32"/>
      <c r="T111" s="32"/>
      <c r="U111" s="30"/>
    </row>
    <row r="112" spans="1:21" ht="16.5" customHeight="1">
      <c r="A112" s="29" t="s">
        <v>596</v>
      </c>
      <c r="B112" s="29" t="s">
        <v>217</v>
      </c>
      <c r="C112" s="29" t="s">
        <v>597</v>
      </c>
      <c r="D112" s="29" t="s">
        <v>54</v>
      </c>
      <c r="E112" s="29" t="s">
        <v>228</v>
      </c>
      <c r="F112" s="29" t="s">
        <v>598</v>
      </c>
      <c r="G112" s="29"/>
      <c r="H112" s="29" t="s">
        <v>7</v>
      </c>
      <c r="I112" s="2" t="s">
        <v>5</v>
      </c>
      <c r="J112" s="29"/>
      <c r="K112" s="29"/>
      <c r="L112" s="19" t="s">
        <v>11</v>
      </c>
      <c r="M112" s="19"/>
      <c r="N112" s="30"/>
      <c r="O112" s="30" t="s">
        <v>599</v>
      </c>
      <c r="P112" s="32"/>
      <c r="Q112" s="32"/>
      <c r="R112" s="32"/>
      <c r="S112" s="32"/>
      <c r="T112" s="32"/>
      <c r="U112" s="30"/>
    </row>
    <row r="113" spans="1:21" ht="16.5" customHeight="1">
      <c r="A113" s="29" t="s">
        <v>600</v>
      </c>
      <c r="B113" s="29" t="s">
        <v>217</v>
      </c>
      <c r="C113" s="29" t="s">
        <v>597</v>
      </c>
      <c r="D113" s="29" t="s">
        <v>54</v>
      </c>
      <c r="E113" s="29" t="s">
        <v>228</v>
      </c>
      <c r="F113" s="29" t="s">
        <v>601</v>
      </c>
      <c r="G113" s="29"/>
      <c r="H113" s="29" t="s">
        <v>7</v>
      </c>
      <c r="I113" s="2" t="s">
        <v>9</v>
      </c>
      <c r="J113" s="29" t="s">
        <v>884</v>
      </c>
      <c r="K113" s="29"/>
      <c r="L113" s="19" t="s">
        <v>11</v>
      </c>
      <c r="M113" s="19"/>
      <c r="N113" s="30"/>
      <c r="O113" s="30" t="s">
        <v>602</v>
      </c>
      <c r="P113" s="32"/>
      <c r="Q113" s="32"/>
      <c r="R113" s="32"/>
      <c r="S113" s="32"/>
      <c r="T113" s="32"/>
      <c r="U113" s="30"/>
    </row>
    <row r="114" spans="1:21" ht="16.5" customHeight="1">
      <c r="A114" s="29" t="s">
        <v>603</v>
      </c>
      <c r="B114" s="29" t="s">
        <v>217</v>
      </c>
      <c r="C114" s="29" t="s">
        <v>555</v>
      </c>
      <c r="D114" s="29" t="s">
        <v>54</v>
      </c>
      <c r="E114" s="29" t="s">
        <v>228</v>
      </c>
      <c r="F114" s="29" t="s">
        <v>604</v>
      </c>
      <c r="G114" s="29"/>
      <c r="H114" s="29" t="s">
        <v>7</v>
      </c>
      <c r="I114" s="2" t="s">
        <v>9</v>
      </c>
      <c r="J114" s="29" t="s">
        <v>885</v>
      </c>
      <c r="K114" s="29"/>
      <c r="L114" s="19" t="s">
        <v>11</v>
      </c>
      <c r="M114" s="19"/>
      <c r="N114" s="30"/>
      <c r="O114" s="30" t="s">
        <v>605</v>
      </c>
      <c r="P114" s="32"/>
      <c r="Q114" s="32"/>
      <c r="R114" s="32"/>
      <c r="S114" s="32"/>
      <c r="T114" s="32"/>
      <c r="U114" s="30"/>
    </row>
    <row r="115" spans="1:21" ht="16.5" customHeight="1">
      <c r="A115" s="29" t="s">
        <v>606</v>
      </c>
      <c r="B115" s="29" t="s">
        <v>218</v>
      </c>
      <c r="C115" s="29" t="s">
        <v>607</v>
      </c>
      <c r="D115" s="29" t="s">
        <v>29</v>
      </c>
      <c r="E115" s="29" t="s">
        <v>608</v>
      </c>
      <c r="F115" s="29" t="s">
        <v>609</v>
      </c>
      <c r="G115" s="29"/>
      <c r="H115" s="29" t="s">
        <v>4</v>
      </c>
      <c r="I115" s="2" t="s">
        <v>5</v>
      </c>
      <c r="J115" s="29"/>
      <c r="K115" s="29"/>
      <c r="L115" s="19" t="s">
        <v>11</v>
      </c>
      <c r="M115" s="19"/>
      <c r="N115" s="30"/>
      <c r="O115" s="30" t="s">
        <v>610</v>
      </c>
      <c r="P115" s="32"/>
      <c r="Q115" s="32"/>
      <c r="R115" s="32"/>
      <c r="S115" s="32"/>
      <c r="T115" s="32"/>
      <c r="U115" s="30"/>
    </row>
    <row r="116" spans="1:21" ht="16.5" customHeight="1">
      <c r="A116" s="29" t="s">
        <v>611</v>
      </c>
      <c r="B116" s="29" t="s">
        <v>218</v>
      </c>
      <c r="C116" s="29" t="s">
        <v>607</v>
      </c>
      <c r="D116" s="29" t="s">
        <v>29</v>
      </c>
      <c r="E116" s="29" t="s">
        <v>612</v>
      </c>
      <c r="F116" s="29" t="s">
        <v>613</v>
      </c>
      <c r="G116" s="29"/>
      <c r="H116" s="29" t="s">
        <v>4</v>
      </c>
      <c r="I116" s="2" t="s">
        <v>9</v>
      </c>
      <c r="J116" s="29"/>
      <c r="K116" s="29"/>
      <c r="L116" s="19" t="s">
        <v>11</v>
      </c>
      <c r="M116" s="19"/>
      <c r="N116" s="30"/>
      <c r="O116" s="30" t="s">
        <v>614</v>
      </c>
      <c r="P116" s="32"/>
      <c r="Q116" s="32"/>
      <c r="R116" s="32"/>
      <c r="S116" s="32"/>
      <c r="T116" s="32"/>
      <c r="U116" s="30"/>
    </row>
    <row r="117" spans="1:21" ht="16.5" customHeight="1">
      <c r="A117" s="29" t="s">
        <v>615</v>
      </c>
      <c r="B117" s="29" t="s">
        <v>218</v>
      </c>
      <c r="C117" s="29" t="s">
        <v>607</v>
      </c>
      <c r="D117" s="29" t="s">
        <v>29</v>
      </c>
      <c r="E117" s="29" t="s">
        <v>283</v>
      </c>
      <c r="F117" s="29" t="s">
        <v>616</v>
      </c>
      <c r="G117" s="29"/>
      <c r="H117" s="29" t="s">
        <v>4</v>
      </c>
      <c r="I117" s="2" t="s">
        <v>9</v>
      </c>
      <c r="J117" s="29"/>
      <c r="K117" s="29"/>
      <c r="L117" s="19"/>
      <c r="M117" s="19"/>
      <c r="N117" s="30"/>
      <c r="O117" s="30" t="s">
        <v>617</v>
      </c>
      <c r="P117" s="32"/>
      <c r="Q117" s="32"/>
      <c r="R117" s="32"/>
      <c r="S117" s="32"/>
      <c r="T117" s="32"/>
      <c r="U117" s="30"/>
    </row>
    <row r="118" spans="1:21" ht="16.5" customHeight="1">
      <c r="A118" s="29" t="s">
        <v>618</v>
      </c>
      <c r="B118" s="29" t="s">
        <v>218</v>
      </c>
      <c r="C118" s="29" t="s">
        <v>619</v>
      </c>
      <c r="D118" s="29" t="s">
        <v>29</v>
      </c>
      <c r="E118" s="29" t="s">
        <v>260</v>
      </c>
      <c r="F118" s="29" t="s">
        <v>620</v>
      </c>
      <c r="G118" s="29"/>
      <c r="H118" s="29" t="s">
        <v>4</v>
      </c>
      <c r="I118" s="2" t="s">
        <v>9</v>
      </c>
      <c r="J118" s="29"/>
      <c r="K118" s="29"/>
      <c r="L118" s="19" t="s">
        <v>11</v>
      </c>
      <c r="M118" s="19"/>
      <c r="N118" s="30"/>
      <c r="O118" s="30" t="s">
        <v>621</v>
      </c>
      <c r="P118" s="32"/>
      <c r="Q118" s="32"/>
      <c r="R118" s="32"/>
      <c r="S118" s="32"/>
      <c r="T118" s="32"/>
      <c r="U118" s="30"/>
    </row>
    <row r="119" spans="1:21" ht="16.5" customHeight="1">
      <c r="A119" s="29" t="s">
        <v>622</v>
      </c>
      <c r="B119" s="29" t="s">
        <v>218</v>
      </c>
      <c r="C119" s="29" t="s">
        <v>623</v>
      </c>
      <c r="D119" s="29" t="s">
        <v>29</v>
      </c>
      <c r="E119" s="29" t="s">
        <v>283</v>
      </c>
      <c r="F119" s="29" t="s">
        <v>624</v>
      </c>
      <c r="G119" s="29"/>
      <c r="H119" s="29" t="s">
        <v>7</v>
      </c>
      <c r="I119" s="2" t="s">
        <v>9</v>
      </c>
      <c r="J119" s="29"/>
      <c r="K119" s="29"/>
      <c r="L119" s="19" t="s">
        <v>11</v>
      </c>
      <c r="M119" s="19"/>
      <c r="N119" s="30"/>
      <c r="O119" s="30" t="s">
        <v>625</v>
      </c>
      <c r="P119" s="32"/>
      <c r="Q119" s="32"/>
      <c r="R119" s="32"/>
      <c r="S119" s="32"/>
      <c r="T119" s="32"/>
      <c r="U119" s="30"/>
    </row>
    <row r="120" spans="1:21" ht="16.5" customHeight="1">
      <c r="A120" s="29" t="s">
        <v>626</v>
      </c>
      <c r="B120" s="29" t="s">
        <v>218</v>
      </c>
      <c r="C120" s="29" t="s">
        <v>623</v>
      </c>
      <c r="D120" s="29" t="s">
        <v>29</v>
      </c>
      <c r="E120" s="29" t="s">
        <v>627</v>
      </c>
      <c r="F120" s="29" t="s">
        <v>628</v>
      </c>
      <c r="G120" s="29"/>
      <c r="H120" s="29" t="s">
        <v>6</v>
      </c>
      <c r="I120" s="2" t="s">
        <v>8</v>
      </c>
      <c r="J120" s="29"/>
      <c r="K120" s="29"/>
      <c r="L120" s="19" t="s">
        <v>11</v>
      </c>
      <c r="M120" s="19"/>
      <c r="N120" s="30"/>
      <c r="O120" s="30" t="s">
        <v>629</v>
      </c>
      <c r="P120" s="32"/>
      <c r="Q120" s="32"/>
      <c r="R120" s="32"/>
      <c r="S120" s="32"/>
      <c r="T120" s="32"/>
      <c r="U120" s="30"/>
    </row>
    <row r="121" spans="1:21" ht="16.5" customHeight="1">
      <c r="A121" s="29" t="s">
        <v>630</v>
      </c>
      <c r="B121" s="29" t="s">
        <v>215</v>
      </c>
      <c r="C121" s="29" t="s">
        <v>416</v>
      </c>
      <c r="D121" s="29" t="s">
        <v>72</v>
      </c>
      <c r="E121" s="29" t="s">
        <v>283</v>
      </c>
      <c r="F121" s="29" t="s">
        <v>631</v>
      </c>
      <c r="G121" s="29"/>
      <c r="H121" s="29" t="s">
        <v>6</v>
      </c>
      <c r="I121" s="2" t="s">
        <v>9</v>
      </c>
      <c r="J121" s="29" t="s">
        <v>874</v>
      </c>
      <c r="K121" s="29"/>
      <c r="L121" s="19" t="s">
        <v>11</v>
      </c>
      <c r="M121" s="19"/>
      <c r="N121" s="30"/>
      <c r="O121" s="30" t="s">
        <v>632</v>
      </c>
      <c r="P121" s="32"/>
      <c r="Q121" s="32"/>
      <c r="R121" s="32"/>
      <c r="S121" s="32"/>
      <c r="T121" s="32"/>
      <c r="U121" s="30"/>
    </row>
    <row r="122" spans="1:21" ht="16.5" customHeight="1">
      <c r="A122" s="29" t="s">
        <v>633</v>
      </c>
      <c r="B122" s="29" t="s">
        <v>218</v>
      </c>
      <c r="C122" s="29" t="s">
        <v>623</v>
      </c>
      <c r="D122" s="29" t="s">
        <v>29</v>
      </c>
      <c r="E122" s="29" t="s">
        <v>634</v>
      </c>
      <c r="F122" s="29" t="s">
        <v>635</v>
      </c>
      <c r="G122" s="29"/>
      <c r="H122" s="29" t="s">
        <v>7</v>
      </c>
      <c r="I122" s="2" t="s">
        <v>9</v>
      </c>
      <c r="J122" s="29"/>
      <c r="K122" s="29"/>
      <c r="L122" s="19" t="s">
        <v>11</v>
      </c>
      <c r="M122" s="19"/>
      <c r="N122" s="30"/>
      <c r="O122" s="30" t="s">
        <v>636</v>
      </c>
      <c r="P122" s="32"/>
      <c r="Q122" s="32"/>
      <c r="R122" s="32"/>
      <c r="S122" s="32"/>
      <c r="T122" s="32"/>
      <c r="U122" s="30"/>
    </row>
    <row r="123" spans="1:21" ht="16.5" customHeight="1">
      <c r="A123" s="29" t="s">
        <v>637</v>
      </c>
      <c r="B123" s="29" t="s">
        <v>218</v>
      </c>
      <c r="C123" s="29" t="s">
        <v>623</v>
      </c>
      <c r="D123" s="29" t="s">
        <v>29</v>
      </c>
      <c r="E123" s="29" t="s">
        <v>228</v>
      </c>
      <c r="F123" s="29" t="s">
        <v>638</v>
      </c>
      <c r="G123" s="29"/>
      <c r="H123" s="29" t="s">
        <v>7</v>
      </c>
      <c r="I123" s="2" t="s">
        <v>9</v>
      </c>
      <c r="J123" s="29"/>
      <c r="K123" s="29"/>
      <c r="L123" s="19" t="s">
        <v>11</v>
      </c>
      <c r="M123" s="19"/>
      <c r="N123" s="30"/>
      <c r="O123" s="30" t="s">
        <v>639</v>
      </c>
      <c r="P123" s="32"/>
      <c r="Q123" s="32"/>
      <c r="R123" s="32"/>
      <c r="S123" s="32"/>
      <c r="T123" s="32"/>
      <c r="U123" s="30"/>
    </row>
    <row r="124" spans="1:21" ht="16.5" customHeight="1">
      <c r="A124" s="29" t="s">
        <v>640</v>
      </c>
      <c r="B124" s="29" t="s">
        <v>218</v>
      </c>
      <c r="C124" s="29" t="s">
        <v>623</v>
      </c>
      <c r="D124" s="29" t="s">
        <v>29</v>
      </c>
      <c r="E124" s="29" t="s">
        <v>608</v>
      </c>
      <c r="F124" s="29" t="s">
        <v>641</v>
      </c>
      <c r="G124" s="29"/>
      <c r="H124" s="29" t="s">
        <v>4</v>
      </c>
      <c r="I124" s="2" t="s">
        <v>9</v>
      </c>
      <c r="J124" s="29"/>
      <c r="K124" s="29"/>
      <c r="L124" s="19" t="s">
        <v>11</v>
      </c>
      <c r="M124" s="19"/>
      <c r="N124" s="30"/>
      <c r="O124" s="30" t="s">
        <v>642</v>
      </c>
      <c r="P124" s="32"/>
      <c r="Q124" s="32"/>
      <c r="R124" s="32"/>
      <c r="S124" s="32"/>
      <c r="T124" s="32"/>
      <c r="U124" s="30"/>
    </row>
    <row r="125" spans="1:21" ht="16.5" customHeight="1">
      <c r="A125" s="29" t="s">
        <v>643</v>
      </c>
      <c r="B125" s="29" t="s">
        <v>218</v>
      </c>
      <c r="C125" s="29" t="s">
        <v>623</v>
      </c>
      <c r="D125" s="29" t="s">
        <v>29</v>
      </c>
      <c r="E125" s="29" t="s">
        <v>283</v>
      </c>
      <c r="F125" s="29" t="s">
        <v>644</v>
      </c>
      <c r="G125" s="29"/>
      <c r="H125" s="29" t="s">
        <v>7</v>
      </c>
      <c r="I125" s="2" t="s">
        <v>8</v>
      </c>
      <c r="J125" s="29"/>
      <c r="K125" s="29"/>
      <c r="L125" s="19"/>
      <c r="M125" s="19"/>
      <c r="N125" s="30"/>
      <c r="O125" s="30" t="s">
        <v>645</v>
      </c>
      <c r="P125" s="32"/>
      <c r="Q125" s="32"/>
      <c r="R125" s="32"/>
      <c r="S125" s="32"/>
      <c r="T125" s="32"/>
      <c r="U125" s="30"/>
    </row>
    <row r="126" spans="1:21" ht="16.5" customHeight="1">
      <c r="A126" s="29" t="s">
        <v>646</v>
      </c>
      <c r="B126" s="29" t="s">
        <v>218</v>
      </c>
      <c r="C126" s="29" t="s">
        <v>623</v>
      </c>
      <c r="D126" s="29" t="s">
        <v>29</v>
      </c>
      <c r="E126" s="29" t="s">
        <v>283</v>
      </c>
      <c r="F126" s="29" t="s">
        <v>647</v>
      </c>
      <c r="G126" s="29"/>
      <c r="H126" s="29" t="s">
        <v>4</v>
      </c>
      <c r="I126" s="2" t="s">
        <v>9</v>
      </c>
      <c r="J126" s="29"/>
      <c r="K126" s="29"/>
      <c r="L126" s="19"/>
      <c r="M126" s="19"/>
      <c r="N126" s="30"/>
      <c r="O126" s="30" t="s">
        <v>648</v>
      </c>
      <c r="P126" s="32"/>
      <c r="Q126" s="32"/>
      <c r="R126" s="32"/>
      <c r="S126" s="32"/>
      <c r="T126" s="32"/>
      <c r="U126" s="30"/>
    </row>
    <row r="127" spans="1:21" ht="16.5" customHeight="1">
      <c r="A127" s="29" t="s">
        <v>649</v>
      </c>
      <c r="B127" s="29" t="s">
        <v>218</v>
      </c>
      <c r="C127" s="29" t="s">
        <v>623</v>
      </c>
      <c r="D127" s="29" t="s">
        <v>29</v>
      </c>
      <c r="E127" s="29" t="s">
        <v>250</v>
      </c>
      <c r="F127" s="29" t="s">
        <v>650</v>
      </c>
      <c r="G127" s="29"/>
      <c r="H127" s="29" t="s">
        <v>4</v>
      </c>
      <c r="I127" s="2" t="s">
        <v>8</v>
      </c>
      <c r="J127" s="29"/>
      <c r="K127" s="29"/>
      <c r="L127" s="19" t="s">
        <v>11</v>
      </c>
      <c r="M127" s="19"/>
      <c r="N127" s="30"/>
      <c r="O127" s="30" t="s">
        <v>651</v>
      </c>
      <c r="P127" s="32"/>
      <c r="Q127" s="32"/>
      <c r="R127" s="32"/>
      <c r="S127" s="32"/>
      <c r="T127" s="32"/>
      <c r="U127" s="30"/>
    </row>
    <row r="128" spans="1:21" ht="16.5" customHeight="1">
      <c r="A128" s="29" t="s">
        <v>652</v>
      </c>
      <c r="B128" s="29" t="s">
        <v>218</v>
      </c>
      <c r="C128" s="29" t="s">
        <v>623</v>
      </c>
      <c r="D128" s="29" t="s">
        <v>29</v>
      </c>
      <c r="E128" s="29" t="s">
        <v>283</v>
      </c>
      <c r="F128" s="29" t="s">
        <v>653</v>
      </c>
      <c r="G128" s="29"/>
      <c r="H128" s="29" t="s">
        <v>7</v>
      </c>
      <c r="I128" s="2" t="s">
        <v>62</v>
      </c>
      <c r="J128" s="29"/>
      <c r="K128" s="29"/>
      <c r="L128" s="19"/>
      <c r="M128" s="19"/>
      <c r="N128" s="30"/>
      <c r="O128" s="30" t="s">
        <v>654</v>
      </c>
      <c r="P128" s="32"/>
      <c r="Q128" s="32"/>
      <c r="R128" s="32"/>
      <c r="S128" s="32"/>
      <c r="T128" s="32"/>
      <c r="U128" s="30"/>
    </row>
    <row r="129" spans="1:21" ht="16.5" customHeight="1">
      <c r="A129" s="29" t="s">
        <v>655</v>
      </c>
      <c r="B129" s="29" t="s">
        <v>218</v>
      </c>
      <c r="C129" s="29" t="s">
        <v>623</v>
      </c>
      <c r="D129" s="29" t="s">
        <v>29</v>
      </c>
      <c r="E129" s="29" t="s">
        <v>283</v>
      </c>
      <c r="F129" s="29" t="s">
        <v>656</v>
      </c>
      <c r="G129" s="29"/>
      <c r="H129" s="29" t="s">
        <v>4</v>
      </c>
      <c r="I129" s="2" t="s">
        <v>8</v>
      </c>
      <c r="J129" s="29"/>
      <c r="K129" s="29"/>
      <c r="L129" s="19"/>
      <c r="M129" s="19"/>
      <c r="N129" s="30"/>
      <c r="O129" s="30" t="s">
        <v>657</v>
      </c>
      <c r="P129" s="32"/>
      <c r="Q129" s="32"/>
      <c r="R129" s="32"/>
      <c r="S129" s="32"/>
      <c r="T129" s="32"/>
      <c r="U129" s="30"/>
    </row>
    <row r="130" spans="1:21" ht="16.5" customHeight="1">
      <c r="A130" s="29" t="s">
        <v>658</v>
      </c>
      <c r="B130" s="29" t="s">
        <v>218</v>
      </c>
      <c r="C130" s="29" t="s">
        <v>623</v>
      </c>
      <c r="D130" s="29" t="s">
        <v>29</v>
      </c>
      <c r="E130" s="29" t="s">
        <v>283</v>
      </c>
      <c r="F130" s="29" t="s">
        <v>659</v>
      </c>
      <c r="G130" s="29"/>
      <c r="H130" s="29" t="s">
        <v>4</v>
      </c>
      <c r="I130" s="2" t="s">
        <v>9</v>
      </c>
      <c r="J130" s="29"/>
      <c r="K130" s="29"/>
      <c r="L130" s="19"/>
      <c r="M130" s="19"/>
      <c r="N130" s="30"/>
      <c r="O130" s="30" t="s">
        <v>660</v>
      </c>
      <c r="P130" s="32"/>
      <c r="Q130" s="32"/>
      <c r="R130" s="32"/>
      <c r="S130" s="32"/>
      <c r="T130" s="32"/>
      <c r="U130" s="30"/>
    </row>
    <row r="131" spans="1:21" ht="16.5" customHeight="1">
      <c r="A131" s="29" t="s">
        <v>661</v>
      </c>
      <c r="B131" s="29" t="s">
        <v>218</v>
      </c>
      <c r="C131" s="29" t="s">
        <v>623</v>
      </c>
      <c r="D131" s="29" t="s">
        <v>29</v>
      </c>
      <c r="E131" s="29" t="s">
        <v>283</v>
      </c>
      <c r="F131" s="29" t="s">
        <v>662</v>
      </c>
      <c r="G131" s="29"/>
      <c r="H131" s="29" t="s">
        <v>7</v>
      </c>
      <c r="I131" s="2" t="s">
        <v>9</v>
      </c>
      <c r="J131" s="29"/>
      <c r="K131" s="29"/>
      <c r="L131" s="19" t="s">
        <v>11</v>
      </c>
      <c r="M131" s="19"/>
      <c r="N131" s="30"/>
      <c r="O131" s="31" t="s">
        <v>663</v>
      </c>
      <c r="P131" s="32"/>
      <c r="Q131" s="32"/>
      <c r="R131" s="32"/>
      <c r="S131" s="32"/>
      <c r="T131" s="32"/>
      <c r="U131" s="30"/>
    </row>
    <row r="132" spans="1:21" ht="16.5" customHeight="1">
      <c r="A132" s="29" t="s">
        <v>664</v>
      </c>
      <c r="B132" s="29" t="s">
        <v>216</v>
      </c>
      <c r="C132" s="29" t="s">
        <v>665</v>
      </c>
      <c r="D132" s="29" t="s">
        <v>74</v>
      </c>
      <c r="E132" s="29" t="s">
        <v>260</v>
      </c>
      <c r="F132" s="29" t="s">
        <v>666</v>
      </c>
      <c r="G132" s="29"/>
      <c r="H132" s="29" t="s">
        <v>7</v>
      </c>
      <c r="I132" s="2" t="s">
        <v>62</v>
      </c>
      <c r="J132" s="29" t="s">
        <v>876</v>
      </c>
      <c r="K132" s="29"/>
      <c r="L132" s="19" t="s">
        <v>11</v>
      </c>
      <c r="M132" s="19"/>
      <c r="N132" s="30"/>
      <c r="O132" s="30" t="s">
        <v>667</v>
      </c>
      <c r="P132" s="32"/>
      <c r="Q132" s="32"/>
      <c r="R132" s="32"/>
      <c r="S132" s="32"/>
      <c r="T132" s="32"/>
      <c r="U132" s="30"/>
    </row>
    <row r="133" spans="1:21" ht="16.5" customHeight="1">
      <c r="A133" s="29" t="s">
        <v>668</v>
      </c>
      <c r="B133" s="29" t="s">
        <v>218</v>
      </c>
      <c r="C133" s="29" t="s">
        <v>623</v>
      </c>
      <c r="D133" s="29" t="s">
        <v>29</v>
      </c>
      <c r="E133" s="29" t="s">
        <v>260</v>
      </c>
      <c r="F133" s="29" t="s">
        <v>669</v>
      </c>
      <c r="G133" s="29"/>
      <c r="H133" s="29" t="s">
        <v>7</v>
      </c>
      <c r="I133" s="2" t="s">
        <v>5</v>
      </c>
      <c r="J133" s="29"/>
      <c r="K133" s="29"/>
      <c r="L133" s="19"/>
      <c r="M133" s="19"/>
      <c r="N133" s="30"/>
      <c r="O133" s="30" t="s">
        <v>670</v>
      </c>
      <c r="P133" s="32"/>
      <c r="Q133" s="32"/>
      <c r="R133" s="32"/>
      <c r="S133" s="32"/>
      <c r="T133" s="32"/>
      <c r="U133" s="30"/>
    </row>
    <row r="134" spans="1:21" ht="16.5" customHeight="1">
      <c r="A134" s="29" t="s">
        <v>671</v>
      </c>
      <c r="B134" s="29" t="s">
        <v>218</v>
      </c>
      <c r="C134" s="29" t="s">
        <v>72</v>
      </c>
      <c r="D134" s="29" t="s">
        <v>29</v>
      </c>
      <c r="E134" s="29" t="s">
        <v>608</v>
      </c>
      <c r="F134" s="29" t="s">
        <v>672</v>
      </c>
      <c r="G134" s="29"/>
      <c r="H134" s="29" t="s">
        <v>4</v>
      </c>
      <c r="I134" s="2" t="s">
        <v>5</v>
      </c>
      <c r="J134" s="29"/>
      <c r="K134" s="29"/>
      <c r="L134" s="19" t="s">
        <v>11</v>
      </c>
      <c r="M134" s="19"/>
      <c r="N134" s="30"/>
      <c r="O134" s="30" t="s">
        <v>673</v>
      </c>
      <c r="P134" s="32"/>
      <c r="Q134" s="32"/>
      <c r="R134" s="32"/>
      <c r="S134" s="32"/>
      <c r="T134" s="32"/>
      <c r="U134" s="30"/>
    </row>
    <row r="135" spans="1:21" ht="16.5" customHeight="1">
      <c r="A135" s="29" t="s">
        <v>674</v>
      </c>
      <c r="B135" s="29" t="s">
        <v>218</v>
      </c>
      <c r="C135" s="29" t="s">
        <v>72</v>
      </c>
      <c r="D135" s="29" t="s">
        <v>29</v>
      </c>
      <c r="E135" s="29" t="s">
        <v>612</v>
      </c>
      <c r="F135" s="29" t="s">
        <v>675</v>
      </c>
      <c r="G135" s="29"/>
      <c r="H135" s="29" t="s">
        <v>4</v>
      </c>
      <c r="I135" s="2" t="s">
        <v>9</v>
      </c>
      <c r="J135" s="29"/>
      <c r="K135" s="29"/>
      <c r="L135" s="19" t="s">
        <v>11</v>
      </c>
      <c r="M135" s="19"/>
      <c r="N135" s="30"/>
      <c r="O135" s="30" t="s">
        <v>676</v>
      </c>
      <c r="P135" s="32"/>
      <c r="Q135" s="32"/>
      <c r="R135" s="32"/>
      <c r="S135" s="32"/>
      <c r="T135" s="32"/>
      <c r="U135" s="30"/>
    </row>
    <row r="136" spans="1:21" ht="16.5" customHeight="1">
      <c r="A136" s="29" t="s">
        <v>677</v>
      </c>
      <c r="B136" s="29" t="s">
        <v>218</v>
      </c>
      <c r="C136" s="29" t="s">
        <v>72</v>
      </c>
      <c r="D136" s="29" t="s">
        <v>75</v>
      </c>
      <c r="E136" s="29" t="s">
        <v>260</v>
      </c>
      <c r="F136" s="29" t="s">
        <v>678</v>
      </c>
      <c r="G136" s="29"/>
      <c r="H136" s="29" t="s">
        <v>7</v>
      </c>
      <c r="I136" s="2" t="s">
        <v>9</v>
      </c>
      <c r="J136" s="29"/>
      <c r="K136" s="29"/>
      <c r="L136" s="19" t="s">
        <v>11</v>
      </c>
      <c r="M136" s="19"/>
      <c r="N136" s="30"/>
      <c r="O136" s="31" t="s">
        <v>679</v>
      </c>
      <c r="P136" s="32"/>
      <c r="Q136" s="32"/>
      <c r="R136" s="32"/>
      <c r="S136" s="32"/>
      <c r="T136" s="32"/>
      <c r="U136" s="30"/>
    </row>
    <row r="137" spans="1:21" ht="16.5" customHeight="1">
      <c r="A137" s="29" t="s">
        <v>680</v>
      </c>
      <c r="B137" s="29" t="s">
        <v>218</v>
      </c>
      <c r="C137" s="29" t="s">
        <v>72</v>
      </c>
      <c r="D137" s="29" t="s">
        <v>72</v>
      </c>
      <c r="E137" s="29" t="s">
        <v>338</v>
      </c>
      <c r="F137" s="29" t="s">
        <v>681</v>
      </c>
      <c r="G137" s="29"/>
      <c r="H137" s="29" t="s">
        <v>4</v>
      </c>
      <c r="I137" s="2" t="s">
        <v>8</v>
      </c>
      <c r="J137" s="29"/>
      <c r="K137" s="29"/>
      <c r="L137" s="19" t="s">
        <v>11</v>
      </c>
      <c r="M137" s="19"/>
      <c r="N137" s="30"/>
      <c r="O137" s="30" t="s">
        <v>682</v>
      </c>
      <c r="P137" s="32"/>
      <c r="Q137" s="32"/>
      <c r="R137" s="32"/>
      <c r="S137" s="32"/>
      <c r="T137" s="32"/>
      <c r="U137" s="30"/>
    </row>
    <row r="138" spans="1:21" ht="16.5" customHeight="1">
      <c r="A138" s="29" t="s">
        <v>683</v>
      </c>
      <c r="B138" s="29" t="s">
        <v>218</v>
      </c>
      <c r="C138" s="29" t="s">
        <v>72</v>
      </c>
      <c r="D138" s="29" t="s">
        <v>72</v>
      </c>
      <c r="E138" s="29" t="s">
        <v>684</v>
      </c>
      <c r="F138" s="29" t="s">
        <v>685</v>
      </c>
      <c r="G138" s="29"/>
      <c r="H138" s="29" t="s">
        <v>7</v>
      </c>
      <c r="I138" s="2" t="s">
        <v>9</v>
      </c>
      <c r="J138" s="29"/>
      <c r="K138" s="29"/>
      <c r="L138" s="19" t="s">
        <v>11</v>
      </c>
      <c r="M138" s="19"/>
      <c r="N138" s="30"/>
      <c r="O138" s="30" t="s">
        <v>686</v>
      </c>
      <c r="P138" s="32"/>
      <c r="Q138" s="32"/>
      <c r="R138" s="32"/>
      <c r="S138" s="32"/>
      <c r="T138" s="32"/>
      <c r="U138" s="30"/>
    </row>
    <row r="139" spans="1:21" ht="16.5" customHeight="1">
      <c r="A139" s="29" t="s">
        <v>687</v>
      </c>
      <c r="B139" s="29" t="s">
        <v>218</v>
      </c>
      <c r="C139" s="29" t="s">
        <v>29</v>
      </c>
      <c r="D139" s="29" t="s">
        <v>29</v>
      </c>
      <c r="E139" s="29" t="s">
        <v>250</v>
      </c>
      <c r="F139" s="29" t="s">
        <v>688</v>
      </c>
      <c r="G139" s="29"/>
      <c r="H139" s="29" t="s">
        <v>4</v>
      </c>
      <c r="I139" s="2" t="s">
        <v>9</v>
      </c>
      <c r="J139" s="29"/>
      <c r="K139" s="29"/>
      <c r="L139" s="19" t="s">
        <v>11</v>
      </c>
      <c r="M139" s="19"/>
      <c r="N139" s="30"/>
      <c r="O139" s="30" t="s">
        <v>689</v>
      </c>
      <c r="P139" s="32"/>
      <c r="Q139" s="32"/>
      <c r="R139" s="32"/>
      <c r="S139" s="32"/>
      <c r="T139" s="32"/>
      <c r="U139" s="30"/>
    </row>
    <row r="140" spans="1:21" ht="16.5" customHeight="1">
      <c r="A140" s="29" t="s">
        <v>690</v>
      </c>
      <c r="B140" s="29" t="s">
        <v>218</v>
      </c>
      <c r="C140" s="29" t="s">
        <v>691</v>
      </c>
      <c r="D140" s="29" t="s">
        <v>29</v>
      </c>
      <c r="E140" s="29" t="s">
        <v>627</v>
      </c>
      <c r="F140" s="29" t="s">
        <v>692</v>
      </c>
      <c r="G140" s="29"/>
      <c r="H140" s="29" t="s">
        <v>7</v>
      </c>
      <c r="I140" s="2" t="s">
        <v>5</v>
      </c>
      <c r="J140" s="29"/>
      <c r="K140" s="29"/>
      <c r="L140" s="19" t="s">
        <v>11</v>
      </c>
      <c r="M140" s="19"/>
      <c r="N140" s="30"/>
      <c r="O140" s="31" t="s">
        <v>693</v>
      </c>
      <c r="P140" s="32"/>
      <c r="Q140" s="32"/>
      <c r="R140" s="32"/>
      <c r="S140" s="32"/>
      <c r="T140" s="32"/>
      <c r="U140" s="30"/>
    </row>
    <row r="141" spans="1:21" ht="16.5" customHeight="1">
      <c r="A141" s="29" t="s">
        <v>694</v>
      </c>
      <c r="B141" s="29" t="s">
        <v>218</v>
      </c>
      <c r="C141" s="29" t="s">
        <v>691</v>
      </c>
      <c r="D141" s="29" t="s">
        <v>29</v>
      </c>
      <c r="E141" s="29" t="s">
        <v>283</v>
      </c>
      <c r="F141" s="29" t="s">
        <v>695</v>
      </c>
      <c r="G141" s="29"/>
      <c r="H141" s="29" t="s">
        <v>4</v>
      </c>
      <c r="I141" s="2" t="s">
        <v>5</v>
      </c>
      <c r="J141" s="29"/>
      <c r="K141" s="29"/>
      <c r="L141" s="19"/>
      <c r="M141" s="19"/>
      <c r="N141" s="30"/>
      <c r="O141" s="30" t="s">
        <v>696</v>
      </c>
      <c r="P141" s="32"/>
      <c r="Q141" s="32"/>
      <c r="R141" s="32"/>
      <c r="S141" s="32"/>
      <c r="T141" s="32"/>
      <c r="U141" s="30"/>
    </row>
    <row r="142" spans="1:21" ht="16.5" customHeight="1">
      <c r="A142" s="29" t="s">
        <v>697</v>
      </c>
      <c r="B142" s="29" t="s">
        <v>218</v>
      </c>
      <c r="C142" s="29" t="s">
        <v>222</v>
      </c>
      <c r="D142" s="29" t="s">
        <v>29</v>
      </c>
      <c r="E142" s="29" t="s">
        <v>627</v>
      </c>
      <c r="F142" s="29" t="s">
        <v>698</v>
      </c>
      <c r="G142" s="29"/>
      <c r="H142" s="29" t="s">
        <v>7</v>
      </c>
      <c r="I142" s="2" t="s">
        <v>5</v>
      </c>
      <c r="J142" s="29"/>
      <c r="K142" s="29"/>
      <c r="L142" s="19" t="s">
        <v>11</v>
      </c>
      <c r="M142" s="19"/>
      <c r="N142" s="30"/>
      <c r="O142" s="30" t="s">
        <v>699</v>
      </c>
      <c r="P142" s="32"/>
      <c r="Q142" s="32"/>
      <c r="R142" s="32"/>
      <c r="S142" s="32"/>
      <c r="T142" s="32"/>
      <c r="U142" s="30"/>
    </row>
    <row r="143" spans="1:21" ht="16.5" customHeight="1">
      <c r="A143" s="29" t="s">
        <v>700</v>
      </c>
      <c r="B143" s="29" t="s">
        <v>216</v>
      </c>
      <c r="C143" s="29" t="s">
        <v>665</v>
      </c>
      <c r="D143" s="29" t="s">
        <v>74</v>
      </c>
      <c r="E143" s="29" t="s">
        <v>253</v>
      </c>
      <c r="F143" s="29" t="s">
        <v>701</v>
      </c>
      <c r="G143" s="29"/>
      <c r="H143" s="29" t="s">
        <v>7</v>
      </c>
      <c r="I143" s="2" t="s">
        <v>62</v>
      </c>
      <c r="J143" s="29" t="s">
        <v>876</v>
      </c>
      <c r="K143" s="29"/>
      <c r="L143" s="19" t="s">
        <v>11</v>
      </c>
      <c r="M143" s="19"/>
      <c r="N143" s="30"/>
      <c r="O143" s="30" t="s">
        <v>702</v>
      </c>
      <c r="P143" s="32"/>
      <c r="Q143" s="32"/>
      <c r="R143" s="32"/>
      <c r="S143" s="32"/>
      <c r="T143" s="32"/>
      <c r="U143" s="30"/>
    </row>
    <row r="144" spans="1:21" ht="16.5" customHeight="1">
      <c r="A144" s="29" t="s">
        <v>703</v>
      </c>
      <c r="B144" s="29" t="s">
        <v>218</v>
      </c>
      <c r="C144" s="29" t="s">
        <v>222</v>
      </c>
      <c r="D144" s="29" t="s">
        <v>29</v>
      </c>
      <c r="E144" s="29" t="s">
        <v>283</v>
      </c>
      <c r="F144" s="29" t="s">
        <v>704</v>
      </c>
      <c r="G144" s="29"/>
      <c r="H144" s="29" t="s">
        <v>7</v>
      </c>
      <c r="I144" s="2" t="s">
        <v>5</v>
      </c>
      <c r="J144" s="29"/>
      <c r="K144" s="29"/>
      <c r="L144" s="19"/>
      <c r="M144" s="19"/>
      <c r="N144" s="30"/>
      <c r="O144" s="30" t="s">
        <v>705</v>
      </c>
      <c r="P144" s="32"/>
      <c r="Q144" s="32"/>
      <c r="R144" s="32"/>
      <c r="S144" s="32"/>
      <c r="T144" s="32"/>
      <c r="U144" s="30"/>
    </row>
    <row r="145" spans="1:21" ht="16.5" customHeight="1">
      <c r="A145" s="29" t="s">
        <v>706</v>
      </c>
      <c r="B145" s="29" t="s">
        <v>218</v>
      </c>
      <c r="C145" s="29" t="s">
        <v>222</v>
      </c>
      <c r="D145" s="29" t="s">
        <v>29</v>
      </c>
      <c r="E145" s="29" t="s">
        <v>612</v>
      </c>
      <c r="F145" s="29" t="s">
        <v>707</v>
      </c>
      <c r="G145" s="29"/>
      <c r="H145" s="29" t="s">
        <v>4</v>
      </c>
      <c r="I145" s="2" t="s">
        <v>9</v>
      </c>
      <c r="J145" s="29"/>
      <c r="K145" s="29"/>
      <c r="L145" s="19" t="s">
        <v>11</v>
      </c>
      <c r="M145" s="19"/>
      <c r="N145" s="30"/>
      <c r="O145" s="31" t="s">
        <v>708</v>
      </c>
      <c r="P145" s="32"/>
      <c r="Q145" s="32"/>
      <c r="R145" s="32"/>
      <c r="S145" s="32"/>
      <c r="T145" s="32"/>
      <c r="U145" s="30"/>
    </row>
    <row r="146" spans="1:21" ht="16.5" customHeight="1">
      <c r="A146" s="29" t="s">
        <v>709</v>
      </c>
      <c r="B146" s="29" t="s">
        <v>218</v>
      </c>
      <c r="C146" s="29" t="s">
        <v>232</v>
      </c>
      <c r="D146" s="29" t="s">
        <v>29</v>
      </c>
      <c r="E146" s="29" t="s">
        <v>228</v>
      </c>
      <c r="F146" s="29" t="s">
        <v>710</v>
      </c>
      <c r="G146" s="29"/>
      <c r="H146" s="29" t="s">
        <v>4</v>
      </c>
      <c r="I146" s="2" t="s">
        <v>9</v>
      </c>
      <c r="J146" s="29"/>
      <c r="K146" s="29"/>
      <c r="L146" s="19" t="s">
        <v>11</v>
      </c>
      <c r="M146" s="19"/>
      <c r="N146" s="30"/>
      <c r="O146" s="30" t="s">
        <v>711</v>
      </c>
      <c r="P146" s="32"/>
      <c r="Q146" s="32"/>
      <c r="R146" s="32"/>
      <c r="S146" s="32"/>
      <c r="T146" s="32"/>
      <c r="U146" s="30"/>
    </row>
    <row r="147" spans="1:21" ht="16.5" customHeight="1">
      <c r="A147" s="29" t="s">
        <v>712</v>
      </c>
      <c r="B147" s="29" t="s">
        <v>218</v>
      </c>
      <c r="C147" s="29" t="s">
        <v>713</v>
      </c>
      <c r="D147" s="29" t="s">
        <v>29</v>
      </c>
      <c r="E147" s="29" t="s">
        <v>228</v>
      </c>
      <c r="F147" s="29" t="s">
        <v>714</v>
      </c>
      <c r="G147" s="29"/>
      <c r="H147" s="29" t="s">
        <v>6</v>
      </c>
      <c r="I147" s="2" t="s">
        <v>8</v>
      </c>
      <c r="J147" s="29"/>
      <c r="K147" s="29"/>
      <c r="L147" s="19" t="s">
        <v>11</v>
      </c>
      <c r="M147" s="19"/>
      <c r="N147" s="30"/>
      <c r="O147" s="30" t="s">
        <v>715</v>
      </c>
      <c r="P147" s="32"/>
      <c r="Q147" s="32"/>
      <c r="R147" s="32"/>
      <c r="S147" s="32"/>
      <c r="T147" s="32"/>
      <c r="U147" s="30"/>
    </row>
    <row r="148" spans="1:21" ht="16.5" customHeight="1">
      <c r="A148" s="29" t="s">
        <v>716</v>
      </c>
      <c r="B148" s="29" t="s">
        <v>218</v>
      </c>
      <c r="C148" s="29" t="s">
        <v>717</v>
      </c>
      <c r="D148" s="29" t="s">
        <v>29</v>
      </c>
      <c r="E148" s="29" t="s">
        <v>228</v>
      </c>
      <c r="F148" s="29" t="s">
        <v>718</v>
      </c>
      <c r="G148" s="29"/>
      <c r="H148" s="29" t="s">
        <v>4</v>
      </c>
      <c r="I148" s="2" t="s">
        <v>8</v>
      </c>
      <c r="J148" s="29"/>
      <c r="K148" s="29"/>
      <c r="L148" s="19" t="s">
        <v>11</v>
      </c>
      <c r="M148" s="19"/>
      <c r="N148" s="30"/>
      <c r="O148" s="30" t="s">
        <v>719</v>
      </c>
      <c r="P148" s="32"/>
      <c r="Q148" s="32"/>
      <c r="R148" s="32"/>
      <c r="S148" s="32"/>
      <c r="T148" s="32"/>
      <c r="U148" s="30"/>
    </row>
    <row r="149" spans="1:21" ht="16.5" customHeight="1">
      <c r="A149" s="29" t="s">
        <v>720</v>
      </c>
      <c r="B149" s="29" t="s">
        <v>218</v>
      </c>
      <c r="C149" s="29" t="s">
        <v>721</v>
      </c>
      <c r="D149" s="29" t="s">
        <v>29</v>
      </c>
      <c r="E149" s="29" t="s">
        <v>228</v>
      </c>
      <c r="F149" s="29" t="s">
        <v>722</v>
      </c>
      <c r="G149" s="29"/>
      <c r="H149" s="29" t="s">
        <v>4</v>
      </c>
      <c r="I149" s="2" t="s">
        <v>9</v>
      </c>
      <c r="J149" s="29"/>
      <c r="K149" s="29"/>
      <c r="L149" s="19" t="s">
        <v>11</v>
      </c>
      <c r="M149" s="19"/>
      <c r="N149" s="30"/>
      <c r="O149" s="30" t="s">
        <v>723</v>
      </c>
      <c r="P149" s="32"/>
      <c r="Q149" s="32"/>
      <c r="R149" s="32"/>
      <c r="S149" s="32"/>
      <c r="T149" s="32"/>
      <c r="U149" s="30"/>
    </row>
    <row r="150" spans="1:21" ht="16.5" customHeight="1">
      <c r="A150" s="29" t="s">
        <v>724</v>
      </c>
      <c r="B150" s="29" t="s">
        <v>218</v>
      </c>
      <c r="C150" s="29" t="s">
        <v>725</v>
      </c>
      <c r="D150" s="29" t="s">
        <v>29</v>
      </c>
      <c r="E150" s="29" t="s">
        <v>228</v>
      </c>
      <c r="F150" s="29" t="s">
        <v>726</v>
      </c>
      <c r="G150" s="29"/>
      <c r="H150" s="29" t="s">
        <v>4</v>
      </c>
      <c r="I150" s="2" t="s">
        <v>9</v>
      </c>
      <c r="J150" s="29"/>
      <c r="K150" s="29"/>
      <c r="L150" s="19" t="s">
        <v>11</v>
      </c>
      <c r="M150" s="19"/>
      <c r="N150" s="30"/>
      <c r="O150" s="30" t="s">
        <v>727</v>
      </c>
      <c r="P150" s="32"/>
      <c r="Q150" s="32"/>
      <c r="R150" s="32"/>
      <c r="S150" s="32"/>
      <c r="T150" s="32"/>
      <c r="U150" s="30"/>
    </row>
    <row r="151" spans="1:21" ht="16.5" customHeight="1">
      <c r="A151" s="29" t="s">
        <v>728</v>
      </c>
      <c r="B151" s="29" t="s">
        <v>218</v>
      </c>
      <c r="C151" s="29" t="s">
        <v>729</v>
      </c>
      <c r="D151" s="29" t="s">
        <v>29</v>
      </c>
      <c r="E151" s="29" t="s">
        <v>228</v>
      </c>
      <c r="F151" s="29" t="s">
        <v>730</v>
      </c>
      <c r="G151" s="29"/>
      <c r="H151" s="29" t="s">
        <v>7</v>
      </c>
      <c r="I151" s="2" t="s">
        <v>8</v>
      </c>
      <c r="J151" s="29"/>
      <c r="K151" s="29"/>
      <c r="L151" s="19" t="s">
        <v>11</v>
      </c>
      <c r="M151" s="19"/>
      <c r="N151" s="30"/>
      <c r="O151" s="31" t="s">
        <v>731</v>
      </c>
      <c r="P151" s="32"/>
      <c r="Q151" s="32"/>
      <c r="R151" s="32"/>
      <c r="S151" s="32"/>
      <c r="T151" s="32"/>
      <c r="U151" s="30"/>
    </row>
    <row r="152" spans="1:21" ht="16.5" customHeight="1">
      <c r="A152" s="29" t="s">
        <v>732</v>
      </c>
      <c r="B152" s="29" t="s">
        <v>218</v>
      </c>
      <c r="C152" s="29" t="s">
        <v>733</v>
      </c>
      <c r="D152" s="29" t="s">
        <v>29</v>
      </c>
      <c r="E152" s="29" t="s">
        <v>228</v>
      </c>
      <c r="F152" s="29" t="s">
        <v>734</v>
      </c>
      <c r="G152" s="29"/>
      <c r="H152" s="29" t="s">
        <v>4</v>
      </c>
      <c r="I152" s="2" t="s">
        <v>8</v>
      </c>
      <c r="J152" s="29"/>
      <c r="K152" s="29"/>
      <c r="L152" s="19" t="s">
        <v>11</v>
      </c>
      <c r="M152" s="19"/>
      <c r="N152" s="30"/>
      <c r="O152" s="30" t="s">
        <v>735</v>
      </c>
      <c r="P152" s="32"/>
      <c r="Q152" s="32"/>
      <c r="R152" s="32"/>
      <c r="S152" s="32"/>
      <c r="T152" s="32"/>
      <c r="U152" s="30"/>
    </row>
    <row r="153" spans="1:21" ht="16.5" customHeight="1">
      <c r="A153" s="29" t="s">
        <v>736</v>
      </c>
      <c r="B153" s="29" t="s">
        <v>218</v>
      </c>
      <c r="C153" s="29" t="s">
        <v>737</v>
      </c>
      <c r="D153" s="29" t="s">
        <v>29</v>
      </c>
      <c r="E153" s="29" t="s">
        <v>228</v>
      </c>
      <c r="F153" s="29" t="s">
        <v>738</v>
      </c>
      <c r="G153" s="29"/>
      <c r="H153" s="29" t="s">
        <v>7</v>
      </c>
      <c r="I153" s="2" t="s">
        <v>8</v>
      </c>
      <c r="J153" s="29"/>
      <c r="K153" s="29"/>
      <c r="L153" s="19" t="s">
        <v>11</v>
      </c>
      <c r="M153" s="19"/>
      <c r="N153" s="30"/>
      <c r="O153" s="30" t="s">
        <v>739</v>
      </c>
      <c r="P153" s="32"/>
      <c r="Q153" s="32"/>
      <c r="R153" s="32"/>
      <c r="S153" s="32"/>
      <c r="T153" s="32"/>
      <c r="U153" s="30"/>
    </row>
    <row r="154" spans="1:21" ht="16.5" customHeight="1">
      <c r="A154" s="29" t="s">
        <v>740</v>
      </c>
      <c r="B154" s="29" t="s">
        <v>216</v>
      </c>
      <c r="C154" s="29" t="s">
        <v>665</v>
      </c>
      <c r="D154" s="29" t="s">
        <v>74</v>
      </c>
      <c r="E154" s="29" t="s">
        <v>325</v>
      </c>
      <c r="F154" s="29" t="s">
        <v>741</v>
      </c>
      <c r="G154" s="29"/>
      <c r="H154" s="29" t="s">
        <v>7</v>
      </c>
      <c r="I154" s="2" t="s">
        <v>62</v>
      </c>
      <c r="J154" s="29" t="s">
        <v>876</v>
      </c>
      <c r="K154" s="29"/>
      <c r="L154" s="19" t="s">
        <v>11</v>
      </c>
      <c r="M154" s="19"/>
      <c r="N154" s="30"/>
      <c r="O154" s="30" t="s">
        <v>742</v>
      </c>
      <c r="P154" s="32"/>
      <c r="Q154" s="32"/>
      <c r="R154" s="32"/>
      <c r="S154" s="32"/>
      <c r="T154" s="32"/>
      <c r="U154" s="30"/>
    </row>
    <row r="155" spans="1:21" ht="16.5" customHeight="1">
      <c r="A155" s="29" t="s">
        <v>743</v>
      </c>
      <c r="B155" s="29" t="s">
        <v>218</v>
      </c>
      <c r="C155" s="29" t="s">
        <v>744</v>
      </c>
      <c r="D155" s="29" t="s">
        <v>29</v>
      </c>
      <c r="E155" s="29" t="s">
        <v>228</v>
      </c>
      <c r="F155" s="29" t="s">
        <v>745</v>
      </c>
      <c r="G155" s="29"/>
      <c r="H155" s="29" t="s">
        <v>4</v>
      </c>
      <c r="I155" s="2" t="s">
        <v>8</v>
      </c>
      <c r="J155" s="29"/>
      <c r="K155" s="29"/>
      <c r="L155" s="19" t="s">
        <v>11</v>
      </c>
      <c r="M155" s="19"/>
      <c r="N155" s="30"/>
      <c r="O155" s="30" t="s">
        <v>746</v>
      </c>
      <c r="P155" s="32"/>
      <c r="Q155" s="32"/>
      <c r="R155" s="32"/>
      <c r="S155" s="32"/>
      <c r="T155" s="32"/>
      <c r="U155" s="30"/>
    </row>
    <row r="156" spans="1:21" ht="16.5" customHeight="1">
      <c r="A156" s="29" t="s">
        <v>747</v>
      </c>
      <c r="B156" s="29" t="s">
        <v>218</v>
      </c>
      <c r="C156" s="29" t="s">
        <v>748</v>
      </c>
      <c r="D156" s="29" t="s">
        <v>29</v>
      </c>
      <c r="E156" s="29" t="s">
        <v>228</v>
      </c>
      <c r="F156" s="29" t="s">
        <v>749</v>
      </c>
      <c r="G156" s="29"/>
      <c r="H156" s="29" t="s">
        <v>7</v>
      </c>
      <c r="I156" s="2" t="s">
        <v>8</v>
      </c>
      <c r="J156" s="29"/>
      <c r="K156" s="29"/>
      <c r="L156" s="19"/>
      <c r="M156" s="19"/>
      <c r="N156" s="30"/>
      <c r="O156" s="30" t="s">
        <v>750</v>
      </c>
      <c r="P156" s="32"/>
      <c r="Q156" s="32"/>
      <c r="R156" s="32"/>
      <c r="S156" s="32"/>
      <c r="T156" s="32"/>
      <c r="U156" s="30"/>
    </row>
    <row r="157" spans="1:21" ht="16.5" customHeight="1">
      <c r="A157" s="29" t="s">
        <v>751</v>
      </c>
      <c r="B157" s="29" t="s">
        <v>218</v>
      </c>
      <c r="C157" s="29" t="s">
        <v>752</v>
      </c>
      <c r="D157" s="29" t="s">
        <v>29</v>
      </c>
      <c r="E157" s="29" t="s">
        <v>228</v>
      </c>
      <c r="F157" s="29" t="s">
        <v>753</v>
      </c>
      <c r="G157" s="29"/>
      <c r="H157" s="29" t="s">
        <v>4</v>
      </c>
      <c r="I157" s="2" t="s">
        <v>9</v>
      </c>
      <c r="J157" s="29"/>
      <c r="K157" s="29"/>
      <c r="L157" s="19"/>
      <c r="M157" s="19"/>
      <c r="N157" s="30"/>
      <c r="O157" s="30" t="s">
        <v>754</v>
      </c>
      <c r="P157" s="32"/>
      <c r="Q157" s="32"/>
      <c r="R157" s="32"/>
      <c r="S157" s="32"/>
      <c r="T157" s="32"/>
      <c r="U157" s="30"/>
    </row>
    <row r="158" spans="1:21" ht="16.5" customHeight="1">
      <c r="A158" s="29" t="s">
        <v>755</v>
      </c>
      <c r="B158" s="29" t="s">
        <v>218</v>
      </c>
      <c r="C158" s="29" t="s">
        <v>756</v>
      </c>
      <c r="D158" s="29" t="s">
        <v>29</v>
      </c>
      <c r="E158" s="29" t="s">
        <v>228</v>
      </c>
      <c r="F158" s="29" t="s">
        <v>757</v>
      </c>
      <c r="G158" s="29"/>
      <c r="H158" s="29" t="s">
        <v>7</v>
      </c>
      <c r="I158" s="2" t="s">
        <v>8</v>
      </c>
      <c r="J158" s="29"/>
      <c r="K158" s="29"/>
      <c r="L158" s="19"/>
      <c r="M158" s="19"/>
      <c r="N158" s="30"/>
      <c r="O158" s="30" t="s">
        <v>758</v>
      </c>
      <c r="P158" s="32"/>
      <c r="Q158" s="32"/>
      <c r="R158" s="32"/>
      <c r="S158" s="32"/>
      <c r="T158" s="32"/>
      <c r="U158" s="30"/>
    </row>
    <row r="159" spans="1:21" ht="16.5" customHeight="1">
      <c r="A159" s="29" t="s">
        <v>759</v>
      </c>
      <c r="B159" s="29" t="s">
        <v>218</v>
      </c>
      <c r="C159" s="29" t="s">
        <v>760</v>
      </c>
      <c r="D159" s="29" t="s">
        <v>29</v>
      </c>
      <c r="E159" s="29" t="s">
        <v>228</v>
      </c>
      <c r="F159" s="29" t="s">
        <v>761</v>
      </c>
      <c r="G159" s="29"/>
      <c r="H159" s="29" t="s">
        <v>7</v>
      </c>
      <c r="I159" s="2" t="s">
        <v>8</v>
      </c>
      <c r="J159" s="29"/>
      <c r="K159" s="29"/>
      <c r="L159" s="19"/>
      <c r="M159" s="19"/>
      <c r="N159" s="30"/>
      <c r="O159" s="31" t="s">
        <v>762</v>
      </c>
      <c r="P159" s="32"/>
      <c r="Q159" s="32"/>
      <c r="R159" s="32"/>
      <c r="S159" s="32"/>
      <c r="T159" s="32"/>
      <c r="U159" s="30"/>
    </row>
    <row r="160" spans="1:21" ht="16.5" customHeight="1">
      <c r="A160" s="29" t="s">
        <v>763</v>
      </c>
      <c r="B160" s="29" t="s">
        <v>218</v>
      </c>
      <c r="C160" s="29" t="s">
        <v>764</v>
      </c>
      <c r="D160" s="29" t="s">
        <v>29</v>
      </c>
      <c r="E160" s="29" t="s">
        <v>228</v>
      </c>
      <c r="F160" s="29" t="s">
        <v>765</v>
      </c>
      <c r="G160" s="29"/>
      <c r="H160" s="29" t="s">
        <v>4</v>
      </c>
      <c r="I160" s="2" t="s">
        <v>9</v>
      </c>
      <c r="J160" s="29"/>
      <c r="K160" s="29"/>
      <c r="L160" s="19"/>
      <c r="M160" s="19"/>
      <c r="N160" s="30"/>
      <c r="O160" s="30" t="s">
        <v>766</v>
      </c>
      <c r="P160" s="32"/>
      <c r="Q160" s="32"/>
      <c r="R160" s="32"/>
      <c r="S160" s="32"/>
      <c r="T160" s="32"/>
      <c r="U160" s="30"/>
    </row>
    <row r="161" spans="1:21" ht="16.5" customHeight="1">
      <c r="A161" s="29" t="s">
        <v>767</v>
      </c>
      <c r="B161" s="29" t="s">
        <v>218</v>
      </c>
      <c r="C161" s="29" t="s">
        <v>768</v>
      </c>
      <c r="D161" s="29" t="s">
        <v>29</v>
      </c>
      <c r="E161" s="29" t="s">
        <v>228</v>
      </c>
      <c r="F161" s="29" t="s">
        <v>769</v>
      </c>
      <c r="G161" s="29"/>
      <c r="H161" s="29" t="s">
        <v>4</v>
      </c>
      <c r="I161" s="2" t="s">
        <v>9</v>
      </c>
      <c r="J161" s="29"/>
      <c r="K161" s="29"/>
      <c r="L161" s="19" t="s">
        <v>11</v>
      </c>
      <c r="M161" s="19"/>
      <c r="N161" s="30"/>
      <c r="O161" s="30" t="s">
        <v>770</v>
      </c>
      <c r="P161" s="32"/>
      <c r="Q161" s="32"/>
      <c r="R161" s="32"/>
      <c r="S161" s="32"/>
      <c r="T161" s="32"/>
      <c r="U161" s="30"/>
    </row>
    <row r="162" spans="1:21" ht="16.5" customHeight="1">
      <c r="A162" s="29" t="s">
        <v>771</v>
      </c>
      <c r="B162" s="29" t="s">
        <v>218</v>
      </c>
      <c r="C162" s="29" t="s">
        <v>772</v>
      </c>
      <c r="D162" s="29" t="s">
        <v>29</v>
      </c>
      <c r="E162" s="29" t="s">
        <v>228</v>
      </c>
      <c r="F162" s="29" t="s">
        <v>773</v>
      </c>
      <c r="G162" s="29"/>
      <c r="H162" s="29" t="s">
        <v>4</v>
      </c>
      <c r="I162" s="2" t="s">
        <v>9</v>
      </c>
      <c r="J162" s="51" t="s">
        <v>868</v>
      </c>
      <c r="K162" s="29"/>
      <c r="L162" s="19" t="s">
        <v>11</v>
      </c>
      <c r="M162" s="19"/>
      <c r="N162" s="30" t="s">
        <v>774</v>
      </c>
      <c r="O162" s="30" t="s">
        <v>775</v>
      </c>
      <c r="P162" s="32"/>
      <c r="Q162" s="32"/>
      <c r="R162" s="32"/>
      <c r="S162" s="32"/>
      <c r="T162" s="32"/>
      <c r="U162" s="30"/>
    </row>
    <row r="163" spans="1:21" ht="16.5" customHeight="1">
      <c r="A163" s="29" t="s">
        <v>776</v>
      </c>
      <c r="B163" s="29" t="s">
        <v>218</v>
      </c>
      <c r="C163" s="29" t="s">
        <v>772</v>
      </c>
      <c r="D163" s="29" t="s">
        <v>29</v>
      </c>
      <c r="E163" s="29" t="s">
        <v>228</v>
      </c>
      <c r="F163" s="29" t="s">
        <v>777</v>
      </c>
      <c r="G163" s="29"/>
      <c r="H163" s="29" t="s">
        <v>4</v>
      </c>
      <c r="I163" s="2" t="s">
        <v>9</v>
      </c>
      <c r="J163" s="29"/>
      <c r="K163" s="29"/>
      <c r="L163" s="19"/>
      <c r="M163" s="19"/>
      <c r="N163" s="30"/>
      <c r="O163" s="30" t="s">
        <v>778</v>
      </c>
      <c r="P163" s="32"/>
      <c r="Q163" s="32"/>
      <c r="R163" s="32"/>
      <c r="S163" s="32"/>
      <c r="T163" s="32"/>
      <c r="U163" s="30"/>
    </row>
    <row r="164" spans="1:21" ht="16.5" customHeight="1">
      <c r="A164" s="29" t="s">
        <v>779</v>
      </c>
      <c r="B164" s="29" t="s">
        <v>218</v>
      </c>
      <c r="C164" s="29" t="s">
        <v>780</v>
      </c>
      <c r="D164" s="29" t="s">
        <v>29</v>
      </c>
      <c r="E164" s="29" t="s">
        <v>228</v>
      </c>
      <c r="F164" s="29" t="s">
        <v>781</v>
      </c>
      <c r="G164" s="29"/>
      <c r="H164" s="29" t="s">
        <v>4</v>
      </c>
      <c r="I164" s="2" t="s">
        <v>9</v>
      </c>
      <c r="J164" s="29"/>
      <c r="K164" s="29"/>
      <c r="L164" s="19"/>
      <c r="M164" s="19"/>
      <c r="N164" s="30"/>
      <c r="O164" s="30" t="s">
        <v>782</v>
      </c>
      <c r="P164" s="32"/>
      <c r="Q164" s="32"/>
      <c r="R164" s="32"/>
      <c r="S164" s="32"/>
      <c r="T164" s="32"/>
      <c r="U164" s="30"/>
    </row>
    <row r="165" spans="1:21" ht="16.5" customHeight="1">
      <c r="A165" s="29" t="s">
        <v>783</v>
      </c>
      <c r="B165" s="29" t="s">
        <v>216</v>
      </c>
      <c r="C165" s="29" t="s">
        <v>784</v>
      </c>
      <c r="D165" s="29" t="s">
        <v>74</v>
      </c>
      <c r="E165" s="29" t="s">
        <v>228</v>
      </c>
      <c r="F165" s="29" t="s">
        <v>785</v>
      </c>
      <c r="G165" s="29"/>
      <c r="H165" s="29" t="s">
        <v>6</v>
      </c>
      <c r="I165" s="2" t="s">
        <v>62</v>
      </c>
      <c r="J165" s="29" t="s">
        <v>876</v>
      </c>
      <c r="K165" s="29"/>
      <c r="L165" s="19" t="s">
        <v>11</v>
      </c>
      <c r="M165" s="19"/>
      <c r="N165" s="30"/>
      <c r="O165" s="30" t="s">
        <v>786</v>
      </c>
      <c r="P165" s="32"/>
      <c r="Q165" s="32"/>
      <c r="R165" s="32"/>
      <c r="S165" s="32"/>
      <c r="T165" s="32"/>
      <c r="U165" s="30"/>
    </row>
    <row r="166" spans="1:21" ht="16.5" customHeight="1">
      <c r="A166" s="29" t="s">
        <v>787</v>
      </c>
      <c r="B166" s="29" t="s">
        <v>218</v>
      </c>
      <c r="C166" s="29" t="s">
        <v>788</v>
      </c>
      <c r="D166" s="29" t="s">
        <v>29</v>
      </c>
      <c r="E166" s="29" t="s">
        <v>228</v>
      </c>
      <c r="F166" s="29" t="s">
        <v>789</v>
      </c>
      <c r="G166" s="29"/>
      <c r="H166" s="29" t="s">
        <v>4</v>
      </c>
      <c r="I166" s="2" t="s">
        <v>8</v>
      </c>
      <c r="J166" s="51" t="s">
        <v>869</v>
      </c>
      <c r="K166" s="29"/>
      <c r="L166" s="19" t="s">
        <v>11</v>
      </c>
      <c r="M166" s="19"/>
      <c r="N166" s="30" t="s">
        <v>790</v>
      </c>
      <c r="O166" s="30" t="s">
        <v>791</v>
      </c>
      <c r="P166" s="32"/>
      <c r="Q166" s="32"/>
      <c r="R166" s="32"/>
      <c r="S166" s="32"/>
      <c r="T166" s="32"/>
      <c r="U166" s="30"/>
    </row>
    <row r="167" spans="1:21" ht="16.5" customHeight="1">
      <c r="A167" s="29" t="s">
        <v>792</v>
      </c>
      <c r="B167" s="29" t="s">
        <v>218</v>
      </c>
      <c r="C167" s="29" t="s">
        <v>793</v>
      </c>
      <c r="D167" s="29" t="s">
        <v>29</v>
      </c>
      <c r="E167" s="29" t="s">
        <v>228</v>
      </c>
      <c r="F167" s="29" t="s">
        <v>794</v>
      </c>
      <c r="G167" s="29"/>
      <c r="H167" s="29" t="s">
        <v>7</v>
      </c>
      <c r="I167" s="2" t="s">
        <v>9</v>
      </c>
      <c r="J167" s="29"/>
      <c r="K167" s="29"/>
      <c r="L167" s="19" t="s">
        <v>11</v>
      </c>
      <c r="M167" s="19"/>
      <c r="N167" s="30"/>
      <c r="O167" s="30" t="s">
        <v>795</v>
      </c>
      <c r="P167" s="32"/>
      <c r="Q167" s="32"/>
      <c r="R167" s="32"/>
      <c r="S167" s="32"/>
      <c r="T167" s="32"/>
      <c r="U167" s="30"/>
    </row>
    <row r="168" spans="1:21" ht="16.5" customHeight="1">
      <c r="A168" s="29" t="s">
        <v>796</v>
      </c>
      <c r="B168" s="29" t="s">
        <v>218</v>
      </c>
      <c r="C168" s="29" t="s">
        <v>797</v>
      </c>
      <c r="D168" s="29" t="s">
        <v>29</v>
      </c>
      <c r="E168" s="29" t="s">
        <v>228</v>
      </c>
      <c r="F168" s="29" t="s">
        <v>798</v>
      </c>
      <c r="G168" s="29"/>
      <c r="H168" s="29" t="s">
        <v>7</v>
      </c>
      <c r="I168" s="2" t="s">
        <v>9</v>
      </c>
      <c r="J168" s="29"/>
      <c r="K168" s="29"/>
      <c r="L168" s="19"/>
      <c r="M168" s="19"/>
      <c r="N168" s="30"/>
      <c r="O168" s="30" t="s">
        <v>799</v>
      </c>
      <c r="P168" s="32"/>
      <c r="Q168" s="32"/>
      <c r="R168" s="32"/>
      <c r="S168" s="32"/>
      <c r="T168" s="32"/>
      <c r="U168" s="30"/>
    </row>
    <row r="169" spans="1:21" ht="16.5" customHeight="1">
      <c r="A169" s="29" t="s">
        <v>800</v>
      </c>
      <c r="B169" s="29" t="s">
        <v>218</v>
      </c>
      <c r="C169" s="29" t="s">
        <v>801</v>
      </c>
      <c r="D169" s="29" t="s">
        <v>29</v>
      </c>
      <c r="E169" s="29" t="s">
        <v>228</v>
      </c>
      <c r="F169" s="29" t="s">
        <v>802</v>
      </c>
      <c r="G169" s="29"/>
      <c r="H169" s="29" t="s">
        <v>7</v>
      </c>
      <c r="I169" s="2" t="s">
        <v>5</v>
      </c>
      <c r="J169" s="29"/>
      <c r="K169" s="29"/>
      <c r="L169" s="19"/>
      <c r="M169" s="19"/>
      <c r="N169" s="30"/>
      <c r="O169" s="30" t="s">
        <v>803</v>
      </c>
      <c r="P169" s="32"/>
      <c r="Q169" s="32"/>
      <c r="R169" s="32"/>
      <c r="S169" s="32"/>
      <c r="T169" s="32"/>
      <c r="U169" s="30"/>
    </row>
    <row r="170" spans="1:21" ht="16.5" customHeight="1">
      <c r="A170" s="29" t="s">
        <v>804</v>
      </c>
      <c r="B170" s="29" t="s">
        <v>218</v>
      </c>
      <c r="C170" s="29" t="s">
        <v>372</v>
      </c>
      <c r="D170" s="29" t="s">
        <v>72</v>
      </c>
      <c r="E170" s="29" t="s">
        <v>228</v>
      </c>
      <c r="F170" s="29" t="s">
        <v>805</v>
      </c>
      <c r="G170" s="29"/>
      <c r="H170" s="29" t="s">
        <v>6</v>
      </c>
      <c r="I170" s="2" t="s">
        <v>9</v>
      </c>
      <c r="J170" s="51" t="s">
        <v>870</v>
      </c>
      <c r="K170" s="29"/>
      <c r="L170" s="19" t="s">
        <v>11</v>
      </c>
      <c r="M170" s="19"/>
      <c r="N170" s="30" t="s">
        <v>806</v>
      </c>
      <c r="O170" s="30" t="s">
        <v>807</v>
      </c>
      <c r="P170" s="32"/>
      <c r="Q170" s="32"/>
      <c r="R170" s="32"/>
      <c r="S170" s="32"/>
      <c r="T170" s="32"/>
      <c r="U170" s="30"/>
    </row>
    <row r="171" spans="1:21" ht="16.5" customHeight="1">
      <c r="A171" s="29" t="s">
        <v>808</v>
      </c>
      <c r="B171" s="29" t="s">
        <v>218</v>
      </c>
      <c r="C171" s="29" t="s">
        <v>372</v>
      </c>
      <c r="D171" s="29" t="s">
        <v>72</v>
      </c>
      <c r="E171" s="29" t="s">
        <v>228</v>
      </c>
      <c r="F171" s="29" t="s">
        <v>809</v>
      </c>
      <c r="G171" s="29"/>
      <c r="H171" s="29" t="s">
        <v>6</v>
      </c>
      <c r="I171" s="2" t="s">
        <v>9</v>
      </c>
      <c r="J171" s="29"/>
      <c r="K171" s="29"/>
      <c r="L171" s="19" t="s">
        <v>11</v>
      </c>
      <c r="M171" s="19"/>
      <c r="N171" s="30"/>
      <c r="O171" s="30" t="s">
        <v>810</v>
      </c>
      <c r="P171" s="32"/>
      <c r="Q171" s="32"/>
      <c r="R171" s="32"/>
      <c r="S171" s="32"/>
      <c r="T171" s="32"/>
      <c r="U171" s="30"/>
    </row>
    <row r="172" spans="1:21" ht="16.5" customHeight="1">
      <c r="A172" s="29" t="s">
        <v>811</v>
      </c>
      <c r="B172" s="29" t="s">
        <v>218</v>
      </c>
      <c r="C172" s="29" t="s">
        <v>812</v>
      </c>
      <c r="D172" s="29" t="s">
        <v>72</v>
      </c>
      <c r="E172" s="29" t="s">
        <v>228</v>
      </c>
      <c r="F172" s="29" t="s">
        <v>813</v>
      </c>
      <c r="G172" s="29"/>
      <c r="H172" s="29" t="s">
        <v>4</v>
      </c>
      <c r="I172" s="2" t="s">
        <v>9</v>
      </c>
      <c r="J172" s="29"/>
      <c r="K172" s="29"/>
      <c r="L172" s="19" t="s">
        <v>11</v>
      </c>
      <c r="M172" s="19"/>
      <c r="N172" s="30"/>
      <c r="O172" s="30" t="s">
        <v>814</v>
      </c>
      <c r="P172" s="32"/>
      <c r="Q172" s="32"/>
      <c r="R172" s="32"/>
      <c r="S172" s="32"/>
      <c r="T172" s="32"/>
      <c r="U172" s="30"/>
    </row>
    <row r="173" spans="1:21" ht="16.5" customHeight="1">
      <c r="A173" s="29" t="s">
        <v>815</v>
      </c>
      <c r="B173" s="29" t="s">
        <v>218</v>
      </c>
      <c r="C173" s="29" t="s">
        <v>816</v>
      </c>
      <c r="D173" s="29" t="s">
        <v>29</v>
      </c>
      <c r="E173" s="29" t="s">
        <v>228</v>
      </c>
      <c r="F173" s="29" t="s">
        <v>817</v>
      </c>
      <c r="G173" s="29"/>
      <c r="H173" s="29" t="s">
        <v>4</v>
      </c>
      <c r="I173" s="2" t="s">
        <v>62</v>
      </c>
      <c r="J173" s="29"/>
      <c r="K173" s="29"/>
      <c r="L173" s="19" t="s">
        <v>11</v>
      </c>
      <c r="M173" s="19"/>
      <c r="N173" s="30"/>
      <c r="O173" s="30" t="s">
        <v>818</v>
      </c>
      <c r="P173" s="32"/>
      <c r="Q173" s="32"/>
      <c r="R173" s="32"/>
      <c r="S173" s="32"/>
      <c r="T173" s="32"/>
      <c r="U173" s="30"/>
    </row>
    <row r="174" spans="1:21" ht="16.5" customHeight="1">
      <c r="A174" s="29" t="s">
        <v>819</v>
      </c>
      <c r="B174" s="29" t="s">
        <v>218</v>
      </c>
      <c r="C174" s="29" t="s">
        <v>820</v>
      </c>
      <c r="D174" s="29" t="s">
        <v>29</v>
      </c>
      <c r="E174" s="29" t="s">
        <v>228</v>
      </c>
      <c r="F174" s="29" t="s">
        <v>821</v>
      </c>
      <c r="G174" s="29"/>
      <c r="H174" s="29" t="s">
        <v>4</v>
      </c>
      <c r="I174" s="2" t="s">
        <v>62</v>
      </c>
      <c r="J174" s="29"/>
      <c r="K174" s="29"/>
      <c r="L174" s="19" t="s">
        <v>11</v>
      </c>
      <c r="M174" s="19"/>
      <c r="N174" s="30"/>
      <c r="O174" s="30" t="s">
        <v>822</v>
      </c>
      <c r="P174" s="32"/>
      <c r="Q174" s="32"/>
      <c r="R174" s="32"/>
      <c r="S174" s="32"/>
      <c r="T174" s="32"/>
      <c r="U174" s="30"/>
    </row>
    <row r="175" spans="1:21" ht="16.5" customHeight="1">
      <c r="A175" s="29" t="s">
        <v>823</v>
      </c>
      <c r="B175" s="29" t="s">
        <v>218</v>
      </c>
      <c r="C175" s="29" t="s">
        <v>824</v>
      </c>
      <c r="D175" s="29" t="s">
        <v>29</v>
      </c>
      <c r="E175" s="29" t="s">
        <v>228</v>
      </c>
      <c r="F175" s="29" t="s">
        <v>825</v>
      </c>
      <c r="G175" s="29"/>
      <c r="H175" s="29" t="s">
        <v>4</v>
      </c>
      <c r="I175" s="2" t="s">
        <v>62</v>
      </c>
      <c r="J175" s="29"/>
      <c r="K175" s="29"/>
      <c r="L175" s="19" t="s">
        <v>11</v>
      </c>
      <c r="M175" s="19"/>
      <c r="N175" s="30"/>
      <c r="O175" s="30" t="s">
        <v>826</v>
      </c>
      <c r="P175" s="32"/>
      <c r="Q175" s="32"/>
      <c r="R175" s="32"/>
      <c r="S175" s="32"/>
      <c r="T175" s="32"/>
      <c r="U175" s="30"/>
    </row>
    <row r="176" spans="1:21" ht="16.5" customHeight="1">
      <c r="A176" s="29" t="s">
        <v>827</v>
      </c>
      <c r="B176" s="29" t="s">
        <v>216</v>
      </c>
      <c r="C176" s="29" t="s">
        <v>271</v>
      </c>
      <c r="D176" s="29" t="s">
        <v>74</v>
      </c>
      <c r="E176" s="29" t="s">
        <v>228</v>
      </c>
      <c r="F176" s="29" t="s">
        <v>828</v>
      </c>
      <c r="G176" s="29"/>
      <c r="H176" s="29" t="s">
        <v>4</v>
      </c>
      <c r="I176" s="2" t="s">
        <v>62</v>
      </c>
      <c r="J176" s="29" t="s">
        <v>876</v>
      </c>
      <c r="K176" s="29"/>
      <c r="L176" s="19" t="s">
        <v>11</v>
      </c>
      <c r="M176" s="19"/>
      <c r="N176" s="30"/>
      <c r="O176" s="30" t="s">
        <v>829</v>
      </c>
      <c r="P176" s="32"/>
      <c r="Q176" s="32"/>
      <c r="R176" s="32"/>
      <c r="S176" s="32"/>
      <c r="T176" s="32"/>
      <c r="U176" s="30"/>
    </row>
    <row r="177" spans="1:21" ht="16.5" customHeight="1">
      <c r="A177" s="29" t="s">
        <v>830</v>
      </c>
      <c r="B177" s="29" t="s">
        <v>218</v>
      </c>
      <c r="C177" s="29" t="s">
        <v>831</v>
      </c>
      <c r="D177" s="29" t="s">
        <v>29</v>
      </c>
      <c r="E177" s="29" t="s">
        <v>228</v>
      </c>
      <c r="F177" s="29" t="s">
        <v>832</v>
      </c>
      <c r="G177" s="29"/>
      <c r="H177" s="29" t="s">
        <v>4</v>
      </c>
      <c r="I177" s="2" t="s">
        <v>5</v>
      </c>
      <c r="J177" s="29"/>
      <c r="K177" s="29"/>
      <c r="L177" s="19" t="s">
        <v>11</v>
      </c>
      <c r="M177" s="19"/>
      <c r="N177" s="30"/>
      <c r="O177" s="30" t="s">
        <v>833</v>
      </c>
      <c r="P177" s="32"/>
      <c r="Q177" s="32"/>
      <c r="R177" s="32"/>
      <c r="S177" s="32"/>
      <c r="T177" s="32"/>
      <c r="U177" s="30"/>
    </row>
    <row r="178" spans="1:21" ht="16.5" customHeight="1">
      <c r="A178" s="29" t="s">
        <v>834</v>
      </c>
      <c r="B178" s="29" t="s">
        <v>218</v>
      </c>
      <c r="C178" s="29" t="s">
        <v>801</v>
      </c>
      <c r="D178" s="29" t="s">
        <v>29</v>
      </c>
      <c r="E178" s="29" t="s">
        <v>228</v>
      </c>
      <c r="F178" s="29" t="s">
        <v>835</v>
      </c>
      <c r="G178" s="29"/>
      <c r="H178" s="29" t="s">
        <v>7</v>
      </c>
      <c r="I178" s="2" t="s">
        <v>9</v>
      </c>
      <c r="J178" s="29"/>
      <c r="K178" s="29"/>
      <c r="L178" s="19" t="s">
        <v>11</v>
      </c>
      <c r="M178" s="19"/>
      <c r="N178" s="30"/>
      <c r="O178" s="30" t="s">
        <v>836</v>
      </c>
      <c r="P178" s="32"/>
      <c r="Q178" s="32"/>
      <c r="R178" s="32"/>
      <c r="S178" s="32"/>
      <c r="T178" s="32"/>
      <c r="U178" s="30"/>
    </row>
    <row r="179" spans="1:21" ht="16.5" customHeight="1">
      <c r="A179" s="29" t="s">
        <v>837</v>
      </c>
      <c r="B179" s="29" t="s">
        <v>218</v>
      </c>
      <c r="C179" s="29" t="s">
        <v>838</v>
      </c>
      <c r="D179" s="29" t="s">
        <v>29</v>
      </c>
      <c r="E179" s="29" t="s">
        <v>228</v>
      </c>
      <c r="F179" s="29" t="s">
        <v>839</v>
      </c>
      <c r="G179" s="29"/>
      <c r="H179" s="29" t="s">
        <v>7</v>
      </c>
      <c r="I179" s="2" t="s">
        <v>62</v>
      </c>
      <c r="J179" s="29"/>
      <c r="K179" s="29"/>
      <c r="L179" s="19" t="s">
        <v>11</v>
      </c>
      <c r="M179" s="19"/>
      <c r="N179" s="30"/>
      <c r="O179" s="31" t="s">
        <v>840</v>
      </c>
      <c r="P179" s="32"/>
      <c r="Q179" s="32"/>
      <c r="R179" s="32"/>
      <c r="S179" s="32"/>
      <c r="T179" s="32"/>
      <c r="U179" s="30"/>
    </row>
    <row r="180" spans="1:21" ht="16.5" customHeight="1">
      <c r="A180" s="29" t="s">
        <v>841</v>
      </c>
      <c r="B180" s="29" t="s">
        <v>218</v>
      </c>
      <c r="C180" s="29" t="s">
        <v>842</v>
      </c>
      <c r="D180" s="29" t="s">
        <v>29</v>
      </c>
      <c r="E180" s="29" t="s">
        <v>228</v>
      </c>
      <c r="F180" s="29" t="s">
        <v>843</v>
      </c>
      <c r="G180" s="29"/>
      <c r="H180" s="29" t="s">
        <v>7</v>
      </c>
      <c r="I180" s="2" t="s">
        <v>9</v>
      </c>
      <c r="J180" s="29"/>
      <c r="K180" s="29"/>
      <c r="L180" s="19" t="s">
        <v>11</v>
      </c>
      <c r="M180" s="19"/>
      <c r="N180" s="30" t="s">
        <v>844</v>
      </c>
      <c r="O180" s="30" t="s">
        <v>845</v>
      </c>
      <c r="P180" s="32"/>
      <c r="Q180" s="32"/>
      <c r="R180" s="32"/>
      <c r="S180" s="32"/>
      <c r="T180" s="32"/>
      <c r="U180" s="30"/>
    </row>
    <row r="181" spans="1:21" ht="16.5" customHeight="1">
      <c r="A181" s="29" t="s">
        <v>846</v>
      </c>
      <c r="B181" s="29" t="s">
        <v>218</v>
      </c>
      <c r="C181" s="29" t="s">
        <v>847</v>
      </c>
      <c r="D181" s="29" t="s">
        <v>29</v>
      </c>
      <c r="E181" s="29" t="s">
        <v>228</v>
      </c>
      <c r="F181" s="29" t="s">
        <v>848</v>
      </c>
      <c r="G181" s="29"/>
      <c r="H181" s="29" t="s">
        <v>7</v>
      </c>
      <c r="I181" s="2" t="s">
        <v>62</v>
      </c>
      <c r="J181" s="29"/>
      <c r="K181" s="29"/>
      <c r="L181" s="19" t="s">
        <v>11</v>
      </c>
      <c r="M181" s="19"/>
      <c r="N181" s="30"/>
      <c r="O181" s="30" t="s">
        <v>849</v>
      </c>
      <c r="P181" s="32"/>
      <c r="Q181" s="32"/>
      <c r="R181" s="32"/>
      <c r="S181" s="32"/>
      <c r="T181" s="32"/>
      <c r="U181" s="30"/>
    </row>
    <row r="182" spans="1:21" ht="16.5" customHeight="1">
      <c r="A182" s="29" t="s">
        <v>850</v>
      </c>
      <c r="B182" s="29" t="s">
        <v>213</v>
      </c>
      <c r="C182" s="29" t="s">
        <v>232</v>
      </c>
      <c r="D182" s="29" t="s">
        <v>29</v>
      </c>
      <c r="E182" s="29" t="s">
        <v>228</v>
      </c>
      <c r="F182" s="29" t="s">
        <v>851</v>
      </c>
      <c r="G182" s="29"/>
      <c r="H182" s="29" t="s">
        <v>4</v>
      </c>
      <c r="I182" s="2" t="s">
        <v>9</v>
      </c>
      <c r="J182" s="29"/>
      <c r="K182" s="29"/>
      <c r="L182" s="19" t="s">
        <v>11</v>
      </c>
      <c r="M182" s="19"/>
      <c r="N182" s="30"/>
      <c r="O182" s="30" t="s">
        <v>852</v>
      </c>
      <c r="P182" s="32"/>
      <c r="Q182" s="32"/>
      <c r="R182" s="32"/>
      <c r="S182" s="32"/>
      <c r="T182" s="32"/>
      <c r="U182" s="30"/>
    </row>
    <row r="183" spans="1:21" ht="16.5" customHeight="1">
      <c r="A183" s="29" t="s">
        <v>853</v>
      </c>
      <c r="B183" s="29" t="s">
        <v>213</v>
      </c>
      <c r="C183" s="29" t="s">
        <v>232</v>
      </c>
      <c r="D183" s="29" t="s">
        <v>29</v>
      </c>
      <c r="E183" s="29" t="s">
        <v>233</v>
      </c>
      <c r="F183" s="29" t="s">
        <v>854</v>
      </c>
      <c r="G183" s="29"/>
      <c r="H183" s="29" t="s">
        <v>4</v>
      </c>
      <c r="I183" s="2" t="s">
        <v>9</v>
      </c>
      <c r="J183" s="29"/>
      <c r="K183" s="29"/>
      <c r="L183" s="19" t="s">
        <v>11</v>
      </c>
      <c r="M183" s="19"/>
      <c r="N183" s="30"/>
      <c r="O183" s="30" t="s">
        <v>855</v>
      </c>
      <c r="P183" s="32"/>
      <c r="Q183" s="32"/>
      <c r="R183" s="32"/>
      <c r="S183" s="32"/>
      <c r="T183" s="32"/>
      <c r="U183" s="30"/>
    </row>
    <row r="184" spans="1:21" ht="16.5" customHeight="1">
      <c r="A184" s="29" t="s">
        <v>856</v>
      </c>
      <c r="B184" s="29" t="s">
        <v>213</v>
      </c>
      <c r="C184" s="29" t="s">
        <v>232</v>
      </c>
      <c r="D184" s="29" t="s">
        <v>29</v>
      </c>
      <c r="E184" s="29" t="s">
        <v>233</v>
      </c>
      <c r="F184" s="29" t="s">
        <v>857</v>
      </c>
      <c r="G184" s="29"/>
      <c r="H184" s="29" t="s">
        <v>4</v>
      </c>
      <c r="I184" s="2" t="s">
        <v>62</v>
      </c>
      <c r="J184" s="29"/>
      <c r="K184" s="29"/>
      <c r="L184" s="19" t="s">
        <v>11</v>
      </c>
      <c r="M184" s="19"/>
      <c r="N184" s="30"/>
      <c r="O184" s="30" t="s">
        <v>858</v>
      </c>
      <c r="P184" s="32"/>
      <c r="Q184" s="32"/>
      <c r="R184" s="32"/>
      <c r="S184" s="32"/>
      <c r="T184" s="32"/>
      <c r="U184" s="30"/>
    </row>
    <row r="185" spans="1:21" ht="16.5" customHeight="1">
      <c r="A185" s="29" t="s">
        <v>859</v>
      </c>
      <c r="B185" s="29" t="s">
        <v>213</v>
      </c>
      <c r="C185" s="29" t="s">
        <v>232</v>
      </c>
      <c r="D185" s="29" t="s">
        <v>29</v>
      </c>
      <c r="E185" s="29" t="s">
        <v>233</v>
      </c>
      <c r="F185" s="29" t="s">
        <v>860</v>
      </c>
      <c r="G185" s="29"/>
      <c r="H185" s="29" t="s">
        <v>4</v>
      </c>
      <c r="I185" s="2" t="s">
        <v>62</v>
      </c>
      <c r="J185" s="29"/>
      <c r="K185" s="29"/>
      <c r="L185" s="19" t="s">
        <v>11</v>
      </c>
      <c r="M185" s="19"/>
      <c r="N185" s="30"/>
      <c r="O185" s="30" t="s">
        <v>861</v>
      </c>
      <c r="P185" s="32"/>
      <c r="Q185" s="32"/>
      <c r="R185" s="32"/>
      <c r="S185" s="32"/>
      <c r="T185" s="32"/>
      <c r="U185" s="30"/>
    </row>
    <row r="186" spans="1:21" ht="16.5" customHeight="1">
      <c r="A186" s="29" t="s">
        <v>862</v>
      </c>
      <c r="B186" s="29" t="s">
        <v>213</v>
      </c>
      <c r="C186" s="29" t="s">
        <v>232</v>
      </c>
      <c r="D186" s="29" t="s">
        <v>29</v>
      </c>
      <c r="E186" s="29" t="s">
        <v>863</v>
      </c>
      <c r="F186" s="29" t="s">
        <v>864</v>
      </c>
      <c r="G186" s="29"/>
      <c r="H186" s="29" t="s">
        <v>4</v>
      </c>
      <c r="I186" s="2" t="s">
        <v>9</v>
      </c>
      <c r="J186" s="29"/>
      <c r="K186" s="29"/>
      <c r="L186" s="19" t="s">
        <v>11</v>
      </c>
      <c r="M186" s="19"/>
      <c r="N186" s="30"/>
      <c r="O186" s="30" t="s">
        <v>865</v>
      </c>
      <c r="P186" s="32"/>
      <c r="Q186" s="32"/>
      <c r="R186" s="32"/>
      <c r="S186" s="32"/>
      <c r="T186" s="32"/>
      <c r="U186" s="30"/>
    </row>
    <row r="187" spans="1:21" ht="16.5" customHeight="1">
      <c r="A187" s="29"/>
      <c r="B187" s="29"/>
      <c r="C187" s="29"/>
      <c r="D187" s="29"/>
      <c r="E187" s="29"/>
      <c r="F187" s="29"/>
      <c r="G187" s="29"/>
      <c r="H187" s="29"/>
      <c r="J187" s="29"/>
      <c r="K187" s="29"/>
      <c r="L187" s="19"/>
      <c r="M187" s="19"/>
      <c r="N187" s="30"/>
      <c r="O187" s="30"/>
      <c r="P187" s="32"/>
      <c r="Q187" s="32"/>
      <c r="R187" s="32"/>
      <c r="S187" s="32"/>
      <c r="T187" s="32"/>
      <c r="U187" s="30"/>
    </row>
    <row r="188" spans="1:21" ht="16.5" customHeight="1">
      <c r="A188" s="29"/>
      <c r="B188" s="29"/>
      <c r="C188" s="29"/>
      <c r="D188" s="29"/>
      <c r="E188" s="29"/>
      <c r="F188" s="29"/>
      <c r="G188" s="29"/>
      <c r="H188" s="29"/>
      <c r="J188" s="29"/>
      <c r="K188" s="29"/>
      <c r="L188" s="19"/>
      <c r="M188" s="19"/>
      <c r="N188" s="30"/>
      <c r="O188" s="30"/>
      <c r="P188" s="32"/>
      <c r="Q188" s="32"/>
      <c r="R188" s="32"/>
      <c r="S188" s="32"/>
      <c r="T188" s="32"/>
      <c r="U188" s="30"/>
    </row>
    <row r="189" spans="1:21" ht="16.5" customHeight="1">
      <c r="A189" s="29"/>
      <c r="B189" s="29"/>
      <c r="C189" s="29"/>
      <c r="D189" s="29"/>
      <c r="E189" s="29"/>
      <c r="F189" s="29"/>
      <c r="G189" s="29"/>
      <c r="H189" s="29"/>
      <c r="J189" s="29"/>
      <c r="K189" s="29"/>
      <c r="L189" s="19"/>
      <c r="M189" s="19"/>
      <c r="N189" s="30"/>
      <c r="O189" s="30"/>
      <c r="P189" s="32"/>
      <c r="Q189" s="32"/>
      <c r="R189" s="32"/>
      <c r="S189" s="32"/>
      <c r="T189" s="32"/>
      <c r="U189" s="30"/>
    </row>
    <row r="190" spans="1:21" ht="16.5" customHeight="1">
      <c r="A190" s="29"/>
      <c r="B190" s="29"/>
      <c r="C190" s="29"/>
      <c r="D190" s="29"/>
      <c r="E190" s="29"/>
      <c r="F190" s="29"/>
      <c r="G190" s="29"/>
      <c r="H190" s="29"/>
      <c r="J190" s="29"/>
      <c r="K190" s="29"/>
      <c r="L190" s="19"/>
      <c r="M190" s="19"/>
      <c r="N190" s="30"/>
      <c r="O190" s="30"/>
      <c r="P190" s="32"/>
      <c r="Q190" s="32"/>
      <c r="R190" s="32"/>
      <c r="S190" s="32"/>
      <c r="T190" s="32"/>
      <c r="U190" s="30"/>
    </row>
    <row r="191" spans="1:21" ht="16.5" customHeight="1">
      <c r="A191" s="29"/>
      <c r="B191" s="29"/>
      <c r="C191" s="29"/>
      <c r="D191" s="29"/>
      <c r="E191" s="29"/>
      <c r="F191" s="29"/>
      <c r="G191" s="29"/>
      <c r="H191" s="29"/>
      <c r="J191" s="29"/>
      <c r="K191" s="29"/>
      <c r="L191" s="19"/>
      <c r="M191" s="19"/>
      <c r="N191" s="30"/>
      <c r="O191" s="30"/>
      <c r="P191" s="32"/>
      <c r="Q191" s="32"/>
      <c r="R191" s="32"/>
      <c r="S191" s="32"/>
      <c r="T191" s="32"/>
      <c r="U191" s="30"/>
    </row>
    <row r="192" spans="1:21" ht="16.5" customHeight="1">
      <c r="A192" s="29"/>
      <c r="B192" s="29"/>
      <c r="C192" s="29"/>
      <c r="D192" s="29"/>
      <c r="E192" s="29"/>
      <c r="F192" s="29"/>
      <c r="G192" s="29"/>
      <c r="H192" s="29"/>
      <c r="J192" s="29"/>
      <c r="K192" s="29"/>
      <c r="L192" s="19"/>
      <c r="M192" s="19"/>
      <c r="N192" s="30"/>
      <c r="O192" s="30"/>
      <c r="P192" s="32"/>
      <c r="Q192" s="32"/>
      <c r="R192" s="32"/>
      <c r="S192" s="32"/>
      <c r="T192" s="32"/>
      <c r="U192" s="30"/>
    </row>
    <row r="193" spans="1:21" ht="16.5" customHeight="1">
      <c r="A193" s="29"/>
      <c r="B193" s="29"/>
      <c r="C193" s="29"/>
      <c r="D193" s="29"/>
      <c r="E193" s="29"/>
      <c r="F193" s="29"/>
      <c r="G193" s="29"/>
      <c r="H193" s="29"/>
      <c r="J193" s="29"/>
      <c r="K193" s="29"/>
      <c r="L193" s="19"/>
      <c r="M193" s="19"/>
      <c r="N193" s="30"/>
      <c r="O193" s="30"/>
      <c r="P193" s="32"/>
      <c r="Q193" s="32"/>
      <c r="R193" s="32"/>
      <c r="S193" s="32"/>
      <c r="T193" s="32"/>
      <c r="U193" s="30"/>
    </row>
    <row r="194" spans="1:21" ht="16.5" customHeight="1">
      <c r="A194" s="29"/>
      <c r="B194" s="29"/>
      <c r="C194" s="29"/>
      <c r="D194" s="29"/>
      <c r="E194" s="29"/>
      <c r="F194" s="29"/>
      <c r="G194" s="29"/>
      <c r="H194" s="29"/>
      <c r="J194" s="29"/>
      <c r="K194" s="29"/>
      <c r="L194" s="19"/>
      <c r="M194" s="19"/>
      <c r="N194" s="30"/>
      <c r="O194" s="30"/>
      <c r="P194" s="32"/>
      <c r="Q194" s="32"/>
      <c r="R194" s="32"/>
      <c r="S194" s="32"/>
      <c r="T194" s="32"/>
      <c r="U194" s="30"/>
    </row>
    <row r="195" spans="1:21" ht="16.5" customHeight="1">
      <c r="A195" s="29"/>
      <c r="B195" s="29"/>
      <c r="C195" s="29"/>
      <c r="D195" s="29"/>
      <c r="E195" s="29"/>
      <c r="F195" s="29"/>
      <c r="G195" s="29"/>
      <c r="H195" s="29"/>
      <c r="J195" s="29"/>
      <c r="K195" s="29"/>
      <c r="L195" s="19"/>
      <c r="M195" s="19"/>
      <c r="N195" s="30"/>
      <c r="O195" s="30"/>
      <c r="P195" s="32"/>
      <c r="Q195" s="32"/>
      <c r="R195" s="32"/>
      <c r="S195" s="32"/>
      <c r="T195" s="32"/>
      <c r="U195" s="30"/>
    </row>
    <row r="196" spans="1:21" ht="16.5" customHeight="1">
      <c r="A196" s="29"/>
      <c r="B196" s="29"/>
      <c r="C196" s="29"/>
      <c r="D196" s="29"/>
      <c r="E196" s="29"/>
      <c r="F196" s="29"/>
      <c r="G196" s="29"/>
      <c r="H196" s="29"/>
      <c r="J196" s="29"/>
      <c r="K196" s="29"/>
      <c r="L196" s="19"/>
      <c r="M196" s="19"/>
      <c r="N196" s="30"/>
      <c r="O196" s="30"/>
      <c r="P196" s="32"/>
      <c r="Q196" s="32"/>
      <c r="R196" s="32"/>
      <c r="S196" s="32"/>
      <c r="T196" s="32"/>
      <c r="U196" s="30"/>
    </row>
    <row r="197" spans="1:21" ht="16.5" customHeight="1">
      <c r="A197" s="29"/>
      <c r="B197" s="29"/>
      <c r="C197" s="29"/>
      <c r="D197" s="29"/>
      <c r="E197" s="29"/>
      <c r="F197" s="29"/>
      <c r="G197" s="29"/>
      <c r="H197" s="29"/>
      <c r="J197" s="29"/>
      <c r="K197" s="29"/>
      <c r="L197" s="19"/>
      <c r="M197" s="19"/>
      <c r="N197" s="30"/>
      <c r="O197" s="30"/>
      <c r="P197" s="32"/>
      <c r="Q197" s="32"/>
      <c r="R197" s="32"/>
      <c r="S197" s="32"/>
      <c r="T197" s="32"/>
      <c r="U197" s="30"/>
    </row>
    <row r="198" spans="1:21" ht="16.5" customHeight="1">
      <c r="A198" s="29"/>
      <c r="B198" s="29"/>
      <c r="C198" s="29"/>
      <c r="D198" s="29"/>
      <c r="E198" s="29"/>
      <c r="F198" s="29"/>
      <c r="G198" s="29"/>
      <c r="H198" s="29"/>
      <c r="J198" s="29"/>
      <c r="K198" s="29"/>
      <c r="L198" s="19"/>
      <c r="M198" s="19"/>
      <c r="N198" s="30"/>
      <c r="O198" s="30"/>
      <c r="P198" s="32"/>
      <c r="Q198" s="32"/>
      <c r="R198" s="32"/>
      <c r="S198" s="32"/>
      <c r="T198" s="32"/>
      <c r="U198" s="30"/>
    </row>
    <row r="199" spans="1:21" ht="16.5" customHeight="1">
      <c r="A199" s="29"/>
      <c r="B199" s="29"/>
      <c r="C199" s="29"/>
      <c r="D199" s="29"/>
      <c r="E199" s="29"/>
      <c r="F199" s="29"/>
      <c r="G199" s="29"/>
      <c r="H199" s="29"/>
      <c r="J199" s="29"/>
      <c r="K199" s="29"/>
      <c r="L199" s="19"/>
      <c r="M199" s="19"/>
      <c r="N199" s="30"/>
      <c r="O199" s="30"/>
      <c r="P199" s="32"/>
      <c r="Q199" s="32"/>
      <c r="R199" s="32"/>
      <c r="S199" s="32"/>
      <c r="T199" s="32"/>
      <c r="U199" s="30"/>
    </row>
    <row r="200" spans="1:21" ht="16.5" customHeight="1">
      <c r="A200" s="29"/>
      <c r="B200" s="29"/>
      <c r="C200" s="29"/>
      <c r="D200" s="29"/>
      <c r="E200" s="29"/>
      <c r="F200" s="29"/>
      <c r="G200" s="29"/>
      <c r="H200" s="29"/>
      <c r="J200" s="29"/>
      <c r="K200" s="29"/>
      <c r="L200" s="19"/>
      <c r="M200" s="19"/>
      <c r="N200" s="30"/>
      <c r="O200" s="30"/>
      <c r="P200" s="32"/>
      <c r="Q200" s="32"/>
      <c r="R200" s="32"/>
      <c r="S200" s="32"/>
      <c r="T200" s="32"/>
      <c r="U200" s="30"/>
    </row>
    <row r="201" spans="1:21" ht="16.5" customHeight="1">
      <c r="A201" s="29"/>
      <c r="B201" s="29"/>
      <c r="C201" s="29"/>
      <c r="D201" s="29"/>
      <c r="E201" s="29"/>
      <c r="F201" s="29"/>
      <c r="G201" s="29"/>
      <c r="H201" s="29"/>
      <c r="J201" s="29"/>
      <c r="K201" s="29"/>
      <c r="L201" s="19"/>
      <c r="M201" s="19"/>
      <c r="N201" s="30"/>
      <c r="O201" s="30"/>
      <c r="P201" s="32"/>
      <c r="Q201" s="32"/>
      <c r="R201" s="32"/>
      <c r="S201" s="32"/>
      <c r="T201" s="32"/>
      <c r="U201" s="30"/>
    </row>
    <row r="202" spans="1:21" ht="16.5" customHeight="1">
      <c r="A202" s="29"/>
      <c r="B202" s="29"/>
      <c r="C202" s="29"/>
      <c r="D202" s="29"/>
      <c r="E202" s="29"/>
      <c r="F202" s="29"/>
      <c r="G202" s="29"/>
      <c r="H202" s="29"/>
      <c r="J202" s="29"/>
      <c r="K202" s="29"/>
      <c r="L202" s="19"/>
      <c r="M202" s="19"/>
      <c r="N202" s="30"/>
      <c r="O202" s="30"/>
      <c r="P202" s="32"/>
      <c r="Q202" s="32"/>
      <c r="R202" s="32"/>
      <c r="S202" s="32"/>
      <c r="T202" s="32"/>
      <c r="U202" s="30"/>
    </row>
    <row r="203" spans="1:21" ht="16.5" customHeight="1">
      <c r="A203" s="29"/>
      <c r="B203" s="29"/>
      <c r="C203" s="29"/>
      <c r="D203" s="29"/>
      <c r="E203" s="29"/>
      <c r="F203" s="29"/>
      <c r="G203" s="29"/>
      <c r="H203" s="29"/>
      <c r="J203" s="29"/>
      <c r="K203" s="29"/>
      <c r="L203" s="19"/>
      <c r="M203" s="19"/>
      <c r="N203" s="30"/>
      <c r="O203" s="31"/>
      <c r="P203" s="32"/>
      <c r="Q203" s="32"/>
      <c r="R203" s="32"/>
      <c r="S203" s="32"/>
      <c r="T203" s="32"/>
      <c r="U203" s="30"/>
    </row>
    <row r="204" spans="1:21" ht="16.5" customHeight="1">
      <c r="A204" s="29"/>
      <c r="B204" s="29"/>
      <c r="C204" s="29"/>
      <c r="D204" s="29"/>
      <c r="E204" s="29"/>
      <c r="F204" s="29"/>
      <c r="G204" s="29"/>
      <c r="H204" s="29"/>
      <c r="J204" s="29"/>
      <c r="K204" s="29"/>
      <c r="L204" s="19"/>
      <c r="M204" s="19"/>
      <c r="N204" s="30"/>
      <c r="O204" s="30"/>
      <c r="P204" s="32"/>
      <c r="Q204" s="32"/>
      <c r="R204" s="32"/>
      <c r="S204" s="32"/>
      <c r="T204" s="32"/>
      <c r="U204" s="30"/>
    </row>
    <row r="205" spans="1:21" ht="16.5" customHeight="1">
      <c r="A205" s="29"/>
      <c r="B205" s="29"/>
      <c r="C205" s="29"/>
      <c r="D205" s="29"/>
      <c r="E205" s="29"/>
      <c r="F205" s="29"/>
      <c r="G205" s="29"/>
      <c r="H205" s="29"/>
      <c r="J205" s="29"/>
      <c r="K205" s="29"/>
      <c r="L205" s="19"/>
      <c r="M205" s="19"/>
      <c r="N205" s="30"/>
      <c r="O205" s="31"/>
      <c r="P205" s="32"/>
      <c r="Q205" s="32"/>
      <c r="R205" s="32"/>
      <c r="S205" s="32"/>
      <c r="T205" s="32"/>
      <c r="U205" s="30"/>
    </row>
    <row r="206" spans="1:21" ht="16.5" customHeight="1">
      <c r="A206" s="29"/>
      <c r="B206" s="29"/>
      <c r="C206" s="29"/>
      <c r="D206" s="29"/>
      <c r="E206" s="29"/>
      <c r="F206" s="29"/>
      <c r="G206" s="29"/>
      <c r="H206" s="29"/>
      <c r="J206" s="29"/>
      <c r="K206" s="29"/>
      <c r="L206" s="19"/>
      <c r="M206" s="19"/>
      <c r="N206" s="30"/>
      <c r="O206" s="30"/>
      <c r="P206" s="32"/>
      <c r="Q206" s="32"/>
      <c r="R206" s="32"/>
      <c r="S206" s="32"/>
      <c r="T206" s="32"/>
      <c r="U206" s="30"/>
    </row>
    <row r="207" spans="1:21" ht="16.5" customHeight="1">
      <c r="A207" s="29"/>
      <c r="B207" s="29"/>
      <c r="C207" s="29"/>
      <c r="D207" s="29"/>
      <c r="E207" s="29"/>
      <c r="F207" s="29"/>
      <c r="G207" s="29"/>
      <c r="H207" s="29"/>
      <c r="J207" s="29"/>
      <c r="K207" s="29"/>
      <c r="L207" s="19"/>
      <c r="M207" s="19"/>
      <c r="N207" s="30"/>
      <c r="O207" s="30"/>
      <c r="P207" s="32"/>
      <c r="Q207" s="32"/>
      <c r="R207" s="32"/>
      <c r="S207" s="32"/>
      <c r="T207" s="32"/>
      <c r="U207" s="30"/>
    </row>
    <row r="208" spans="1:21" ht="16.5" customHeight="1">
      <c r="A208" s="29"/>
      <c r="B208" s="29"/>
      <c r="C208" s="29"/>
      <c r="D208" s="29"/>
      <c r="E208" s="29"/>
      <c r="F208" s="29"/>
      <c r="G208" s="29"/>
      <c r="H208" s="29"/>
      <c r="J208" s="29"/>
      <c r="K208" s="29"/>
      <c r="L208" s="19"/>
      <c r="M208" s="19"/>
      <c r="N208" s="30"/>
      <c r="O208" s="30"/>
      <c r="P208" s="32"/>
      <c r="Q208" s="32"/>
      <c r="R208" s="32"/>
      <c r="S208" s="32"/>
      <c r="T208" s="32"/>
      <c r="U208" s="30"/>
    </row>
    <row r="209" spans="1:21">
      <c r="A209" s="29"/>
      <c r="B209" s="29"/>
      <c r="C209" s="29"/>
      <c r="D209" s="29"/>
      <c r="E209" s="29"/>
      <c r="F209" s="29"/>
      <c r="G209" s="29"/>
      <c r="H209" s="29"/>
      <c r="J209" s="29"/>
      <c r="K209" s="29"/>
      <c r="L209" s="19"/>
      <c r="M209" s="19"/>
      <c r="N209" s="30"/>
      <c r="O209" s="30"/>
      <c r="P209" s="32"/>
      <c r="Q209" s="32"/>
      <c r="R209" s="32"/>
      <c r="S209" s="32"/>
      <c r="T209" s="32"/>
      <c r="U209" s="30"/>
    </row>
    <row r="210" spans="1:21">
      <c r="A210" s="29"/>
      <c r="B210" s="29"/>
      <c r="C210" s="29"/>
      <c r="D210" s="29"/>
      <c r="E210" s="29"/>
      <c r="F210" s="29"/>
      <c r="G210" s="29"/>
      <c r="H210" s="29"/>
      <c r="J210" s="29"/>
      <c r="K210" s="29"/>
      <c r="L210" s="19"/>
      <c r="M210" s="19"/>
      <c r="N210" s="30"/>
      <c r="O210" s="30"/>
      <c r="P210" s="32"/>
      <c r="Q210" s="32"/>
      <c r="R210" s="32"/>
      <c r="S210" s="32"/>
      <c r="T210" s="32"/>
      <c r="U210" s="30"/>
    </row>
    <row r="211" spans="1:21">
      <c r="A211" s="29"/>
      <c r="B211" s="29"/>
      <c r="C211" s="29"/>
      <c r="D211" s="29"/>
      <c r="E211" s="29"/>
      <c r="F211" s="29"/>
      <c r="G211" s="29"/>
      <c r="H211" s="29"/>
      <c r="J211" s="29"/>
      <c r="K211" s="29"/>
      <c r="L211" s="19"/>
      <c r="M211" s="19"/>
      <c r="N211" s="30"/>
      <c r="O211" s="31"/>
      <c r="P211" s="32"/>
      <c r="Q211" s="32"/>
      <c r="R211" s="32"/>
      <c r="S211" s="32"/>
      <c r="T211" s="32"/>
      <c r="U211" s="30"/>
    </row>
    <row r="212" spans="1:21">
      <c r="A212" s="29"/>
      <c r="B212" s="29"/>
      <c r="C212" s="29"/>
      <c r="D212" s="29"/>
      <c r="E212" s="29"/>
      <c r="F212" s="29"/>
      <c r="G212" s="29"/>
      <c r="H212" s="29"/>
      <c r="J212" s="29"/>
      <c r="K212" s="29"/>
      <c r="L212" s="19"/>
      <c r="M212" s="19"/>
      <c r="N212" s="30"/>
      <c r="O212" s="30"/>
      <c r="P212" s="32"/>
      <c r="Q212" s="32"/>
      <c r="R212" s="32"/>
      <c r="S212" s="32"/>
      <c r="T212" s="32"/>
      <c r="U212" s="30"/>
    </row>
    <row r="213" spans="1:21">
      <c r="A213" s="29"/>
      <c r="B213" s="29"/>
      <c r="C213" s="29"/>
      <c r="D213" s="29"/>
      <c r="E213" s="29"/>
      <c r="F213" s="29"/>
      <c r="G213" s="29"/>
      <c r="H213" s="29"/>
      <c r="J213" s="29"/>
      <c r="K213" s="29"/>
      <c r="L213" s="19"/>
      <c r="M213" s="19"/>
      <c r="N213" s="30"/>
      <c r="O213" s="30"/>
      <c r="P213" s="32"/>
      <c r="Q213" s="32"/>
      <c r="R213" s="32"/>
      <c r="S213" s="32"/>
      <c r="T213" s="32"/>
      <c r="U213" s="30"/>
    </row>
    <row r="214" spans="1:21">
      <c r="A214" s="29"/>
      <c r="B214" s="29"/>
      <c r="C214" s="29"/>
      <c r="D214" s="29"/>
      <c r="E214" s="29"/>
      <c r="F214" s="29"/>
      <c r="G214" s="29"/>
      <c r="H214" s="29"/>
      <c r="J214" s="29"/>
      <c r="K214" s="29"/>
      <c r="L214" s="19"/>
      <c r="M214" s="19"/>
      <c r="N214" s="30"/>
      <c r="O214" s="30"/>
      <c r="P214" s="32"/>
      <c r="Q214" s="32"/>
      <c r="R214" s="32"/>
      <c r="S214" s="32"/>
      <c r="T214" s="32"/>
      <c r="U214" s="30"/>
    </row>
    <row r="215" spans="1:21">
      <c r="A215" s="29"/>
      <c r="B215" s="29"/>
      <c r="C215" s="29"/>
      <c r="D215" s="29"/>
      <c r="E215" s="29"/>
      <c r="F215" s="29"/>
      <c r="G215" s="29"/>
      <c r="H215" s="29"/>
      <c r="J215" s="29"/>
      <c r="K215" s="29"/>
      <c r="L215" s="19"/>
      <c r="M215" s="19"/>
      <c r="N215" s="30"/>
      <c r="O215" s="30"/>
      <c r="P215" s="32"/>
      <c r="Q215" s="32"/>
      <c r="R215" s="32"/>
      <c r="S215" s="32"/>
      <c r="T215" s="32"/>
      <c r="U215" s="30"/>
    </row>
    <row r="216" spans="1:21">
      <c r="A216" s="29"/>
      <c r="B216" s="29"/>
      <c r="C216" s="29"/>
      <c r="D216" s="29"/>
      <c r="E216" s="29"/>
      <c r="F216" s="29"/>
      <c r="G216" s="29"/>
      <c r="H216" s="29"/>
      <c r="J216" s="29"/>
      <c r="K216" s="29"/>
      <c r="L216" s="19"/>
      <c r="M216" s="19"/>
      <c r="N216" s="30"/>
      <c r="O216" s="30"/>
      <c r="P216" s="32"/>
      <c r="Q216" s="32"/>
      <c r="R216" s="32"/>
      <c r="S216" s="32"/>
      <c r="T216" s="32"/>
      <c r="U216" s="30"/>
    </row>
    <row r="217" spans="1:21">
      <c r="A217" s="29"/>
      <c r="B217" s="29"/>
      <c r="C217" s="29"/>
      <c r="D217" s="29"/>
      <c r="E217" s="29"/>
      <c r="F217" s="29"/>
      <c r="G217" s="29"/>
      <c r="H217" s="29"/>
      <c r="J217" s="29"/>
      <c r="K217" s="29"/>
      <c r="L217" s="19"/>
      <c r="M217" s="19"/>
      <c r="N217" s="30"/>
      <c r="O217" s="30"/>
      <c r="P217" s="32"/>
      <c r="Q217" s="32"/>
      <c r="R217" s="32"/>
      <c r="S217" s="32"/>
      <c r="T217" s="32"/>
      <c r="U217" s="30"/>
    </row>
    <row r="218" spans="1:21">
      <c r="A218" s="29"/>
      <c r="B218" s="29"/>
      <c r="C218" s="29"/>
      <c r="D218" s="29"/>
      <c r="E218" s="29"/>
      <c r="F218" s="29"/>
      <c r="G218" s="29"/>
      <c r="H218" s="29"/>
      <c r="J218" s="29"/>
      <c r="K218" s="29"/>
      <c r="L218" s="19"/>
      <c r="M218" s="19"/>
      <c r="N218" s="30"/>
      <c r="O218" s="30"/>
      <c r="P218" s="32"/>
      <c r="Q218" s="32"/>
      <c r="R218" s="32"/>
      <c r="S218" s="32"/>
      <c r="T218" s="32"/>
      <c r="U218" s="30"/>
    </row>
    <row r="219" spans="1:21">
      <c r="A219" s="29"/>
      <c r="B219" s="29"/>
      <c r="C219" s="29"/>
      <c r="D219" s="29"/>
      <c r="E219" s="29"/>
      <c r="F219" s="29"/>
      <c r="G219" s="29"/>
      <c r="H219" s="29"/>
      <c r="J219" s="29"/>
      <c r="K219" s="29"/>
      <c r="L219" s="19"/>
      <c r="M219" s="19"/>
      <c r="N219" s="30"/>
      <c r="O219" s="30"/>
      <c r="P219" s="32"/>
      <c r="Q219" s="32"/>
      <c r="R219" s="32"/>
      <c r="S219" s="32"/>
      <c r="T219" s="32"/>
      <c r="U219" s="30"/>
    </row>
    <row r="220" spans="1:21">
      <c r="A220" s="29"/>
      <c r="B220" s="29"/>
      <c r="C220" s="29"/>
      <c r="D220" s="29"/>
      <c r="E220" s="29"/>
      <c r="F220" s="29"/>
      <c r="G220" s="29"/>
      <c r="H220" s="29"/>
      <c r="J220" s="29"/>
      <c r="K220" s="29"/>
      <c r="L220" s="19"/>
      <c r="M220" s="19"/>
      <c r="N220" s="30"/>
      <c r="O220" s="30"/>
      <c r="P220" s="32"/>
      <c r="Q220" s="32"/>
      <c r="R220" s="32"/>
      <c r="S220" s="32"/>
      <c r="T220" s="32"/>
      <c r="U220" s="30"/>
    </row>
    <row r="221" spans="1:21">
      <c r="A221" s="29"/>
      <c r="B221" s="29"/>
      <c r="C221" s="29"/>
      <c r="D221" s="29"/>
      <c r="E221" s="29"/>
      <c r="F221" s="29"/>
      <c r="G221" s="29"/>
      <c r="H221" s="29"/>
      <c r="J221" s="29"/>
      <c r="K221" s="29"/>
      <c r="L221" s="19"/>
      <c r="M221" s="19"/>
      <c r="N221" s="30"/>
      <c r="O221" s="30"/>
      <c r="P221" s="32"/>
      <c r="Q221" s="32"/>
      <c r="R221" s="32"/>
      <c r="S221" s="32"/>
      <c r="T221" s="32"/>
      <c r="U221" s="30"/>
    </row>
    <row r="222" spans="1:21">
      <c r="A222" s="29"/>
      <c r="B222" s="29"/>
      <c r="C222" s="29"/>
      <c r="D222" s="29"/>
      <c r="E222" s="29"/>
      <c r="F222" s="29"/>
      <c r="G222" s="29"/>
      <c r="H222" s="29"/>
      <c r="J222" s="29"/>
      <c r="K222" s="29"/>
      <c r="L222" s="19"/>
      <c r="M222" s="19"/>
      <c r="N222" s="30"/>
      <c r="O222" s="30"/>
      <c r="P222" s="32"/>
      <c r="Q222" s="32"/>
      <c r="R222" s="32"/>
      <c r="S222" s="32"/>
      <c r="T222" s="32"/>
      <c r="U222" s="30"/>
    </row>
    <row r="223" spans="1:21">
      <c r="A223" s="29"/>
      <c r="B223" s="29"/>
      <c r="C223" s="29"/>
      <c r="D223" s="29"/>
      <c r="E223" s="29"/>
      <c r="F223" s="29"/>
      <c r="G223" s="29"/>
      <c r="H223" s="29"/>
      <c r="J223" s="29"/>
      <c r="K223" s="29"/>
      <c r="L223" s="19"/>
      <c r="M223" s="19"/>
      <c r="N223" s="30"/>
      <c r="O223" s="31"/>
      <c r="P223" s="32"/>
      <c r="Q223" s="32"/>
      <c r="R223" s="32"/>
      <c r="S223" s="32"/>
      <c r="T223" s="32"/>
      <c r="U223" s="30"/>
    </row>
    <row r="224" spans="1:21">
      <c r="A224" s="29"/>
      <c r="B224" s="29"/>
      <c r="C224" s="29"/>
      <c r="D224" s="29"/>
      <c r="E224" s="29"/>
      <c r="F224" s="29"/>
      <c r="G224" s="29"/>
      <c r="H224" s="29"/>
      <c r="J224" s="29"/>
      <c r="K224" s="29"/>
      <c r="L224" s="19"/>
      <c r="M224" s="19"/>
      <c r="N224" s="30"/>
      <c r="O224" s="30"/>
      <c r="P224" s="32"/>
      <c r="Q224" s="32"/>
      <c r="R224" s="32"/>
      <c r="S224" s="32"/>
      <c r="T224" s="32"/>
      <c r="U224" s="30"/>
    </row>
    <row r="225" spans="1:21">
      <c r="A225" s="29"/>
      <c r="B225" s="29"/>
      <c r="C225" s="29"/>
      <c r="D225" s="29"/>
      <c r="E225" s="29"/>
      <c r="F225" s="29"/>
      <c r="G225" s="29"/>
      <c r="H225" s="29"/>
      <c r="J225" s="29"/>
      <c r="K225" s="29"/>
      <c r="L225" s="19"/>
      <c r="M225" s="19"/>
      <c r="N225" s="30"/>
      <c r="O225" s="30"/>
      <c r="P225" s="32"/>
      <c r="Q225" s="32"/>
      <c r="R225" s="32"/>
      <c r="S225" s="32"/>
      <c r="T225" s="32"/>
      <c r="U225" s="30"/>
    </row>
    <row r="226" spans="1:21">
      <c r="A226" s="29"/>
      <c r="B226" s="29"/>
      <c r="C226" s="29"/>
      <c r="D226" s="29"/>
      <c r="E226" s="29"/>
      <c r="F226" s="29"/>
      <c r="G226" s="29"/>
      <c r="H226" s="29"/>
      <c r="J226" s="29"/>
      <c r="K226" s="29"/>
      <c r="L226" s="19"/>
      <c r="M226" s="19"/>
      <c r="N226" s="30"/>
      <c r="O226" s="30"/>
      <c r="P226" s="32"/>
      <c r="Q226" s="32"/>
      <c r="R226" s="32"/>
      <c r="S226" s="32"/>
      <c r="T226" s="32"/>
      <c r="U226" s="30"/>
    </row>
    <row r="227" spans="1:21">
      <c r="A227" s="29"/>
      <c r="B227" s="29"/>
      <c r="C227" s="29"/>
      <c r="D227" s="29"/>
      <c r="E227" s="29"/>
      <c r="F227" s="29"/>
      <c r="G227" s="29"/>
      <c r="H227" s="29"/>
      <c r="J227" s="29"/>
      <c r="K227" s="29"/>
      <c r="L227" s="19"/>
      <c r="M227" s="19"/>
      <c r="N227" s="30"/>
      <c r="O227" s="30"/>
      <c r="P227" s="32"/>
      <c r="Q227" s="32"/>
      <c r="R227" s="32"/>
      <c r="S227" s="32"/>
      <c r="T227" s="32"/>
      <c r="U227" s="30"/>
    </row>
    <row r="228" spans="1:21">
      <c r="A228" s="29"/>
      <c r="B228" s="29"/>
      <c r="C228" s="29"/>
      <c r="D228" s="29"/>
      <c r="E228" s="29"/>
      <c r="F228" s="29"/>
      <c r="G228" s="29"/>
      <c r="H228" s="29"/>
      <c r="J228" s="29"/>
      <c r="K228" s="29"/>
      <c r="L228" s="19"/>
      <c r="M228" s="19"/>
      <c r="N228" s="30"/>
      <c r="O228" s="31"/>
      <c r="P228" s="32"/>
      <c r="Q228" s="32"/>
      <c r="R228" s="32"/>
      <c r="S228" s="32"/>
      <c r="T228" s="32"/>
      <c r="U228" s="30"/>
    </row>
    <row r="229" spans="1:21">
      <c r="A229" s="29"/>
      <c r="B229" s="29"/>
      <c r="C229" s="29"/>
      <c r="D229" s="29"/>
      <c r="E229" s="29"/>
      <c r="F229" s="29"/>
      <c r="G229" s="29"/>
      <c r="H229" s="29"/>
      <c r="J229" s="29"/>
      <c r="K229" s="29"/>
      <c r="L229" s="19"/>
      <c r="M229" s="19"/>
      <c r="N229" s="30"/>
      <c r="O229" s="30"/>
      <c r="P229" s="32"/>
      <c r="Q229" s="32"/>
      <c r="R229" s="32"/>
      <c r="S229" s="32"/>
      <c r="T229" s="32"/>
      <c r="U229" s="30"/>
    </row>
    <row r="230" spans="1:21">
      <c r="A230" s="29"/>
      <c r="B230" s="29"/>
      <c r="C230" s="29"/>
      <c r="D230" s="29"/>
      <c r="E230" s="29"/>
      <c r="F230" s="29"/>
      <c r="G230" s="29"/>
      <c r="H230" s="29"/>
      <c r="J230" s="29"/>
      <c r="K230" s="29"/>
      <c r="L230" s="19"/>
      <c r="M230" s="19"/>
      <c r="N230" s="30"/>
      <c r="O230" s="31"/>
      <c r="P230" s="32"/>
      <c r="Q230" s="32"/>
      <c r="R230" s="32"/>
      <c r="S230" s="32"/>
      <c r="T230" s="32"/>
      <c r="U230" s="30"/>
    </row>
    <row r="231" spans="1:21">
      <c r="A231" s="29"/>
      <c r="B231" s="29"/>
      <c r="C231" s="29"/>
      <c r="D231" s="29"/>
      <c r="E231" s="29"/>
      <c r="F231" s="29"/>
      <c r="G231" s="29"/>
      <c r="H231" s="29"/>
      <c r="J231" s="29"/>
      <c r="K231" s="29"/>
      <c r="L231" s="19"/>
      <c r="M231" s="19"/>
      <c r="N231" s="30"/>
      <c r="O231" s="30"/>
      <c r="P231" s="32"/>
      <c r="Q231" s="32"/>
      <c r="R231" s="32"/>
      <c r="S231" s="32"/>
      <c r="T231" s="32"/>
      <c r="U231" s="30"/>
    </row>
    <row r="232" spans="1:21">
      <c r="A232" s="29"/>
      <c r="B232" s="29"/>
      <c r="C232" s="29"/>
      <c r="D232" s="29"/>
      <c r="E232" s="29"/>
      <c r="F232" s="29"/>
      <c r="G232" s="29"/>
      <c r="H232" s="29"/>
      <c r="J232" s="29"/>
      <c r="K232" s="29"/>
      <c r="L232" s="19"/>
      <c r="M232" s="19"/>
      <c r="N232" s="30"/>
      <c r="O232" s="30"/>
      <c r="P232" s="32"/>
      <c r="Q232" s="32"/>
      <c r="R232" s="32"/>
      <c r="S232" s="32"/>
      <c r="T232" s="32"/>
      <c r="U232" s="30"/>
    </row>
    <row r="233" spans="1:21">
      <c r="A233" s="29"/>
      <c r="B233" s="29"/>
      <c r="C233" s="29"/>
      <c r="D233" s="29"/>
      <c r="E233" s="29"/>
      <c r="F233" s="29"/>
      <c r="G233" s="29"/>
      <c r="H233" s="29"/>
      <c r="J233" s="29"/>
      <c r="K233" s="29"/>
      <c r="L233" s="19"/>
      <c r="M233" s="19"/>
      <c r="N233" s="30"/>
      <c r="O233" s="30"/>
      <c r="P233" s="32"/>
      <c r="Q233" s="32"/>
      <c r="R233" s="32"/>
      <c r="S233" s="32"/>
      <c r="T233" s="32"/>
      <c r="U233" s="30"/>
    </row>
    <row r="234" spans="1:21">
      <c r="A234" s="29"/>
      <c r="B234" s="29"/>
      <c r="C234" s="29"/>
      <c r="D234" s="29"/>
      <c r="E234" s="29"/>
      <c r="F234" s="29"/>
      <c r="G234" s="29"/>
      <c r="H234" s="29"/>
      <c r="J234" s="29"/>
      <c r="K234" s="29"/>
      <c r="L234" s="19"/>
      <c r="M234" s="19"/>
      <c r="N234" s="30"/>
      <c r="O234" s="30"/>
      <c r="P234" s="32"/>
      <c r="Q234" s="32"/>
      <c r="R234" s="32"/>
      <c r="S234" s="32"/>
      <c r="T234" s="32"/>
      <c r="U234" s="30"/>
    </row>
    <row r="235" spans="1:21">
      <c r="A235" s="29"/>
      <c r="B235" s="29"/>
      <c r="C235" s="29"/>
      <c r="D235" s="29"/>
      <c r="E235" s="29"/>
      <c r="F235" s="29"/>
      <c r="G235" s="29"/>
      <c r="H235" s="29"/>
      <c r="J235" s="29"/>
      <c r="K235" s="29"/>
      <c r="L235" s="19"/>
      <c r="M235" s="19"/>
      <c r="N235" s="30"/>
      <c r="O235" s="30"/>
      <c r="P235" s="32"/>
      <c r="Q235" s="32"/>
      <c r="R235" s="32"/>
      <c r="S235" s="32"/>
      <c r="T235" s="32"/>
      <c r="U235" s="30"/>
    </row>
    <row r="236" spans="1:21">
      <c r="A236" s="29"/>
      <c r="B236" s="29"/>
      <c r="C236" s="29"/>
      <c r="D236" s="29"/>
      <c r="E236" s="29"/>
      <c r="F236" s="29"/>
      <c r="G236" s="29"/>
      <c r="H236" s="29"/>
      <c r="J236" s="29"/>
      <c r="K236" s="29"/>
      <c r="L236" s="19"/>
      <c r="M236" s="19"/>
      <c r="N236" s="30"/>
      <c r="O236" s="30"/>
      <c r="P236" s="32"/>
      <c r="Q236" s="32"/>
      <c r="R236" s="32"/>
      <c r="S236" s="32"/>
      <c r="T236" s="32"/>
      <c r="U236" s="30"/>
    </row>
    <row r="237" spans="1:21">
      <c r="A237" s="29"/>
      <c r="B237" s="29"/>
      <c r="C237" s="29"/>
      <c r="D237" s="29"/>
      <c r="E237" s="29"/>
      <c r="F237" s="29"/>
      <c r="G237" s="29"/>
      <c r="H237" s="29"/>
      <c r="J237" s="29"/>
      <c r="K237" s="29"/>
      <c r="L237" s="19"/>
      <c r="M237" s="19"/>
      <c r="N237" s="30"/>
      <c r="O237" s="30"/>
      <c r="P237" s="32"/>
      <c r="Q237" s="32"/>
      <c r="R237" s="32"/>
      <c r="S237" s="32"/>
      <c r="T237" s="32"/>
      <c r="U237" s="30"/>
    </row>
    <row r="238" spans="1:21">
      <c r="A238" s="29"/>
      <c r="B238" s="29"/>
      <c r="C238" s="29"/>
      <c r="D238" s="29"/>
      <c r="E238" s="29"/>
      <c r="F238" s="29"/>
      <c r="G238" s="29"/>
      <c r="H238" s="29"/>
      <c r="J238" s="29"/>
      <c r="K238" s="29"/>
      <c r="L238" s="19"/>
      <c r="M238" s="19"/>
      <c r="N238" s="30"/>
      <c r="O238" s="30"/>
      <c r="P238" s="32"/>
      <c r="Q238" s="32"/>
      <c r="R238" s="32"/>
      <c r="S238" s="32"/>
      <c r="T238" s="32"/>
      <c r="U238" s="30"/>
    </row>
    <row r="239" spans="1:21">
      <c r="A239" s="29"/>
      <c r="B239" s="29"/>
      <c r="C239" s="29"/>
      <c r="D239" s="29"/>
      <c r="E239" s="29"/>
      <c r="F239" s="29"/>
      <c r="G239" s="29"/>
      <c r="H239" s="29"/>
      <c r="J239" s="29"/>
      <c r="K239" s="29"/>
      <c r="L239" s="19"/>
      <c r="M239" s="19"/>
      <c r="N239" s="30"/>
      <c r="O239" s="30"/>
      <c r="P239" s="32"/>
      <c r="Q239" s="32"/>
      <c r="R239" s="32"/>
      <c r="S239" s="32"/>
      <c r="T239" s="32"/>
      <c r="U239" s="30"/>
    </row>
    <row r="240" spans="1:21">
      <c r="A240" s="29"/>
      <c r="B240" s="29"/>
      <c r="C240" s="29"/>
      <c r="D240" s="29"/>
      <c r="E240" s="29"/>
      <c r="F240" s="29"/>
      <c r="G240" s="29"/>
      <c r="H240" s="29"/>
      <c r="J240" s="29"/>
      <c r="K240" s="29"/>
      <c r="L240" s="19"/>
      <c r="M240" s="19"/>
      <c r="N240" s="30"/>
      <c r="O240" s="30"/>
      <c r="P240" s="32"/>
      <c r="Q240" s="32"/>
      <c r="R240" s="32"/>
      <c r="S240" s="32"/>
      <c r="T240" s="32"/>
      <c r="U240" s="30"/>
    </row>
    <row r="241" spans="1:21">
      <c r="A241" s="29"/>
      <c r="B241" s="29"/>
      <c r="C241" s="29"/>
      <c r="D241" s="29"/>
      <c r="E241" s="29"/>
      <c r="F241" s="29"/>
      <c r="G241" s="29"/>
      <c r="H241" s="29"/>
      <c r="J241" s="29"/>
      <c r="K241" s="29"/>
      <c r="L241" s="19"/>
      <c r="M241" s="19"/>
      <c r="N241" s="30"/>
      <c r="O241" s="30"/>
      <c r="P241" s="32"/>
      <c r="Q241" s="32"/>
      <c r="R241" s="32"/>
      <c r="S241" s="32"/>
      <c r="T241" s="32"/>
      <c r="U241" s="30"/>
    </row>
    <row r="242" spans="1:21">
      <c r="A242" s="29"/>
      <c r="B242" s="29"/>
      <c r="C242" s="29"/>
      <c r="D242" s="29"/>
      <c r="E242" s="29"/>
      <c r="F242" s="29"/>
      <c r="G242" s="29"/>
      <c r="H242" s="29"/>
      <c r="J242" s="29"/>
      <c r="K242" s="29"/>
      <c r="L242" s="19"/>
      <c r="M242" s="19"/>
      <c r="N242" s="30"/>
      <c r="O242" s="30"/>
      <c r="P242" s="32"/>
      <c r="Q242" s="32"/>
      <c r="R242" s="32"/>
      <c r="S242" s="32"/>
      <c r="T242" s="32"/>
      <c r="U242" s="30"/>
    </row>
    <row r="243" spans="1:21">
      <c r="A243" s="29"/>
      <c r="B243" s="29"/>
      <c r="C243" s="29"/>
      <c r="D243" s="29"/>
      <c r="E243" s="29"/>
      <c r="F243" s="29"/>
      <c r="G243" s="29"/>
      <c r="H243" s="29"/>
      <c r="J243" s="29"/>
      <c r="K243" s="29"/>
      <c r="L243" s="19"/>
      <c r="M243" s="19"/>
      <c r="N243" s="30"/>
      <c r="O243" s="30"/>
      <c r="P243" s="32"/>
      <c r="Q243" s="32"/>
      <c r="R243" s="32"/>
      <c r="S243" s="32"/>
      <c r="T243" s="32"/>
      <c r="U243" s="30"/>
    </row>
    <row r="244" spans="1:21">
      <c r="A244" s="29"/>
      <c r="B244" s="29"/>
      <c r="C244" s="29"/>
      <c r="D244" s="29"/>
      <c r="E244" s="29"/>
      <c r="F244" s="29"/>
      <c r="G244" s="29"/>
      <c r="H244" s="29"/>
      <c r="J244" s="29"/>
      <c r="K244" s="29"/>
      <c r="L244" s="19"/>
      <c r="M244" s="19"/>
      <c r="N244" s="30"/>
      <c r="O244" s="30"/>
      <c r="P244" s="32"/>
      <c r="Q244" s="32"/>
      <c r="R244" s="32"/>
      <c r="S244" s="32"/>
      <c r="T244" s="32"/>
      <c r="U244" s="30"/>
    </row>
    <row r="245" spans="1:21">
      <c r="A245" s="29"/>
      <c r="B245" s="29"/>
      <c r="C245" s="29"/>
      <c r="D245" s="29"/>
      <c r="E245" s="29"/>
      <c r="F245" s="29"/>
      <c r="G245" s="29"/>
      <c r="H245" s="29"/>
      <c r="J245" s="29"/>
      <c r="K245" s="29"/>
      <c r="L245" s="19"/>
      <c r="M245" s="19"/>
      <c r="N245" s="30"/>
      <c r="O245" s="30"/>
      <c r="P245" s="32"/>
      <c r="Q245" s="32"/>
      <c r="R245" s="32"/>
      <c r="S245" s="32"/>
      <c r="T245" s="32"/>
      <c r="U245" s="30"/>
    </row>
    <row r="246" spans="1:21">
      <c r="A246" s="29"/>
      <c r="B246" s="29"/>
      <c r="C246" s="29"/>
      <c r="D246" s="29"/>
      <c r="E246" s="29"/>
      <c r="F246" s="29"/>
      <c r="G246" s="29"/>
      <c r="H246" s="29"/>
      <c r="J246" s="29"/>
      <c r="K246" s="29"/>
      <c r="L246" s="19"/>
      <c r="M246" s="19"/>
      <c r="N246" s="30"/>
      <c r="O246" s="30"/>
      <c r="P246" s="32"/>
      <c r="Q246" s="32"/>
      <c r="R246" s="32"/>
      <c r="S246" s="32"/>
      <c r="T246" s="32"/>
      <c r="U246" s="30"/>
    </row>
    <row r="247" spans="1:21">
      <c r="A247" s="29"/>
      <c r="B247" s="29"/>
      <c r="C247" s="29"/>
      <c r="D247" s="29"/>
      <c r="E247" s="29"/>
      <c r="F247" s="29"/>
      <c r="G247" s="29"/>
      <c r="H247" s="29"/>
      <c r="J247" s="29"/>
      <c r="K247" s="29"/>
      <c r="L247" s="19"/>
      <c r="M247" s="19"/>
      <c r="N247" s="30"/>
      <c r="O247" s="30"/>
      <c r="P247" s="32"/>
      <c r="Q247" s="32"/>
      <c r="R247" s="32"/>
      <c r="S247" s="32"/>
      <c r="T247" s="32"/>
      <c r="U247" s="30"/>
    </row>
    <row r="248" spans="1:21">
      <c r="A248" s="29"/>
      <c r="B248" s="29"/>
      <c r="C248" s="29"/>
      <c r="D248" s="29"/>
      <c r="E248" s="29"/>
      <c r="F248" s="29"/>
      <c r="G248" s="29"/>
      <c r="H248" s="29"/>
      <c r="J248" s="29"/>
      <c r="K248" s="29"/>
      <c r="L248" s="19"/>
      <c r="M248" s="19"/>
      <c r="N248" s="30"/>
      <c r="O248" s="30"/>
      <c r="P248" s="32"/>
      <c r="Q248" s="32"/>
      <c r="R248" s="32"/>
      <c r="S248" s="32"/>
      <c r="T248" s="32"/>
      <c r="U248" s="30"/>
    </row>
    <row r="249" spans="1:21">
      <c r="A249" s="29"/>
      <c r="B249" s="29"/>
      <c r="C249" s="29"/>
      <c r="D249" s="29"/>
      <c r="E249" s="29"/>
      <c r="F249" s="29"/>
      <c r="G249" s="29"/>
      <c r="H249" s="29"/>
      <c r="J249" s="29"/>
      <c r="K249" s="29"/>
      <c r="L249" s="19"/>
      <c r="M249" s="19"/>
      <c r="N249" s="30"/>
      <c r="O249" s="30"/>
      <c r="P249" s="32"/>
      <c r="Q249" s="32"/>
      <c r="R249" s="32"/>
      <c r="S249" s="32"/>
      <c r="T249" s="32"/>
      <c r="U249" s="30"/>
    </row>
    <row r="250" spans="1:21">
      <c r="A250" s="29"/>
      <c r="B250" s="29"/>
      <c r="C250" s="29"/>
      <c r="D250" s="29"/>
      <c r="E250" s="29"/>
      <c r="F250" s="29"/>
      <c r="G250" s="29"/>
      <c r="H250" s="29"/>
      <c r="J250" s="29"/>
      <c r="K250" s="29"/>
      <c r="L250" s="19"/>
      <c r="M250" s="19"/>
      <c r="N250" s="30"/>
      <c r="O250" s="30"/>
      <c r="P250" s="32"/>
      <c r="Q250" s="32"/>
      <c r="R250" s="32"/>
      <c r="S250" s="32"/>
      <c r="T250" s="32"/>
      <c r="U250" s="30"/>
    </row>
    <row r="251" spans="1:21">
      <c r="A251" s="29"/>
      <c r="B251" s="29"/>
      <c r="C251" s="29"/>
      <c r="D251" s="29"/>
      <c r="E251" s="29"/>
      <c r="F251" s="29"/>
      <c r="G251" s="29"/>
      <c r="H251" s="29"/>
      <c r="J251" s="29"/>
      <c r="K251" s="29"/>
      <c r="L251" s="19"/>
      <c r="M251" s="19"/>
      <c r="N251" s="30"/>
      <c r="O251" s="30"/>
      <c r="P251" s="32"/>
      <c r="Q251" s="32"/>
      <c r="R251" s="32"/>
      <c r="S251" s="32"/>
      <c r="T251" s="32"/>
      <c r="U251" s="30"/>
    </row>
    <row r="252" spans="1:21">
      <c r="A252" s="29"/>
      <c r="B252" s="29"/>
      <c r="C252" s="29"/>
      <c r="D252" s="29"/>
      <c r="E252" s="29"/>
      <c r="F252" s="29"/>
      <c r="G252" s="29"/>
      <c r="H252" s="29"/>
      <c r="J252" s="29"/>
      <c r="K252" s="29"/>
      <c r="L252" s="19"/>
      <c r="M252" s="19"/>
      <c r="N252" s="30"/>
      <c r="O252" s="30"/>
      <c r="P252" s="32"/>
      <c r="Q252" s="32"/>
      <c r="R252" s="32"/>
      <c r="S252" s="32"/>
      <c r="T252" s="32"/>
      <c r="U252" s="30"/>
    </row>
    <row r="253" spans="1:21">
      <c r="A253" s="29"/>
      <c r="B253" s="29"/>
      <c r="C253" s="29"/>
      <c r="D253" s="29"/>
      <c r="E253" s="29"/>
      <c r="F253" s="29"/>
      <c r="G253" s="29"/>
      <c r="H253" s="29"/>
      <c r="J253" s="29"/>
      <c r="K253" s="29"/>
      <c r="L253" s="19"/>
      <c r="M253" s="19"/>
      <c r="N253" s="30"/>
      <c r="O253" s="30"/>
      <c r="P253" s="32"/>
      <c r="Q253" s="32"/>
      <c r="R253" s="32"/>
      <c r="S253" s="32"/>
      <c r="T253" s="32"/>
      <c r="U253" s="30"/>
    </row>
    <row r="254" spans="1:21">
      <c r="A254" s="29"/>
      <c r="B254" s="29"/>
      <c r="C254" s="29"/>
      <c r="D254" s="29"/>
      <c r="E254" s="29"/>
      <c r="F254" s="29"/>
      <c r="G254" s="29"/>
      <c r="H254" s="29"/>
      <c r="J254" s="29"/>
      <c r="K254" s="29"/>
      <c r="L254" s="19"/>
      <c r="M254" s="19"/>
      <c r="N254" s="30"/>
      <c r="O254" s="30"/>
      <c r="P254" s="32"/>
      <c r="Q254" s="32"/>
      <c r="R254" s="32"/>
      <c r="S254" s="32"/>
      <c r="T254" s="32"/>
      <c r="U254" s="30"/>
    </row>
    <row r="255" spans="1:21">
      <c r="A255" s="29"/>
      <c r="B255" s="29"/>
      <c r="C255" s="29"/>
      <c r="D255" s="29"/>
      <c r="E255" s="29"/>
      <c r="F255" s="29"/>
      <c r="G255" s="29"/>
      <c r="H255" s="29"/>
      <c r="J255" s="29"/>
      <c r="K255" s="29"/>
      <c r="L255" s="19"/>
      <c r="M255" s="19"/>
      <c r="N255" s="30"/>
      <c r="O255" s="30"/>
      <c r="P255" s="32"/>
      <c r="Q255" s="32"/>
      <c r="R255" s="32"/>
      <c r="S255" s="32"/>
      <c r="T255" s="32"/>
      <c r="U255" s="30"/>
    </row>
    <row r="256" spans="1:21">
      <c r="A256" s="29"/>
      <c r="B256" s="29"/>
      <c r="C256" s="29"/>
      <c r="D256" s="29"/>
      <c r="E256" s="29"/>
      <c r="F256" s="29"/>
      <c r="G256" s="29"/>
      <c r="H256" s="29"/>
      <c r="J256" s="29"/>
      <c r="K256" s="29"/>
      <c r="L256" s="19"/>
      <c r="M256" s="19"/>
      <c r="N256" s="30"/>
      <c r="O256" s="30"/>
      <c r="P256" s="32"/>
      <c r="Q256" s="32"/>
      <c r="R256" s="32"/>
      <c r="S256" s="32"/>
      <c r="T256" s="32"/>
      <c r="U256" s="30"/>
    </row>
    <row r="257" spans="1:21">
      <c r="A257" s="29"/>
      <c r="B257" s="29"/>
      <c r="C257" s="29"/>
      <c r="D257" s="29"/>
      <c r="E257" s="29"/>
      <c r="F257" s="29"/>
      <c r="G257" s="29"/>
      <c r="H257" s="29"/>
      <c r="J257" s="29"/>
      <c r="K257" s="29"/>
      <c r="L257" s="19"/>
      <c r="M257" s="19"/>
      <c r="N257" s="30"/>
      <c r="O257" s="30"/>
      <c r="P257" s="32"/>
      <c r="Q257" s="32"/>
      <c r="R257" s="32"/>
      <c r="S257" s="32"/>
      <c r="T257" s="32"/>
      <c r="U257" s="30"/>
    </row>
    <row r="258" spans="1:21">
      <c r="A258" s="29"/>
      <c r="B258" s="29"/>
      <c r="C258" s="29"/>
      <c r="D258" s="29"/>
      <c r="E258" s="29"/>
      <c r="F258" s="29"/>
      <c r="G258" s="29"/>
      <c r="H258" s="29"/>
      <c r="J258" s="29"/>
      <c r="K258" s="29"/>
      <c r="L258" s="19"/>
      <c r="M258" s="19"/>
      <c r="N258" s="30"/>
      <c r="O258" s="30"/>
      <c r="P258" s="32"/>
      <c r="Q258" s="32"/>
      <c r="R258" s="32"/>
      <c r="S258" s="32"/>
      <c r="T258" s="32"/>
      <c r="U258" s="30"/>
    </row>
    <row r="259" spans="1:21">
      <c r="A259" s="29"/>
      <c r="B259" s="29"/>
      <c r="C259" s="29"/>
      <c r="D259" s="29"/>
      <c r="E259" s="29"/>
      <c r="F259" s="29"/>
      <c r="G259" s="29"/>
      <c r="H259" s="29"/>
      <c r="J259" s="29"/>
      <c r="K259" s="29"/>
      <c r="L259" s="19"/>
      <c r="M259" s="19"/>
      <c r="N259" s="30"/>
      <c r="O259" s="30"/>
      <c r="P259" s="32"/>
      <c r="Q259" s="32"/>
      <c r="R259" s="32"/>
      <c r="S259" s="32"/>
      <c r="T259" s="32"/>
      <c r="U259" s="30"/>
    </row>
    <row r="260" spans="1:21">
      <c r="A260" s="29"/>
      <c r="B260" s="29"/>
      <c r="C260" s="29"/>
      <c r="D260" s="29"/>
      <c r="E260" s="29"/>
      <c r="F260" s="29"/>
      <c r="G260" s="29"/>
      <c r="H260" s="29"/>
      <c r="J260" s="29"/>
      <c r="K260" s="29"/>
      <c r="L260" s="19"/>
      <c r="M260" s="19"/>
      <c r="N260" s="30"/>
      <c r="O260" s="30"/>
      <c r="P260" s="32"/>
      <c r="Q260" s="32"/>
      <c r="R260" s="32"/>
      <c r="S260" s="32"/>
      <c r="T260" s="32"/>
      <c r="U260" s="30"/>
    </row>
    <row r="261" spans="1:21">
      <c r="A261" s="29"/>
      <c r="B261" s="29"/>
      <c r="C261" s="29"/>
      <c r="D261" s="29"/>
      <c r="E261" s="29"/>
      <c r="F261" s="29"/>
      <c r="G261" s="29"/>
      <c r="H261" s="29"/>
      <c r="J261" s="29"/>
      <c r="K261" s="29"/>
      <c r="L261" s="19"/>
      <c r="M261" s="19"/>
      <c r="N261" s="30"/>
      <c r="O261" s="30"/>
      <c r="P261" s="32"/>
      <c r="Q261" s="32"/>
      <c r="R261" s="32"/>
      <c r="S261" s="32"/>
      <c r="T261" s="32"/>
      <c r="U261" s="30"/>
    </row>
    <row r="262" spans="1:21">
      <c r="A262" s="29"/>
      <c r="B262" s="29"/>
      <c r="C262" s="29"/>
      <c r="D262" s="29"/>
      <c r="E262" s="29"/>
      <c r="F262" s="29"/>
      <c r="G262" s="29"/>
      <c r="H262" s="29"/>
      <c r="J262" s="29"/>
      <c r="K262" s="29"/>
      <c r="L262" s="19"/>
      <c r="M262" s="19"/>
      <c r="N262" s="30"/>
      <c r="O262" s="30"/>
      <c r="P262" s="32"/>
      <c r="Q262" s="32"/>
      <c r="R262" s="32"/>
      <c r="S262" s="32"/>
      <c r="T262" s="32"/>
      <c r="U262" s="30"/>
    </row>
    <row r="263" spans="1:21">
      <c r="A263" s="29"/>
      <c r="B263" s="29"/>
      <c r="C263" s="29"/>
      <c r="D263" s="29"/>
      <c r="E263" s="29"/>
      <c r="F263" s="29"/>
      <c r="G263" s="29"/>
      <c r="H263" s="29"/>
      <c r="J263" s="29"/>
      <c r="K263" s="29"/>
      <c r="L263" s="19"/>
      <c r="M263" s="19"/>
      <c r="N263" s="30"/>
      <c r="O263" s="30"/>
      <c r="P263" s="32"/>
      <c r="Q263" s="32"/>
      <c r="R263" s="32"/>
      <c r="S263" s="32"/>
      <c r="T263" s="32"/>
      <c r="U263" s="30"/>
    </row>
    <row r="264" spans="1:21">
      <c r="A264" s="29"/>
      <c r="B264" s="29"/>
      <c r="C264" s="29"/>
      <c r="D264" s="29"/>
      <c r="E264" s="29"/>
      <c r="F264" s="29"/>
      <c r="G264" s="29"/>
      <c r="H264" s="29"/>
      <c r="J264" s="29"/>
      <c r="K264" s="29"/>
      <c r="L264" s="19"/>
      <c r="M264" s="19"/>
      <c r="N264" s="30"/>
      <c r="O264" s="30"/>
      <c r="P264" s="32"/>
      <c r="Q264" s="32"/>
      <c r="R264" s="32"/>
      <c r="S264" s="32"/>
      <c r="T264" s="32"/>
      <c r="U264" s="30"/>
    </row>
    <row r="265" spans="1:21">
      <c r="A265" s="29"/>
      <c r="B265" s="29"/>
      <c r="C265" s="29"/>
      <c r="D265" s="29"/>
      <c r="E265" s="29"/>
      <c r="F265" s="29"/>
      <c r="G265" s="29"/>
      <c r="H265" s="29"/>
      <c r="J265" s="29"/>
      <c r="K265" s="29"/>
      <c r="L265" s="19"/>
      <c r="M265" s="19"/>
      <c r="N265" s="30"/>
      <c r="O265" s="30"/>
      <c r="P265" s="32"/>
      <c r="Q265" s="32"/>
      <c r="R265" s="32"/>
      <c r="S265" s="32"/>
      <c r="T265" s="32"/>
      <c r="U265" s="30"/>
    </row>
    <row r="266" spans="1:21">
      <c r="A266" s="29"/>
      <c r="B266" s="29"/>
      <c r="C266" s="29"/>
      <c r="D266" s="29"/>
      <c r="E266" s="29"/>
      <c r="F266" s="29"/>
      <c r="G266" s="29"/>
      <c r="H266" s="29"/>
      <c r="J266" s="29"/>
      <c r="K266" s="29"/>
      <c r="L266" s="19"/>
      <c r="M266" s="19"/>
      <c r="N266" s="30"/>
      <c r="O266" s="30"/>
      <c r="P266" s="32"/>
      <c r="Q266" s="32"/>
      <c r="R266" s="32"/>
      <c r="S266" s="32"/>
      <c r="T266" s="32"/>
      <c r="U266" s="30"/>
    </row>
    <row r="267" spans="1:21">
      <c r="A267" s="29"/>
      <c r="B267" s="29"/>
      <c r="C267" s="29"/>
      <c r="D267" s="29"/>
      <c r="E267" s="29"/>
      <c r="F267" s="29"/>
      <c r="G267" s="29"/>
      <c r="H267" s="29"/>
      <c r="J267" s="29"/>
      <c r="K267" s="29"/>
      <c r="L267" s="19"/>
      <c r="M267" s="19"/>
      <c r="N267" s="30"/>
      <c r="O267" s="31"/>
      <c r="P267" s="32"/>
      <c r="Q267" s="32"/>
      <c r="R267" s="32"/>
      <c r="S267" s="32"/>
      <c r="T267" s="32"/>
      <c r="U267" s="30"/>
    </row>
    <row r="268" spans="1:21">
      <c r="A268" s="29"/>
      <c r="B268" s="29"/>
      <c r="C268" s="29"/>
      <c r="D268" s="29"/>
      <c r="E268" s="29"/>
      <c r="F268" s="29"/>
      <c r="G268" s="29"/>
      <c r="H268" s="29"/>
      <c r="J268" s="29"/>
      <c r="K268" s="29"/>
      <c r="L268" s="19"/>
      <c r="M268" s="19"/>
      <c r="N268" s="30"/>
      <c r="O268" s="30"/>
      <c r="P268" s="32"/>
      <c r="Q268" s="32"/>
      <c r="R268" s="32"/>
      <c r="S268" s="32"/>
      <c r="T268" s="32"/>
      <c r="U268" s="30"/>
    </row>
    <row r="269" spans="1:21">
      <c r="A269" s="29"/>
      <c r="B269" s="29"/>
      <c r="C269" s="29"/>
      <c r="D269" s="29"/>
      <c r="E269" s="29"/>
      <c r="F269" s="29"/>
      <c r="G269" s="29"/>
      <c r="H269" s="29"/>
      <c r="J269" s="29"/>
      <c r="K269" s="29"/>
      <c r="L269" s="19"/>
      <c r="M269" s="19"/>
      <c r="N269" s="30"/>
      <c r="O269" s="30"/>
      <c r="P269" s="32"/>
      <c r="Q269" s="32"/>
      <c r="R269" s="32"/>
      <c r="S269" s="32"/>
      <c r="T269" s="32"/>
      <c r="U269" s="30"/>
    </row>
    <row r="270" spans="1:21">
      <c r="A270" s="29"/>
      <c r="B270" s="29"/>
      <c r="C270" s="29"/>
      <c r="D270" s="29"/>
      <c r="E270" s="29"/>
      <c r="F270" s="29"/>
      <c r="G270" s="29"/>
      <c r="H270" s="29"/>
      <c r="J270" s="29"/>
      <c r="K270" s="29"/>
      <c r="L270" s="19"/>
      <c r="M270" s="19"/>
      <c r="N270" s="30"/>
      <c r="O270" s="30"/>
      <c r="P270" s="32"/>
      <c r="Q270" s="32"/>
      <c r="R270" s="32"/>
      <c r="S270" s="32"/>
      <c r="T270" s="32"/>
      <c r="U270" s="30"/>
    </row>
    <row r="271" spans="1:21">
      <c r="A271" s="29"/>
      <c r="B271" s="29"/>
      <c r="C271" s="29"/>
      <c r="D271" s="29"/>
      <c r="E271" s="29"/>
      <c r="F271" s="29"/>
      <c r="G271" s="29"/>
      <c r="H271" s="29"/>
      <c r="J271" s="29"/>
      <c r="K271" s="29"/>
      <c r="L271" s="19"/>
      <c r="M271" s="19"/>
      <c r="N271" s="30"/>
      <c r="O271" s="30"/>
      <c r="P271" s="32"/>
      <c r="Q271" s="32"/>
      <c r="R271" s="32"/>
      <c r="S271" s="32"/>
      <c r="T271" s="32"/>
      <c r="U271" s="30"/>
    </row>
    <row r="272" spans="1:21">
      <c r="A272" s="29"/>
      <c r="B272" s="29"/>
      <c r="C272" s="29"/>
      <c r="D272" s="29"/>
      <c r="E272" s="29"/>
      <c r="F272" s="29"/>
      <c r="G272" s="29"/>
      <c r="H272" s="29"/>
      <c r="J272" s="29"/>
      <c r="K272" s="29"/>
      <c r="L272" s="19"/>
      <c r="M272" s="19"/>
      <c r="N272" s="30"/>
      <c r="O272" s="30"/>
      <c r="P272" s="32"/>
      <c r="Q272" s="32"/>
      <c r="R272" s="32"/>
      <c r="S272" s="32"/>
      <c r="T272" s="32"/>
      <c r="U272" s="30"/>
    </row>
    <row r="273" spans="1:21">
      <c r="A273" s="29"/>
      <c r="B273" s="29"/>
      <c r="C273" s="29"/>
      <c r="D273" s="29"/>
      <c r="E273" s="29"/>
      <c r="F273" s="29"/>
      <c r="G273" s="29"/>
      <c r="H273" s="29"/>
      <c r="J273" s="29"/>
      <c r="K273" s="29"/>
      <c r="L273" s="19"/>
      <c r="M273" s="19"/>
      <c r="N273" s="30"/>
      <c r="O273" s="30"/>
      <c r="P273" s="32"/>
      <c r="Q273" s="32"/>
      <c r="R273" s="32"/>
      <c r="S273" s="32"/>
      <c r="T273" s="32"/>
      <c r="U273" s="30"/>
    </row>
    <row r="274" spans="1:21">
      <c r="A274" s="29"/>
      <c r="B274" s="29"/>
      <c r="C274" s="29"/>
      <c r="D274" s="29"/>
      <c r="E274" s="29"/>
      <c r="F274" s="29"/>
      <c r="G274" s="29"/>
      <c r="H274" s="29"/>
      <c r="J274" s="29"/>
      <c r="K274" s="29"/>
      <c r="L274" s="19"/>
      <c r="M274" s="19"/>
      <c r="N274" s="30"/>
      <c r="O274" s="30"/>
      <c r="P274" s="32"/>
      <c r="Q274" s="32"/>
      <c r="R274" s="32"/>
      <c r="S274" s="32"/>
      <c r="T274" s="32"/>
      <c r="U274" s="30"/>
    </row>
    <row r="275" spans="1:21">
      <c r="A275" s="29"/>
      <c r="B275" s="29"/>
      <c r="C275" s="29"/>
      <c r="D275" s="29"/>
      <c r="E275" s="29"/>
      <c r="F275" s="29"/>
      <c r="G275" s="29"/>
      <c r="H275" s="29"/>
      <c r="J275" s="29"/>
      <c r="K275" s="29"/>
      <c r="L275" s="19"/>
      <c r="M275" s="19"/>
      <c r="N275" s="30"/>
      <c r="O275" s="30"/>
      <c r="P275" s="32"/>
      <c r="Q275" s="32"/>
      <c r="R275" s="32"/>
      <c r="S275" s="32"/>
      <c r="T275" s="32"/>
      <c r="U275" s="30"/>
    </row>
    <row r="276" spans="1:21">
      <c r="A276" s="29"/>
      <c r="B276" s="29"/>
      <c r="C276" s="29"/>
      <c r="D276" s="29"/>
      <c r="E276" s="29"/>
      <c r="F276" s="29"/>
      <c r="G276" s="29"/>
      <c r="H276" s="29"/>
      <c r="J276" s="29"/>
      <c r="K276" s="29"/>
      <c r="L276" s="19"/>
      <c r="M276" s="19"/>
      <c r="N276" s="30"/>
      <c r="O276" s="30"/>
      <c r="P276" s="32"/>
      <c r="Q276" s="32"/>
      <c r="R276" s="32"/>
      <c r="S276" s="32"/>
      <c r="T276" s="32"/>
      <c r="U276" s="30"/>
    </row>
    <row r="277" spans="1:21">
      <c r="A277" s="29"/>
      <c r="B277" s="29"/>
      <c r="C277" s="29"/>
      <c r="D277" s="29"/>
      <c r="E277" s="29"/>
      <c r="F277" s="29"/>
      <c r="G277" s="29"/>
      <c r="H277" s="29"/>
      <c r="J277" s="29"/>
      <c r="K277" s="29"/>
      <c r="L277" s="19"/>
      <c r="M277" s="19"/>
      <c r="N277" s="30"/>
      <c r="O277" s="30"/>
      <c r="P277" s="32"/>
      <c r="Q277" s="32"/>
      <c r="R277" s="32"/>
      <c r="S277" s="32"/>
      <c r="T277" s="32"/>
      <c r="U277" s="30"/>
    </row>
    <row r="278" spans="1:21">
      <c r="A278" s="29"/>
      <c r="B278" s="29"/>
      <c r="C278" s="29"/>
      <c r="D278" s="29"/>
      <c r="E278" s="29"/>
      <c r="F278" s="29"/>
      <c r="G278" s="29"/>
      <c r="H278" s="29"/>
      <c r="J278" s="29"/>
      <c r="K278" s="29"/>
      <c r="L278" s="19"/>
      <c r="M278" s="19"/>
      <c r="N278" s="30"/>
      <c r="O278" s="30"/>
      <c r="P278" s="32"/>
      <c r="Q278" s="32"/>
      <c r="R278" s="32"/>
      <c r="S278" s="32"/>
      <c r="T278" s="32"/>
      <c r="U278" s="30"/>
    </row>
    <row r="279" spans="1:21">
      <c r="A279" s="29"/>
      <c r="B279" s="29"/>
      <c r="C279" s="29"/>
      <c r="D279" s="29"/>
      <c r="E279" s="29"/>
      <c r="F279" s="29"/>
      <c r="G279" s="29"/>
      <c r="H279" s="29"/>
      <c r="J279" s="29"/>
      <c r="K279" s="29"/>
      <c r="L279" s="19"/>
      <c r="M279" s="19"/>
      <c r="N279" s="30"/>
      <c r="O279" s="30"/>
      <c r="P279" s="32"/>
      <c r="Q279" s="32"/>
      <c r="R279" s="32"/>
      <c r="S279" s="32"/>
      <c r="T279" s="32"/>
      <c r="U279" s="30"/>
    </row>
    <row r="280" spans="1:21">
      <c r="A280" s="29"/>
      <c r="B280" s="29"/>
      <c r="C280" s="29"/>
      <c r="D280" s="29"/>
      <c r="E280" s="29"/>
      <c r="F280" s="29"/>
      <c r="G280" s="29"/>
      <c r="H280" s="29"/>
      <c r="J280" s="29"/>
      <c r="K280" s="29"/>
      <c r="L280" s="19"/>
      <c r="M280" s="19"/>
      <c r="N280" s="30"/>
      <c r="O280" s="30"/>
      <c r="P280" s="32"/>
      <c r="Q280" s="32"/>
      <c r="R280" s="32"/>
      <c r="S280" s="32"/>
      <c r="T280" s="32"/>
      <c r="U280" s="30"/>
    </row>
    <row r="281" spans="1:21">
      <c r="A281" s="29"/>
      <c r="B281" s="29"/>
      <c r="C281" s="29"/>
      <c r="D281" s="29"/>
      <c r="E281" s="29"/>
      <c r="F281" s="29"/>
      <c r="G281" s="29"/>
      <c r="H281" s="29"/>
      <c r="J281" s="29"/>
      <c r="K281" s="29"/>
      <c r="L281" s="19"/>
      <c r="M281" s="19"/>
      <c r="N281" s="30"/>
      <c r="O281" s="30"/>
      <c r="P281" s="32"/>
      <c r="Q281" s="32"/>
      <c r="R281" s="32"/>
      <c r="S281" s="32"/>
      <c r="T281" s="32"/>
      <c r="U281" s="30"/>
    </row>
    <row r="282" spans="1:21">
      <c r="A282" s="29"/>
      <c r="B282" s="29"/>
      <c r="C282" s="29"/>
      <c r="D282" s="29"/>
      <c r="E282" s="29"/>
      <c r="F282" s="29"/>
      <c r="G282" s="29"/>
      <c r="H282" s="29"/>
      <c r="J282" s="29"/>
      <c r="K282" s="29"/>
      <c r="L282" s="19"/>
      <c r="M282" s="19"/>
      <c r="N282" s="30"/>
      <c r="O282" s="30"/>
      <c r="P282" s="32"/>
      <c r="Q282" s="32"/>
      <c r="R282" s="32"/>
      <c r="S282" s="32"/>
      <c r="T282" s="32"/>
      <c r="U282" s="30"/>
    </row>
    <row r="283" spans="1:21">
      <c r="A283" s="29"/>
      <c r="B283" s="29"/>
      <c r="C283" s="29"/>
      <c r="D283" s="29"/>
      <c r="E283" s="29"/>
      <c r="F283" s="29"/>
      <c r="G283" s="29"/>
      <c r="H283" s="29"/>
      <c r="J283" s="29"/>
      <c r="K283" s="29"/>
      <c r="L283" s="19"/>
      <c r="M283" s="19"/>
      <c r="N283" s="30"/>
      <c r="O283" s="30"/>
      <c r="P283" s="32"/>
      <c r="Q283" s="32"/>
      <c r="R283" s="32"/>
      <c r="S283" s="32"/>
      <c r="T283" s="32"/>
      <c r="U283" s="30"/>
    </row>
    <row r="284" spans="1:21">
      <c r="A284" s="29"/>
      <c r="B284" s="29"/>
      <c r="C284" s="29"/>
      <c r="D284" s="29"/>
      <c r="E284" s="29"/>
      <c r="F284" s="29"/>
      <c r="G284" s="29"/>
      <c r="H284" s="29"/>
      <c r="J284" s="29"/>
      <c r="K284" s="29"/>
      <c r="L284" s="19"/>
      <c r="M284" s="19"/>
      <c r="N284" s="30"/>
      <c r="O284" s="30"/>
      <c r="P284" s="32"/>
      <c r="Q284" s="32"/>
      <c r="R284" s="32"/>
      <c r="S284" s="32"/>
      <c r="T284" s="32"/>
      <c r="U284" s="30"/>
    </row>
    <row r="285" spans="1:21">
      <c r="A285" s="29"/>
      <c r="B285" s="29"/>
      <c r="C285" s="29"/>
      <c r="D285" s="29"/>
      <c r="E285" s="29"/>
      <c r="F285" s="29"/>
      <c r="G285" s="29"/>
      <c r="H285" s="29"/>
      <c r="J285" s="29"/>
      <c r="K285" s="29"/>
      <c r="L285" s="19"/>
      <c r="M285" s="19"/>
      <c r="N285" s="30"/>
      <c r="O285" s="30"/>
      <c r="P285" s="32"/>
      <c r="Q285" s="32"/>
      <c r="R285" s="32"/>
      <c r="S285" s="32"/>
      <c r="T285" s="32"/>
      <c r="U285" s="30"/>
    </row>
    <row r="286" spans="1:21">
      <c r="A286" s="29"/>
      <c r="B286" s="29"/>
      <c r="C286" s="29"/>
      <c r="D286" s="29"/>
      <c r="E286" s="29"/>
      <c r="F286" s="29"/>
      <c r="G286" s="29"/>
      <c r="H286" s="29"/>
      <c r="J286" s="29"/>
      <c r="K286" s="29"/>
      <c r="L286" s="19"/>
      <c r="M286" s="19"/>
      <c r="N286" s="30"/>
      <c r="O286" s="30"/>
      <c r="P286" s="32"/>
      <c r="Q286" s="32"/>
      <c r="R286" s="32"/>
      <c r="S286" s="32"/>
      <c r="T286" s="32"/>
      <c r="U286" s="30"/>
    </row>
    <row r="287" spans="1:21">
      <c r="A287" s="29"/>
      <c r="B287" s="29"/>
      <c r="C287" s="29"/>
      <c r="D287" s="29"/>
      <c r="E287" s="29"/>
      <c r="F287" s="29"/>
      <c r="G287" s="29"/>
      <c r="H287" s="29"/>
      <c r="J287" s="29"/>
      <c r="K287" s="29"/>
      <c r="L287" s="19"/>
      <c r="M287" s="19"/>
      <c r="N287" s="30"/>
      <c r="O287" s="30"/>
      <c r="P287" s="32"/>
      <c r="Q287" s="32"/>
      <c r="R287" s="32"/>
      <c r="S287" s="32"/>
      <c r="T287" s="32"/>
      <c r="U287" s="30"/>
    </row>
    <row r="288" spans="1:21">
      <c r="A288" s="29"/>
      <c r="B288" s="29"/>
      <c r="C288" s="29"/>
      <c r="D288" s="29"/>
      <c r="E288" s="29"/>
      <c r="F288" s="29"/>
      <c r="G288" s="29"/>
      <c r="H288" s="29"/>
      <c r="J288" s="29"/>
      <c r="K288" s="29"/>
      <c r="L288" s="19"/>
      <c r="M288" s="19"/>
      <c r="N288" s="30"/>
      <c r="O288" s="30"/>
      <c r="P288" s="32"/>
      <c r="Q288" s="32"/>
      <c r="R288" s="32"/>
      <c r="S288" s="32"/>
      <c r="T288" s="32"/>
      <c r="U288" s="30"/>
    </row>
    <row r="289" spans="1:21">
      <c r="A289" s="29"/>
      <c r="B289" s="29"/>
      <c r="C289" s="29"/>
      <c r="D289" s="29"/>
      <c r="E289" s="29"/>
      <c r="F289" s="29"/>
      <c r="G289" s="29"/>
      <c r="H289" s="29"/>
      <c r="J289" s="29"/>
      <c r="K289" s="29"/>
      <c r="L289" s="19"/>
      <c r="M289" s="19"/>
      <c r="N289" s="30"/>
      <c r="O289" s="30"/>
      <c r="P289" s="32"/>
      <c r="Q289" s="32"/>
      <c r="R289" s="32"/>
      <c r="S289" s="32"/>
      <c r="T289" s="32"/>
      <c r="U289" s="30"/>
    </row>
    <row r="290" spans="1:21">
      <c r="A290" s="29"/>
      <c r="B290" s="29"/>
      <c r="C290" s="29"/>
      <c r="D290" s="29"/>
      <c r="E290" s="29"/>
      <c r="F290" s="29"/>
      <c r="G290" s="29"/>
      <c r="H290" s="29"/>
      <c r="J290" s="29"/>
      <c r="K290" s="29"/>
      <c r="L290" s="19"/>
      <c r="M290" s="19"/>
      <c r="N290" s="30"/>
      <c r="O290" s="30"/>
      <c r="P290" s="32"/>
      <c r="Q290" s="32"/>
      <c r="R290" s="32"/>
      <c r="S290" s="32"/>
      <c r="T290" s="32"/>
      <c r="U290" s="30"/>
    </row>
    <row r="291" spans="1:21">
      <c r="A291" s="29"/>
      <c r="B291" s="29"/>
      <c r="C291" s="29"/>
      <c r="D291" s="29"/>
      <c r="E291" s="29"/>
      <c r="F291" s="29"/>
      <c r="G291" s="29"/>
      <c r="H291" s="29"/>
      <c r="J291" s="29"/>
      <c r="K291" s="29"/>
      <c r="L291" s="19"/>
      <c r="M291" s="19"/>
      <c r="N291" s="30"/>
      <c r="O291" s="30"/>
      <c r="P291" s="32"/>
      <c r="Q291" s="32"/>
      <c r="R291" s="32"/>
      <c r="S291" s="32"/>
      <c r="T291" s="32"/>
      <c r="U291" s="30"/>
    </row>
    <row r="292" spans="1:21">
      <c r="A292" s="29"/>
      <c r="B292" s="29"/>
      <c r="C292" s="29"/>
      <c r="D292" s="29"/>
      <c r="E292" s="29"/>
      <c r="F292" s="29"/>
      <c r="G292" s="29"/>
      <c r="H292" s="29"/>
      <c r="J292" s="29"/>
      <c r="K292" s="29"/>
      <c r="L292" s="19"/>
      <c r="M292" s="19"/>
      <c r="N292" s="30"/>
      <c r="O292" s="30"/>
      <c r="P292" s="32"/>
      <c r="Q292" s="32"/>
      <c r="R292" s="32"/>
      <c r="S292" s="32"/>
      <c r="T292" s="32"/>
      <c r="U292" s="30"/>
    </row>
    <row r="293" spans="1:21">
      <c r="A293" s="29"/>
      <c r="B293" s="29"/>
      <c r="C293" s="29"/>
      <c r="D293" s="29"/>
      <c r="E293" s="29"/>
      <c r="F293" s="29"/>
      <c r="G293" s="29"/>
      <c r="H293" s="29"/>
      <c r="J293" s="29"/>
      <c r="K293" s="29"/>
      <c r="L293" s="19"/>
      <c r="M293" s="19"/>
      <c r="N293" s="30"/>
      <c r="O293" s="30"/>
      <c r="P293" s="32"/>
      <c r="Q293" s="32"/>
      <c r="R293" s="32"/>
      <c r="S293" s="32"/>
      <c r="T293" s="32"/>
      <c r="U293" s="30"/>
    </row>
    <row r="294" spans="1:21">
      <c r="A294" s="29"/>
      <c r="B294" s="29"/>
      <c r="C294" s="29"/>
      <c r="D294" s="29"/>
      <c r="E294" s="29"/>
      <c r="F294" s="29"/>
      <c r="G294" s="29"/>
      <c r="H294" s="29"/>
      <c r="J294" s="29"/>
      <c r="K294" s="29"/>
      <c r="L294" s="19"/>
      <c r="M294" s="19"/>
      <c r="N294" s="30"/>
      <c r="O294" s="30"/>
      <c r="P294" s="32"/>
      <c r="Q294" s="32"/>
      <c r="R294" s="32"/>
      <c r="S294" s="32"/>
      <c r="T294" s="32"/>
      <c r="U294" s="30"/>
    </row>
    <row r="295" spans="1:21">
      <c r="A295" s="29"/>
      <c r="B295" s="29"/>
      <c r="C295" s="29"/>
      <c r="D295" s="29"/>
      <c r="E295" s="29"/>
      <c r="F295" s="29"/>
      <c r="G295" s="29"/>
      <c r="H295" s="29"/>
      <c r="J295" s="29"/>
      <c r="K295" s="29"/>
      <c r="L295" s="19"/>
      <c r="M295" s="19"/>
      <c r="N295" s="30"/>
      <c r="O295" s="30"/>
      <c r="P295" s="32"/>
      <c r="Q295" s="32"/>
      <c r="R295" s="32"/>
      <c r="S295" s="32"/>
      <c r="T295" s="32"/>
      <c r="U295" s="30"/>
    </row>
    <row r="296" spans="1:21">
      <c r="A296" s="29"/>
      <c r="B296" s="29"/>
      <c r="C296" s="29"/>
      <c r="D296" s="29"/>
      <c r="E296" s="29"/>
      <c r="F296" s="29"/>
      <c r="G296" s="29"/>
      <c r="H296" s="29"/>
      <c r="J296" s="29"/>
      <c r="K296" s="29"/>
      <c r="L296" s="19"/>
      <c r="M296" s="19"/>
      <c r="N296" s="30"/>
      <c r="O296" s="30"/>
      <c r="P296" s="32"/>
      <c r="Q296" s="32"/>
      <c r="R296" s="32"/>
      <c r="S296" s="32"/>
      <c r="T296" s="32"/>
      <c r="U296" s="30"/>
    </row>
    <row r="297" spans="1:21">
      <c r="A297" s="29"/>
      <c r="B297" s="29"/>
      <c r="C297" s="29"/>
      <c r="D297" s="29"/>
      <c r="E297" s="29"/>
      <c r="F297" s="29"/>
      <c r="G297" s="29"/>
      <c r="H297" s="29"/>
      <c r="J297" s="29"/>
      <c r="K297" s="29"/>
      <c r="L297" s="19"/>
      <c r="M297" s="19"/>
      <c r="N297" s="30"/>
      <c r="O297" s="30"/>
      <c r="P297" s="32"/>
      <c r="Q297" s="32"/>
      <c r="R297" s="32"/>
      <c r="S297" s="32"/>
      <c r="T297" s="32"/>
      <c r="U297" s="30"/>
    </row>
    <row r="298" spans="1:21">
      <c r="A298" s="29"/>
      <c r="B298" s="29"/>
      <c r="C298" s="29"/>
      <c r="D298" s="29"/>
      <c r="E298" s="29"/>
      <c r="F298" s="29"/>
      <c r="G298" s="29"/>
      <c r="H298" s="29"/>
      <c r="J298" s="29"/>
      <c r="K298" s="29"/>
      <c r="L298" s="19"/>
      <c r="M298" s="19"/>
      <c r="N298" s="30"/>
      <c r="O298" s="30"/>
      <c r="P298" s="32"/>
      <c r="Q298" s="32"/>
      <c r="R298" s="32"/>
      <c r="S298" s="32"/>
      <c r="T298" s="32"/>
      <c r="U298" s="30"/>
    </row>
    <row r="299" spans="1:21">
      <c r="A299" s="29"/>
      <c r="B299" s="29"/>
      <c r="C299" s="29"/>
      <c r="D299" s="29"/>
      <c r="E299" s="29"/>
      <c r="F299" s="29"/>
      <c r="G299" s="29"/>
      <c r="H299" s="29"/>
      <c r="J299" s="29"/>
      <c r="K299" s="29"/>
      <c r="L299" s="19"/>
      <c r="M299" s="19"/>
      <c r="N299" s="30"/>
      <c r="O299" s="30"/>
      <c r="P299" s="32"/>
      <c r="Q299" s="32"/>
      <c r="R299" s="32"/>
      <c r="S299" s="32"/>
      <c r="T299" s="32"/>
      <c r="U299" s="30"/>
    </row>
    <row r="300" spans="1:21">
      <c r="A300" s="29"/>
      <c r="B300" s="29"/>
      <c r="C300" s="29"/>
      <c r="D300" s="29"/>
      <c r="E300" s="29"/>
      <c r="F300" s="29"/>
      <c r="G300" s="29"/>
      <c r="H300" s="29"/>
      <c r="J300" s="29"/>
      <c r="K300" s="29"/>
      <c r="L300" s="19"/>
      <c r="M300" s="19"/>
      <c r="N300" s="30"/>
      <c r="O300" s="30"/>
      <c r="P300" s="32"/>
      <c r="Q300" s="32"/>
      <c r="R300" s="32"/>
      <c r="S300" s="32"/>
      <c r="T300" s="32"/>
      <c r="U300" s="30"/>
    </row>
    <row r="301" spans="1:21">
      <c r="A301" s="29"/>
      <c r="B301" s="29"/>
      <c r="C301" s="29"/>
      <c r="D301" s="29"/>
      <c r="E301" s="29"/>
      <c r="F301" s="29"/>
      <c r="G301" s="29"/>
      <c r="H301" s="29"/>
      <c r="J301" s="29"/>
      <c r="K301" s="29"/>
      <c r="L301" s="19"/>
      <c r="M301" s="19"/>
      <c r="N301" s="30"/>
      <c r="O301" s="30"/>
      <c r="P301" s="32"/>
      <c r="Q301" s="32"/>
      <c r="R301" s="32"/>
      <c r="S301" s="32"/>
      <c r="T301" s="32"/>
      <c r="U301" s="30"/>
    </row>
    <row r="302" spans="1:21">
      <c r="A302" s="29"/>
      <c r="B302" s="29"/>
      <c r="C302" s="29"/>
      <c r="D302" s="29"/>
      <c r="E302" s="29"/>
      <c r="F302" s="29"/>
      <c r="G302" s="29"/>
      <c r="H302" s="29"/>
      <c r="J302" s="29"/>
      <c r="K302" s="29"/>
      <c r="L302" s="19"/>
      <c r="M302" s="19"/>
      <c r="N302" s="30"/>
      <c r="O302" s="30"/>
      <c r="P302" s="32"/>
      <c r="Q302" s="32"/>
      <c r="R302" s="32"/>
      <c r="S302" s="32"/>
      <c r="T302" s="32"/>
      <c r="U302" s="30"/>
    </row>
    <row r="303" spans="1:21">
      <c r="A303" s="29"/>
      <c r="B303" s="29"/>
      <c r="C303" s="29"/>
      <c r="D303" s="29"/>
      <c r="E303" s="29"/>
      <c r="F303" s="29"/>
      <c r="G303" s="29"/>
      <c r="H303" s="29"/>
      <c r="J303" s="29"/>
      <c r="K303" s="29"/>
      <c r="L303" s="19"/>
      <c r="M303" s="19"/>
      <c r="N303" s="30"/>
      <c r="O303" s="30"/>
      <c r="P303" s="32"/>
      <c r="Q303" s="32"/>
      <c r="R303" s="32"/>
      <c r="S303" s="32"/>
      <c r="T303" s="32"/>
      <c r="U303" s="30"/>
    </row>
    <row r="304" spans="1:21">
      <c r="A304" s="29"/>
      <c r="B304" s="29"/>
      <c r="C304" s="29"/>
      <c r="D304" s="29"/>
      <c r="E304" s="29"/>
      <c r="F304" s="29"/>
      <c r="G304" s="29"/>
      <c r="H304" s="29"/>
      <c r="J304" s="29"/>
      <c r="K304" s="29"/>
      <c r="L304" s="19"/>
      <c r="M304" s="19"/>
      <c r="N304" s="30"/>
      <c r="O304" s="31"/>
      <c r="P304" s="32"/>
      <c r="Q304" s="32"/>
      <c r="R304" s="32"/>
      <c r="S304" s="32"/>
      <c r="T304" s="32"/>
      <c r="U304" s="30"/>
    </row>
    <row r="305" spans="1:21">
      <c r="A305" s="29"/>
      <c r="B305" s="29"/>
      <c r="C305" s="29"/>
      <c r="D305" s="29"/>
      <c r="E305" s="29"/>
      <c r="F305" s="29"/>
      <c r="G305" s="29"/>
      <c r="H305" s="29"/>
      <c r="J305" s="29"/>
      <c r="K305" s="29"/>
      <c r="L305" s="19"/>
      <c r="M305" s="19"/>
      <c r="N305" s="30"/>
      <c r="O305" s="30"/>
      <c r="P305" s="32"/>
      <c r="Q305" s="32"/>
      <c r="R305" s="32"/>
      <c r="S305" s="32"/>
      <c r="T305" s="32"/>
      <c r="U305" s="30"/>
    </row>
    <row r="306" spans="1:21">
      <c r="A306" s="29"/>
      <c r="B306" s="29"/>
      <c r="C306" s="29"/>
      <c r="D306" s="29"/>
      <c r="E306" s="29"/>
      <c r="F306" s="29"/>
      <c r="G306" s="29"/>
      <c r="H306" s="29"/>
      <c r="J306" s="29"/>
      <c r="K306" s="29"/>
      <c r="L306" s="19"/>
      <c r="M306" s="19"/>
      <c r="N306" s="30"/>
      <c r="O306" s="30"/>
      <c r="P306" s="32"/>
      <c r="Q306" s="32"/>
      <c r="R306" s="32"/>
      <c r="S306" s="32"/>
      <c r="T306" s="32"/>
      <c r="U306" s="30"/>
    </row>
    <row r="307" spans="1:21">
      <c r="A307" s="29"/>
      <c r="B307" s="29"/>
      <c r="C307" s="29"/>
      <c r="D307" s="29"/>
      <c r="E307" s="29"/>
      <c r="F307" s="29"/>
      <c r="G307" s="29"/>
      <c r="H307" s="29"/>
      <c r="J307" s="29"/>
      <c r="K307" s="29"/>
      <c r="L307" s="19"/>
      <c r="M307" s="19"/>
      <c r="N307" s="30"/>
      <c r="O307" s="30"/>
      <c r="P307" s="32"/>
      <c r="Q307" s="32"/>
      <c r="R307" s="32"/>
      <c r="S307" s="32"/>
      <c r="T307" s="32"/>
      <c r="U307" s="30"/>
    </row>
    <row r="308" spans="1:21">
      <c r="A308" s="29"/>
      <c r="B308" s="29"/>
      <c r="C308" s="29"/>
      <c r="D308" s="29"/>
      <c r="E308" s="29"/>
      <c r="F308" s="29"/>
      <c r="G308" s="29"/>
      <c r="H308" s="29"/>
      <c r="J308" s="29"/>
      <c r="K308" s="29"/>
      <c r="L308" s="19"/>
      <c r="M308" s="19"/>
      <c r="N308" s="30"/>
      <c r="O308" s="30"/>
      <c r="P308" s="32"/>
      <c r="Q308" s="32"/>
      <c r="R308" s="32"/>
      <c r="S308" s="32"/>
      <c r="T308" s="32"/>
      <c r="U308" s="30"/>
    </row>
    <row r="309" spans="1:21">
      <c r="A309" s="29"/>
      <c r="B309" s="29"/>
      <c r="C309" s="29"/>
      <c r="D309" s="29"/>
      <c r="E309" s="29"/>
      <c r="F309" s="29"/>
      <c r="G309" s="29"/>
      <c r="H309" s="29"/>
      <c r="J309" s="29"/>
      <c r="K309" s="29"/>
      <c r="L309" s="19"/>
      <c r="M309" s="19"/>
      <c r="N309" s="30"/>
      <c r="O309" s="30"/>
      <c r="P309" s="32"/>
      <c r="Q309" s="32"/>
      <c r="R309" s="32"/>
      <c r="S309" s="32"/>
      <c r="T309" s="32"/>
      <c r="U309" s="30"/>
    </row>
    <row r="310" spans="1:21">
      <c r="A310" s="29"/>
      <c r="B310" s="29"/>
      <c r="C310" s="29"/>
      <c r="D310" s="29"/>
      <c r="E310" s="29"/>
      <c r="F310" s="29"/>
      <c r="G310" s="29"/>
      <c r="H310" s="29"/>
      <c r="J310" s="29"/>
      <c r="K310" s="29"/>
      <c r="L310" s="19"/>
      <c r="M310" s="19"/>
      <c r="N310" s="30"/>
      <c r="O310" s="30"/>
      <c r="P310" s="32"/>
      <c r="Q310" s="32"/>
      <c r="R310" s="32"/>
      <c r="S310" s="32"/>
      <c r="T310" s="32"/>
      <c r="U310" s="30"/>
    </row>
    <row r="311" spans="1:21">
      <c r="A311" s="29"/>
      <c r="B311" s="29"/>
      <c r="C311" s="29"/>
      <c r="D311" s="29"/>
      <c r="E311" s="29"/>
      <c r="F311" s="29"/>
      <c r="G311" s="29"/>
      <c r="H311" s="29"/>
      <c r="J311" s="29"/>
      <c r="K311" s="29"/>
      <c r="L311" s="19"/>
      <c r="M311" s="19"/>
      <c r="N311" s="30"/>
      <c r="O311" s="30"/>
      <c r="P311" s="32"/>
      <c r="Q311" s="32"/>
      <c r="R311" s="32"/>
      <c r="S311" s="32"/>
      <c r="T311" s="32"/>
      <c r="U311" s="30"/>
    </row>
    <row r="312" spans="1:21">
      <c r="A312" s="29"/>
      <c r="B312" s="29"/>
      <c r="C312" s="29"/>
      <c r="D312" s="29"/>
      <c r="E312" s="29"/>
      <c r="F312" s="29"/>
      <c r="G312" s="29"/>
      <c r="H312" s="29"/>
      <c r="J312" s="29"/>
      <c r="K312" s="29"/>
      <c r="L312" s="19"/>
      <c r="M312" s="19"/>
      <c r="N312" s="30"/>
      <c r="O312" s="30"/>
      <c r="P312" s="32"/>
      <c r="Q312" s="32"/>
      <c r="R312" s="32"/>
      <c r="S312" s="32"/>
      <c r="T312" s="32"/>
      <c r="U312" s="30"/>
    </row>
    <row r="313" spans="1:21">
      <c r="A313" s="29"/>
      <c r="B313" s="29"/>
      <c r="C313" s="29"/>
      <c r="D313" s="29"/>
      <c r="E313" s="29"/>
      <c r="F313" s="29"/>
      <c r="G313" s="29"/>
      <c r="H313" s="29"/>
      <c r="J313" s="29"/>
      <c r="K313" s="29"/>
      <c r="L313" s="19"/>
      <c r="M313" s="19"/>
      <c r="N313" s="30"/>
      <c r="O313" s="30"/>
      <c r="P313" s="32"/>
      <c r="Q313" s="32"/>
      <c r="R313" s="32"/>
      <c r="S313" s="32"/>
      <c r="T313" s="32"/>
      <c r="U313" s="30"/>
    </row>
    <row r="314" spans="1:21">
      <c r="A314" s="29"/>
      <c r="B314" s="29"/>
      <c r="C314" s="29"/>
      <c r="D314" s="29"/>
      <c r="E314" s="29"/>
      <c r="F314" s="29"/>
      <c r="G314" s="29"/>
      <c r="H314" s="29"/>
      <c r="J314" s="29"/>
      <c r="K314" s="29"/>
      <c r="L314" s="19"/>
      <c r="M314" s="19"/>
      <c r="N314" s="30"/>
      <c r="O314" s="30"/>
      <c r="P314" s="32"/>
      <c r="Q314" s="32"/>
      <c r="R314" s="32"/>
      <c r="S314" s="32"/>
      <c r="T314" s="32"/>
      <c r="U314" s="30"/>
    </row>
    <row r="315" spans="1:21">
      <c r="A315" s="29"/>
      <c r="B315" s="29"/>
      <c r="C315" s="29"/>
      <c r="D315" s="29"/>
      <c r="E315" s="29"/>
      <c r="F315" s="29"/>
      <c r="G315" s="29"/>
      <c r="H315" s="29"/>
      <c r="J315" s="29"/>
      <c r="K315" s="29"/>
      <c r="L315" s="19"/>
      <c r="M315" s="19"/>
      <c r="N315" s="30"/>
      <c r="O315" s="30"/>
      <c r="P315" s="32"/>
      <c r="Q315" s="32"/>
      <c r="R315" s="32"/>
      <c r="S315" s="32"/>
      <c r="T315" s="32"/>
      <c r="U315" s="30"/>
    </row>
    <row r="316" spans="1:21">
      <c r="A316" s="29"/>
      <c r="B316" s="29"/>
      <c r="C316" s="29"/>
      <c r="D316" s="29"/>
      <c r="E316" s="29"/>
      <c r="F316" s="29"/>
      <c r="G316" s="29"/>
      <c r="H316" s="29"/>
      <c r="J316" s="29"/>
      <c r="K316" s="29"/>
      <c r="L316" s="19"/>
      <c r="M316" s="19"/>
      <c r="N316" s="30"/>
      <c r="O316" s="30"/>
      <c r="P316" s="32"/>
      <c r="Q316" s="32"/>
      <c r="R316" s="32"/>
      <c r="S316" s="32"/>
      <c r="T316" s="32"/>
      <c r="U316" s="30"/>
    </row>
    <row r="317" spans="1:21">
      <c r="A317" s="29"/>
      <c r="B317" s="29"/>
      <c r="C317" s="29"/>
      <c r="D317" s="29"/>
      <c r="E317" s="29"/>
      <c r="F317" s="29"/>
      <c r="G317" s="29"/>
      <c r="H317" s="29"/>
      <c r="J317" s="29"/>
      <c r="K317" s="29"/>
      <c r="L317" s="19"/>
      <c r="M317" s="19"/>
      <c r="N317" s="30"/>
      <c r="O317" s="30"/>
      <c r="P317" s="32"/>
      <c r="Q317" s="32"/>
      <c r="R317" s="32"/>
      <c r="S317" s="32"/>
      <c r="T317" s="32"/>
      <c r="U317" s="30"/>
    </row>
    <row r="318" spans="1:21">
      <c r="A318" s="29"/>
      <c r="B318" s="29"/>
      <c r="C318" s="29"/>
      <c r="D318" s="29"/>
      <c r="E318" s="29"/>
      <c r="F318" s="29"/>
      <c r="G318" s="29"/>
      <c r="H318" s="29"/>
      <c r="J318" s="29"/>
      <c r="K318" s="29"/>
      <c r="L318" s="19"/>
      <c r="M318" s="19"/>
      <c r="N318" s="30"/>
      <c r="O318" s="30"/>
      <c r="P318" s="32"/>
      <c r="Q318" s="32"/>
      <c r="R318" s="32"/>
      <c r="S318" s="32"/>
      <c r="T318" s="32"/>
      <c r="U318" s="30"/>
    </row>
    <row r="319" spans="1:21">
      <c r="A319" s="29"/>
      <c r="B319" s="29"/>
      <c r="C319" s="29"/>
      <c r="D319" s="29"/>
      <c r="E319" s="29"/>
      <c r="F319" s="29"/>
      <c r="G319" s="29"/>
      <c r="H319" s="29"/>
      <c r="J319" s="29"/>
      <c r="K319" s="29"/>
      <c r="L319" s="19"/>
      <c r="M319" s="19"/>
      <c r="N319" s="30"/>
      <c r="O319" s="30"/>
      <c r="P319" s="32"/>
      <c r="Q319" s="32"/>
      <c r="R319" s="32"/>
      <c r="S319" s="32"/>
      <c r="T319" s="32"/>
      <c r="U319" s="30"/>
    </row>
    <row r="320" spans="1:21">
      <c r="A320" s="29"/>
      <c r="B320" s="29"/>
      <c r="C320" s="29"/>
      <c r="D320" s="29"/>
      <c r="E320" s="29"/>
      <c r="F320" s="29"/>
      <c r="G320" s="29"/>
      <c r="H320" s="29"/>
      <c r="J320" s="29"/>
      <c r="K320" s="29"/>
      <c r="L320" s="19"/>
      <c r="M320" s="19"/>
      <c r="N320" s="30"/>
      <c r="O320" s="30"/>
      <c r="P320" s="32"/>
      <c r="Q320" s="32"/>
      <c r="R320" s="32"/>
      <c r="S320" s="32"/>
      <c r="T320" s="32"/>
      <c r="U320" s="30"/>
    </row>
    <row r="321" spans="1:21">
      <c r="A321" s="29"/>
      <c r="B321" s="29"/>
      <c r="C321" s="29"/>
      <c r="D321" s="29"/>
      <c r="E321" s="29"/>
      <c r="F321" s="29"/>
      <c r="G321" s="29"/>
      <c r="H321" s="29"/>
      <c r="J321" s="29"/>
      <c r="K321" s="29"/>
      <c r="L321" s="19"/>
      <c r="M321" s="19"/>
      <c r="N321" s="30"/>
      <c r="O321" s="30"/>
      <c r="P321" s="32"/>
      <c r="Q321" s="32"/>
      <c r="R321" s="32"/>
      <c r="S321" s="32"/>
      <c r="T321" s="32"/>
      <c r="U321" s="30"/>
    </row>
    <row r="322" spans="1:21">
      <c r="A322" s="29"/>
      <c r="B322" s="29"/>
      <c r="C322" s="29"/>
      <c r="D322" s="29"/>
      <c r="E322" s="29"/>
      <c r="F322" s="29"/>
      <c r="G322" s="29"/>
      <c r="H322" s="29"/>
      <c r="J322" s="29"/>
      <c r="K322" s="29"/>
      <c r="L322" s="19"/>
      <c r="M322" s="19"/>
      <c r="N322" s="30"/>
      <c r="O322" s="30"/>
      <c r="P322" s="32"/>
      <c r="Q322" s="32"/>
      <c r="R322" s="32"/>
      <c r="S322" s="32"/>
      <c r="T322" s="32"/>
      <c r="U322" s="30"/>
    </row>
    <row r="323" spans="1:21">
      <c r="A323" s="29"/>
      <c r="B323" s="29"/>
      <c r="C323" s="29"/>
      <c r="D323" s="29"/>
      <c r="E323" s="29"/>
      <c r="F323" s="29"/>
      <c r="G323" s="29"/>
      <c r="H323" s="29"/>
      <c r="J323" s="29"/>
      <c r="K323" s="29"/>
      <c r="L323" s="19"/>
      <c r="M323" s="19"/>
      <c r="N323" s="30"/>
      <c r="O323" s="30"/>
      <c r="P323" s="32"/>
      <c r="Q323" s="32"/>
      <c r="R323" s="32"/>
      <c r="S323" s="32"/>
      <c r="T323" s="32"/>
      <c r="U323" s="30"/>
    </row>
    <row r="324" spans="1:21">
      <c r="A324" s="29"/>
      <c r="B324" s="29"/>
      <c r="C324" s="29"/>
      <c r="D324" s="29"/>
      <c r="E324" s="29"/>
      <c r="F324" s="29"/>
      <c r="G324" s="29"/>
      <c r="H324" s="29"/>
      <c r="J324" s="29"/>
      <c r="K324" s="29"/>
      <c r="L324" s="19"/>
      <c r="M324" s="19"/>
      <c r="N324" s="30"/>
      <c r="O324" s="30"/>
      <c r="P324" s="32"/>
      <c r="Q324" s="32"/>
      <c r="R324" s="32"/>
      <c r="S324" s="32"/>
      <c r="T324" s="32"/>
      <c r="U324" s="30"/>
    </row>
    <row r="325" spans="1:21">
      <c r="A325" s="29"/>
      <c r="B325" s="29"/>
      <c r="C325" s="29"/>
      <c r="D325" s="29"/>
      <c r="E325" s="29"/>
      <c r="F325" s="29"/>
      <c r="G325" s="29"/>
      <c r="H325" s="29"/>
      <c r="J325" s="29"/>
      <c r="K325" s="29"/>
      <c r="L325" s="19"/>
      <c r="M325" s="19"/>
      <c r="N325" s="30"/>
      <c r="O325" s="30"/>
      <c r="P325" s="32"/>
      <c r="Q325" s="32"/>
      <c r="R325" s="32"/>
      <c r="S325" s="32"/>
      <c r="T325" s="32"/>
      <c r="U325" s="30"/>
    </row>
    <row r="326" spans="1:21">
      <c r="A326" s="29"/>
      <c r="B326" s="29"/>
      <c r="C326" s="29"/>
      <c r="D326" s="29"/>
      <c r="E326" s="29"/>
      <c r="F326" s="29"/>
      <c r="G326" s="29"/>
      <c r="H326" s="29"/>
      <c r="J326" s="29"/>
      <c r="K326" s="29"/>
      <c r="L326" s="19"/>
      <c r="M326" s="19"/>
      <c r="N326" s="30"/>
      <c r="O326" s="30"/>
      <c r="P326" s="32"/>
      <c r="Q326" s="32"/>
      <c r="R326" s="32"/>
      <c r="S326" s="32"/>
      <c r="T326" s="32"/>
      <c r="U326" s="30"/>
    </row>
    <row r="327" spans="1:21">
      <c r="A327" s="29"/>
      <c r="B327" s="29"/>
      <c r="C327" s="29"/>
      <c r="D327" s="29"/>
      <c r="E327" s="29"/>
      <c r="F327" s="29"/>
      <c r="G327" s="29"/>
      <c r="H327" s="29"/>
      <c r="J327" s="29"/>
      <c r="K327" s="29"/>
      <c r="L327" s="19"/>
      <c r="M327" s="19"/>
      <c r="N327" s="30"/>
      <c r="O327" s="30"/>
      <c r="P327" s="32"/>
      <c r="Q327" s="32"/>
      <c r="R327" s="32"/>
      <c r="S327" s="32"/>
      <c r="T327" s="32"/>
      <c r="U327" s="30"/>
    </row>
    <row r="328" spans="1:21">
      <c r="A328" s="29"/>
      <c r="B328" s="29"/>
      <c r="C328" s="29"/>
      <c r="D328" s="29"/>
      <c r="E328" s="29"/>
      <c r="F328" s="29"/>
      <c r="G328" s="29"/>
      <c r="H328" s="29"/>
      <c r="J328" s="29"/>
      <c r="K328" s="29"/>
      <c r="L328" s="19"/>
      <c r="M328" s="19"/>
      <c r="N328" s="30"/>
      <c r="O328" s="30"/>
      <c r="P328" s="32"/>
      <c r="Q328" s="32"/>
      <c r="R328" s="32"/>
      <c r="S328" s="32"/>
      <c r="T328" s="32"/>
      <c r="U328" s="30"/>
    </row>
    <row r="329" spans="1:21">
      <c r="A329" s="29"/>
      <c r="B329" s="29"/>
      <c r="C329" s="29"/>
      <c r="D329" s="29"/>
      <c r="E329" s="29"/>
      <c r="F329" s="29"/>
      <c r="G329" s="29"/>
      <c r="H329" s="29"/>
      <c r="J329" s="29"/>
      <c r="K329" s="29"/>
      <c r="L329" s="19"/>
      <c r="M329" s="19"/>
      <c r="N329" s="30"/>
      <c r="O329" s="30"/>
      <c r="P329" s="32"/>
      <c r="Q329" s="32"/>
      <c r="R329" s="32"/>
      <c r="S329" s="32"/>
      <c r="T329" s="32"/>
      <c r="U329" s="30"/>
    </row>
    <row r="330" spans="1:21">
      <c r="A330" s="29"/>
      <c r="B330" s="29"/>
      <c r="C330" s="29"/>
      <c r="D330" s="29"/>
      <c r="E330" s="29"/>
      <c r="F330" s="29"/>
      <c r="G330" s="29"/>
      <c r="H330" s="29"/>
      <c r="J330" s="29"/>
      <c r="K330" s="29"/>
      <c r="L330" s="19"/>
      <c r="M330" s="19"/>
      <c r="N330" s="30"/>
      <c r="O330" s="30"/>
      <c r="P330" s="32"/>
      <c r="Q330" s="32"/>
      <c r="R330" s="32"/>
      <c r="S330" s="32"/>
      <c r="T330" s="32"/>
      <c r="U330" s="30"/>
    </row>
    <row r="331" spans="1:21">
      <c r="A331" s="29"/>
      <c r="B331" s="29"/>
      <c r="C331" s="29"/>
      <c r="D331" s="29"/>
      <c r="E331" s="29"/>
      <c r="F331" s="29"/>
      <c r="G331" s="29"/>
      <c r="H331" s="29"/>
      <c r="J331" s="29"/>
      <c r="K331" s="29"/>
      <c r="L331" s="19"/>
      <c r="M331" s="19"/>
      <c r="N331" s="30"/>
      <c r="O331" s="31"/>
      <c r="P331" s="32"/>
      <c r="Q331" s="32"/>
      <c r="R331" s="32"/>
      <c r="S331" s="32"/>
      <c r="T331" s="32"/>
      <c r="U331" s="30"/>
    </row>
    <row r="332" spans="1:21">
      <c r="A332" s="29"/>
      <c r="B332" s="29"/>
      <c r="C332" s="29"/>
      <c r="D332" s="29"/>
      <c r="E332" s="29"/>
      <c r="F332" s="29"/>
      <c r="G332" s="29"/>
      <c r="H332" s="29"/>
      <c r="J332" s="29"/>
      <c r="K332" s="29"/>
      <c r="L332" s="19"/>
      <c r="M332" s="19"/>
      <c r="N332" s="30"/>
      <c r="O332" s="30"/>
      <c r="P332" s="32"/>
      <c r="Q332" s="32"/>
      <c r="R332" s="32"/>
      <c r="S332" s="32"/>
      <c r="T332" s="32"/>
      <c r="U332" s="30"/>
    </row>
    <row r="333" spans="1:21">
      <c r="A333" s="29"/>
      <c r="B333" s="29"/>
      <c r="C333" s="29"/>
      <c r="D333" s="29"/>
      <c r="E333" s="29"/>
      <c r="F333" s="29"/>
      <c r="G333" s="29"/>
      <c r="H333" s="29"/>
      <c r="J333" s="29"/>
      <c r="K333" s="29"/>
      <c r="L333" s="19"/>
      <c r="M333" s="19"/>
      <c r="N333" s="30"/>
      <c r="O333" s="30"/>
      <c r="P333" s="32"/>
      <c r="Q333" s="32"/>
      <c r="R333" s="32"/>
      <c r="S333" s="32"/>
      <c r="T333" s="32"/>
      <c r="U333" s="30"/>
    </row>
    <row r="334" spans="1:21">
      <c r="A334" s="29"/>
      <c r="B334" s="29"/>
      <c r="C334" s="29"/>
      <c r="D334" s="29"/>
      <c r="E334" s="29"/>
      <c r="F334" s="29"/>
      <c r="G334" s="29"/>
      <c r="H334" s="29"/>
      <c r="J334" s="29"/>
      <c r="K334" s="29"/>
      <c r="L334" s="19"/>
      <c r="M334" s="19"/>
      <c r="N334" s="30"/>
      <c r="O334" s="31"/>
      <c r="P334" s="32"/>
      <c r="Q334" s="32"/>
      <c r="R334" s="32"/>
      <c r="S334" s="32"/>
      <c r="T334" s="32"/>
      <c r="U334" s="30"/>
    </row>
    <row r="335" spans="1:21">
      <c r="A335" s="29"/>
      <c r="B335" s="29"/>
      <c r="C335" s="29"/>
      <c r="D335" s="29"/>
      <c r="E335" s="29"/>
      <c r="F335" s="29"/>
      <c r="G335" s="29"/>
      <c r="H335" s="29"/>
      <c r="J335" s="29"/>
      <c r="K335" s="29"/>
      <c r="L335" s="19"/>
      <c r="M335" s="19"/>
      <c r="N335" s="30"/>
      <c r="O335" s="30"/>
      <c r="P335" s="32"/>
      <c r="Q335" s="32"/>
      <c r="R335" s="32"/>
      <c r="S335" s="32"/>
      <c r="T335" s="32"/>
      <c r="U335" s="30"/>
    </row>
    <row r="336" spans="1:21">
      <c r="A336" s="29"/>
      <c r="B336" s="29"/>
      <c r="C336" s="29"/>
      <c r="D336" s="29"/>
      <c r="E336" s="29"/>
      <c r="F336" s="29"/>
      <c r="G336" s="29"/>
      <c r="H336" s="29"/>
      <c r="J336" s="29"/>
      <c r="K336" s="29"/>
      <c r="L336" s="19"/>
      <c r="M336" s="19"/>
      <c r="N336" s="30"/>
      <c r="O336" s="30"/>
      <c r="P336" s="32"/>
      <c r="Q336" s="32"/>
      <c r="R336" s="32"/>
      <c r="S336" s="32"/>
      <c r="T336" s="32"/>
      <c r="U336" s="30"/>
    </row>
    <row r="337" spans="1:21">
      <c r="A337" s="29"/>
      <c r="B337" s="29"/>
      <c r="C337" s="29"/>
      <c r="D337" s="29"/>
      <c r="E337" s="29"/>
      <c r="F337" s="29"/>
      <c r="G337" s="29"/>
      <c r="H337" s="29"/>
      <c r="J337" s="29"/>
      <c r="K337" s="29"/>
      <c r="L337" s="19"/>
      <c r="M337" s="19"/>
      <c r="N337" s="30"/>
      <c r="O337" s="30"/>
      <c r="P337" s="32"/>
      <c r="Q337" s="32"/>
      <c r="R337" s="32"/>
      <c r="S337" s="32"/>
      <c r="T337" s="32"/>
      <c r="U337" s="30"/>
    </row>
    <row r="338" spans="1:21">
      <c r="A338" s="29"/>
      <c r="B338" s="29"/>
      <c r="C338" s="29"/>
      <c r="D338" s="29"/>
      <c r="E338" s="29"/>
      <c r="F338" s="29"/>
      <c r="G338" s="29"/>
      <c r="H338" s="29"/>
      <c r="J338" s="29"/>
      <c r="K338" s="29"/>
      <c r="L338" s="19"/>
      <c r="M338" s="19"/>
      <c r="N338" s="30"/>
      <c r="O338" s="30"/>
      <c r="P338" s="32"/>
      <c r="Q338" s="32"/>
      <c r="R338" s="32"/>
      <c r="S338" s="32"/>
      <c r="T338" s="32"/>
      <c r="U338" s="30"/>
    </row>
    <row r="339" spans="1:21">
      <c r="A339" s="29"/>
      <c r="B339" s="29"/>
      <c r="C339" s="29"/>
      <c r="D339" s="29"/>
      <c r="E339" s="29"/>
      <c r="F339" s="29"/>
      <c r="G339" s="29"/>
      <c r="H339" s="29"/>
      <c r="J339" s="29"/>
      <c r="K339" s="29"/>
      <c r="L339" s="19"/>
      <c r="M339" s="19"/>
      <c r="N339" s="30"/>
      <c r="O339" s="30"/>
      <c r="P339" s="32"/>
      <c r="Q339" s="32"/>
      <c r="R339" s="32"/>
      <c r="S339" s="32"/>
      <c r="T339" s="32"/>
      <c r="U339" s="30"/>
    </row>
    <row r="340" spans="1:21">
      <c r="A340" s="29"/>
      <c r="B340" s="29"/>
      <c r="C340" s="29"/>
      <c r="D340" s="29"/>
      <c r="E340" s="29"/>
      <c r="F340" s="29"/>
      <c r="G340" s="29"/>
      <c r="H340" s="29"/>
      <c r="J340" s="29"/>
      <c r="K340" s="29"/>
      <c r="L340" s="19"/>
      <c r="M340" s="19"/>
      <c r="N340" s="30"/>
      <c r="O340" s="30"/>
      <c r="P340" s="32"/>
      <c r="Q340" s="32"/>
      <c r="R340" s="32"/>
      <c r="S340" s="32"/>
      <c r="T340" s="32"/>
      <c r="U340" s="30"/>
    </row>
    <row r="341" spans="1:21">
      <c r="A341" s="29"/>
      <c r="B341" s="29"/>
      <c r="C341" s="29"/>
      <c r="D341" s="29"/>
      <c r="E341" s="29"/>
      <c r="F341" s="29"/>
      <c r="G341" s="29"/>
      <c r="H341" s="29"/>
      <c r="J341" s="29"/>
      <c r="K341" s="29"/>
      <c r="L341" s="19"/>
      <c r="M341" s="19"/>
      <c r="N341" s="30"/>
      <c r="O341" s="30"/>
      <c r="P341" s="32"/>
      <c r="Q341" s="32"/>
      <c r="R341" s="32"/>
      <c r="S341" s="32"/>
      <c r="T341" s="32"/>
      <c r="U341" s="30"/>
    </row>
    <row r="342" spans="1:21">
      <c r="A342" s="29"/>
      <c r="B342" s="29"/>
      <c r="C342" s="29"/>
      <c r="D342" s="29"/>
      <c r="E342" s="29"/>
      <c r="F342" s="29"/>
      <c r="G342" s="29"/>
      <c r="H342" s="29"/>
      <c r="J342" s="29"/>
      <c r="K342" s="29"/>
      <c r="L342" s="19"/>
      <c r="M342" s="19"/>
      <c r="N342" s="30"/>
      <c r="O342" s="30"/>
      <c r="P342" s="32"/>
      <c r="Q342" s="32"/>
      <c r="R342" s="32"/>
      <c r="S342" s="32"/>
      <c r="T342" s="32"/>
      <c r="U342" s="30"/>
    </row>
    <row r="343" spans="1:21">
      <c r="A343" s="29"/>
      <c r="B343" s="29"/>
      <c r="C343" s="29"/>
      <c r="D343" s="29"/>
      <c r="E343" s="29"/>
      <c r="F343" s="29"/>
      <c r="G343" s="29"/>
      <c r="H343" s="29"/>
      <c r="J343" s="29"/>
      <c r="K343" s="29"/>
      <c r="L343" s="19"/>
      <c r="M343" s="19"/>
      <c r="N343" s="30"/>
      <c r="O343" s="30"/>
      <c r="P343" s="32"/>
      <c r="Q343" s="32"/>
      <c r="R343" s="32"/>
      <c r="S343" s="32"/>
      <c r="T343" s="32"/>
      <c r="U343" s="30"/>
    </row>
    <row r="344" spans="1:21">
      <c r="A344" s="29"/>
      <c r="B344" s="29"/>
      <c r="C344" s="29"/>
      <c r="D344" s="29"/>
      <c r="E344" s="29"/>
      <c r="F344" s="29"/>
      <c r="G344" s="29"/>
      <c r="H344" s="29"/>
      <c r="J344" s="29"/>
      <c r="K344" s="29"/>
      <c r="L344" s="19"/>
      <c r="M344" s="19"/>
      <c r="N344" s="30"/>
      <c r="O344" s="30"/>
      <c r="P344" s="32"/>
      <c r="Q344" s="32"/>
      <c r="R344" s="32"/>
      <c r="S344" s="32"/>
      <c r="T344" s="32"/>
      <c r="U344" s="30"/>
    </row>
    <row r="345" spans="1:21">
      <c r="A345" s="29"/>
      <c r="B345" s="29"/>
      <c r="C345" s="29"/>
      <c r="D345" s="29"/>
      <c r="E345" s="29"/>
      <c r="F345" s="29"/>
      <c r="G345" s="29"/>
      <c r="H345" s="29"/>
      <c r="J345" s="29"/>
      <c r="K345" s="29"/>
      <c r="L345" s="19"/>
      <c r="M345" s="19"/>
      <c r="N345" s="30"/>
      <c r="O345" s="30"/>
      <c r="P345" s="32"/>
      <c r="Q345" s="32"/>
      <c r="R345" s="32"/>
      <c r="S345" s="32"/>
      <c r="T345" s="32"/>
      <c r="U345" s="30"/>
    </row>
    <row r="346" spans="1:21">
      <c r="A346" s="29"/>
      <c r="B346" s="29"/>
      <c r="C346" s="29"/>
      <c r="D346" s="29"/>
      <c r="E346" s="29"/>
      <c r="F346" s="29"/>
      <c r="G346" s="29"/>
      <c r="H346" s="29"/>
      <c r="J346" s="29"/>
      <c r="K346" s="29"/>
      <c r="L346" s="19"/>
      <c r="M346" s="19"/>
      <c r="N346" s="30"/>
      <c r="O346" s="30"/>
      <c r="P346" s="32"/>
      <c r="Q346" s="32"/>
      <c r="R346" s="32"/>
      <c r="S346" s="32"/>
      <c r="T346" s="32"/>
      <c r="U346" s="30"/>
    </row>
    <row r="347" spans="1:21">
      <c r="A347" s="29"/>
      <c r="B347" s="29"/>
      <c r="C347" s="29"/>
      <c r="D347" s="29"/>
      <c r="E347" s="29"/>
      <c r="F347" s="29"/>
      <c r="G347" s="29"/>
      <c r="H347" s="29"/>
      <c r="J347" s="29"/>
      <c r="K347" s="29"/>
      <c r="L347" s="19"/>
      <c r="M347" s="19"/>
      <c r="N347" s="30"/>
      <c r="O347" s="30"/>
      <c r="P347" s="32"/>
      <c r="Q347" s="32"/>
      <c r="R347" s="32"/>
      <c r="S347" s="32"/>
      <c r="T347" s="32"/>
      <c r="U347" s="30"/>
    </row>
    <row r="348" spans="1:21">
      <c r="A348" s="29"/>
      <c r="B348" s="29"/>
      <c r="C348" s="29"/>
      <c r="D348" s="29"/>
      <c r="E348" s="29"/>
      <c r="F348" s="29"/>
      <c r="G348" s="29"/>
      <c r="H348" s="29"/>
      <c r="J348" s="29"/>
      <c r="K348" s="29"/>
      <c r="L348" s="19"/>
      <c r="M348" s="19"/>
      <c r="N348" s="30"/>
      <c r="O348" s="30"/>
      <c r="P348" s="32"/>
      <c r="Q348" s="32"/>
      <c r="R348" s="32"/>
      <c r="S348" s="32"/>
      <c r="T348" s="32"/>
      <c r="U348" s="30"/>
    </row>
    <row r="349" spans="1:21">
      <c r="A349" s="29"/>
      <c r="B349" s="29"/>
      <c r="C349" s="29"/>
      <c r="D349" s="29"/>
      <c r="E349" s="29"/>
      <c r="F349" s="29"/>
      <c r="G349" s="29"/>
      <c r="H349" s="29"/>
      <c r="J349" s="29"/>
      <c r="K349" s="29"/>
      <c r="L349" s="19"/>
      <c r="M349" s="19"/>
      <c r="N349" s="30"/>
      <c r="O349" s="30"/>
      <c r="P349" s="32"/>
      <c r="Q349" s="32"/>
      <c r="R349" s="32"/>
      <c r="S349" s="32"/>
      <c r="T349" s="32"/>
      <c r="U349" s="30"/>
    </row>
    <row r="350" spans="1:21">
      <c r="A350" s="29"/>
      <c r="B350" s="29"/>
      <c r="C350" s="29"/>
      <c r="D350" s="29"/>
      <c r="E350" s="29"/>
      <c r="F350" s="29"/>
      <c r="G350" s="29"/>
      <c r="H350" s="29"/>
      <c r="J350" s="29"/>
      <c r="K350" s="29"/>
      <c r="L350" s="19"/>
      <c r="M350" s="19"/>
      <c r="N350" s="30"/>
      <c r="O350" s="30"/>
      <c r="P350" s="32"/>
      <c r="Q350" s="32"/>
      <c r="R350" s="32"/>
      <c r="S350" s="32"/>
      <c r="T350" s="32"/>
      <c r="U350" s="30"/>
    </row>
    <row r="351" spans="1:21">
      <c r="A351" s="29"/>
      <c r="B351" s="29"/>
      <c r="C351" s="29"/>
      <c r="D351" s="29"/>
      <c r="E351" s="29"/>
      <c r="F351" s="29"/>
      <c r="G351" s="29"/>
      <c r="H351" s="29"/>
      <c r="J351" s="29"/>
      <c r="K351" s="29"/>
      <c r="L351" s="19"/>
      <c r="M351" s="19"/>
      <c r="N351" s="30"/>
      <c r="O351" s="30"/>
      <c r="P351" s="32"/>
      <c r="Q351" s="32"/>
      <c r="R351" s="32"/>
      <c r="S351" s="32"/>
      <c r="T351" s="32"/>
      <c r="U351" s="30"/>
    </row>
    <row r="352" spans="1:21">
      <c r="A352" s="29"/>
      <c r="B352" s="29"/>
      <c r="C352" s="29"/>
      <c r="D352" s="29"/>
      <c r="E352" s="29"/>
      <c r="F352" s="29"/>
      <c r="G352" s="29"/>
      <c r="H352" s="29"/>
      <c r="J352" s="29"/>
      <c r="K352" s="29"/>
      <c r="L352" s="19"/>
      <c r="M352" s="19"/>
      <c r="N352" s="30"/>
      <c r="O352" s="30"/>
      <c r="P352" s="32"/>
      <c r="Q352" s="32"/>
      <c r="R352" s="32"/>
      <c r="S352" s="32"/>
      <c r="T352" s="32"/>
      <c r="U352" s="30"/>
    </row>
    <row r="353" spans="1:21">
      <c r="A353" s="29"/>
      <c r="B353" s="29"/>
      <c r="C353" s="29"/>
      <c r="D353" s="29"/>
      <c r="E353" s="29"/>
      <c r="F353" s="29"/>
      <c r="G353" s="29"/>
      <c r="H353" s="29"/>
      <c r="J353" s="29"/>
      <c r="K353" s="29"/>
      <c r="L353" s="19"/>
      <c r="M353" s="19"/>
      <c r="N353" s="30"/>
      <c r="O353" s="30"/>
      <c r="P353" s="32"/>
      <c r="Q353" s="32"/>
      <c r="R353" s="32"/>
      <c r="S353" s="32"/>
      <c r="T353" s="32"/>
      <c r="U353" s="30"/>
    </row>
    <row r="354" spans="1:21">
      <c r="A354" s="29"/>
      <c r="B354" s="29"/>
      <c r="C354" s="29"/>
      <c r="D354" s="29"/>
      <c r="E354" s="29"/>
      <c r="F354" s="29"/>
      <c r="G354" s="29"/>
      <c r="H354" s="29"/>
      <c r="J354" s="29"/>
      <c r="K354" s="29"/>
      <c r="L354" s="19"/>
      <c r="M354" s="19"/>
      <c r="N354" s="30"/>
      <c r="O354" s="30"/>
      <c r="P354" s="32"/>
      <c r="Q354" s="32"/>
      <c r="R354" s="32"/>
      <c r="S354" s="32"/>
      <c r="T354" s="32"/>
      <c r="U354" s="30"/>
    </row>
    <row r="355" spans="1:21">
      <c r="A355" s="29"/>
      <c r="B355" s="29"/>
      <c r="C355" s="29"/>
      <c r="D355" s="29"/>
      <c r="E355" s="29"/>
      <c r="F355" s="29"/>
      <c r="G355" s="29"/>
      <c r="H355" s="29"/>
      <c r="J355" s="29"/>
      <c r="K355" s="29"/>
      <c r="L355" s="19"/>
      <c r="M355" s="19"/>
      <c r="N355" s="30"/>
      <c r="O355" s="30"/>
      <c r="P355" s="32"/>
      <c r="Q355" s="32"/>
      <c r="R355" s="32"/>
      <c r="S355" s="32"/>
      <c r="T355" s="32"/>
      <c r="U355" s="30"/>
    </row>
    <row r="356" spans="1:21">
      <c r="A356" s="29"/>
      <c r="B356" s="29"/>
      <c r="C356" s="29"/>
      <c r="D356" s="29"/>
      <c r="E356" s="29"/>
      <c r="F356" s="29"/>
      <c r="G356" s="29"/>
      <c r="H356" s="29"/>
      <c r="J356" s="29"/>
      <c r="K356" s="29"/>
      <c r="L356" s="19"/>
      <c r="M356" s="19"/>
      <c r="N356" s="30"/>
      <c r="O356" s="30"/>
      <c r="P356" s="32"/>
      <c r="Q356" s="32"/>
      <c r="R356" s="32"/>
      <c r="S356" s="32"/>
      <c r="T356" s="32"/>
      <c r="U356" s="30"/>
    </row>
    <row r="357" spans="1:21">
      <c r="A357" s="29"/>
      <c r="B357" s="29"/>
      <c r="C357" s="29"/>
      <c r="D357" s="29"/>
      <c r="E357" s="29"/>
      <c r="F357" s="29"/>
      <c r="G357" s="29"/>
      <c r="H357" s="29"/>
      <c r="J357" s="29"/>
      <c r="K357" s="29"/>
      <c r="L357" s="19"/>
      <c r="M357" s="19"/>
      <c r="N357" s="30"/>
      <c r="O357" s="30"/>
      <c r="P357" s="32"/>
      <c r="Q357" s="32"/>
      <c r="R357" s="32"/>
      <c r="S357" s="32"/>
      <c r="T357" s="32"/>
      <c r="U357" s="30"/>
    </row>
    <row r="358" spans="1:21">
      <c r="A358" s="29"/>
      <c r="B358" s="29"/>
      <c r="C358" s="29"/>
      <c r="D358" s="29"/>
      <c r="E358" s="29"/>
      <c r="F358" s="29"/>
      <c r="G358" s="29"/>
      <c r="H358" s="29"/>
      <c r="J358" s="29"/>
      <c r="K358" s="29"/>
      <c r="L358" s="19"/>
      <c r="M358" s="19"/>
      <c r="N358" s="30"/>
      <c r="O358" s="30"/>
      <c r="P358" s="32"/>
      <c r="Q358" s="32"/>
      <c r="R358" s="32"/>
      <c r="S358" s="32"/>
      <c r="T358" s="32"/>
      <c r="U358" s="30"/>
    </row>
    <row r="359" spans="1:21">
      <c r="A359" s="29"/>
      <c r="B359" s="29"/>
      <c r="C359" s="29"/>
      <c r="D359" s="29"/>
      <c r="E359" s="29"/>
      <c r="F359" s="29"/>
      <c r="G359" s="29"/>
      <c r="H359" s="29"/>
      <c r="J359" s="29"/>
      <c r="K359" s="29"/>
      <c r="L359" s="19"/>
      <c r="M359" s="19"/>
      <c r="N359" s="30"/>
      <c r="O359" s="30"/>
      <c r="P359" s="32"/>
      <c r="Q359" s="32"/>
      <c r="R359" s="32"/>
      <c r="S359" s="32"/>
      <c r="T359" s="32"/>
      <c r="U359" s="30"/>
    </row>
    <row r="360" spans="1:21">
      <c r="A360" s="29"/>
      <c r="B360" s="29"/>
      <c r="C360" s="29"/>
      <c r="D360" s="29"/>
      <c r="E360" s="29"/>
      <c r="F360" s="29"/>
      <c r="G360" s="29"/>
      <c r="H360" s="29"/>
      <c r="J360" s="29"/>
      <c r="K360" s="29"/>
      <c r="L360" s="19"/>
      <c r="M360" s="19"/>
      <c r="N360" s="30"/>
      <c r="O360" s="30"/>
      <c r="P360" s="32"/>
      <c r="Q360" s="32"/>
      <c r="R360" s="32"/>
      <c r="S360" s="32"/>
      <c r="T360" s="32"/>
      <c r="U360" s="30"/>
    </row>
    <row r="361" spans="1:21">
      <c r="A361" s="29"/>
      <c r="B361" s="29"/>
      <c r="C361" s="29"/>
      <c r="D361" s="29"/>
      <c r="E361" s="29"/>
      <c r="F361" s="29"/>
      <c r="G361" s="29"/>
      <c r="H361" s="29"/>
      <c r="J361" s="29"/>
      <c r="K361" s="29"/>
      <c r="L361" s="19"/>
      <c r="M361" s="19"/>
      <c r="N361" s="30"/>
      <c r="O361" s="30"/>
      <c r="P361" s="32"/>
      <c r="Q361" s="32"/>
      <c r="R361" s="32"/>
      <c r="S361" s="32"/>
      <c r="T361" s="32"/>
      <c r="U361" s="30"/>
    </row>
    <row r="362" spans="1:21">
      <c r="A362" s="29"/>
      <c r="B362" s="29"/>
      <c r="C362" s="29"/>
      <c r="D362" s="29"/>
      <c r="E362" s="29"/>
      <c r="F362" s="29"/>
      <c r="G362" s="29"/>
      <c r="H362" s="29"/>
      <c r="J362" s="29"/>
      <c r="K362" s="29"/>
      <c r="L362" s="19"/>
      <c r="M362" s="19"/>
      <c r="N362" s="30"/>
      <c r="O362" s="30"/>
      <c r="P362" s="32"/>
      <c r="Q362" s="32"/>
      <c r="R362" s="32"/>
      <c r="S362" s="32"/>
      <c r="T362" s="32"/>
      <c r="U362" s="30"/>
    </row>
    <row r="363" spans="1:21">
      <c r="A363" s="29"/>
      <c r="B363" s="29"/>
      <c r="C363" s="29"/>
      <c r="D363" s="29"/>
      <c r="E363" s="29"/>
      <c r="F363" s="29"/>
      <c r="G363" s="29"/>
      <c r="H363" s="29"/>
      <c r="J363" s="29"/>
      <c r="K363" s="29"/>
      <c r="L363" s="19"/>
      <c r="M363" s="19"/>
      <c r="N363" s="30"/>
      <c r="O363" s="30"/>
      <c r="P363" s="32"/>
      <c r="Q363" s="32"/>
      <c r="R363" s="32"/>
      <c r="S363" s="32"/>
      <c r="T363" s="32"/>
      <c r="U363" s="30"/>
    </row>
    <row r="364" spans="1:21">
      <c r="A364" s="29"/>
      <c r="B364" s="29"/>
      <c r="C364" s="29"/>
      <c r="D364" s="29"/>
      <c r="E364" s="29"/>
      <c r="F364" s="29"/>
      <c r="G364" s="29"/>
      <c r="H364" s="29"/>
      <c r="J364" s="29"/>
      <c r="K364" s="29"/>
      <c r="L364" s="19"/>
      <c r="M364" s="19"/>
      <c r="N364" s="30"/>
      <c r="O364" s="30"/>
      <c r="P364" s="32"/>
      <c r="Q364" s="32"/>
      <c r="R364" s="32"/>
      <c r="S364" s="32"/>
      <c r="T364" s="32"/>
      <c r="U364" s="30"/>
    </row>
    <row r="365" spans="1:21">
      <c r="A365" s="29"/>
      <c r="B365" s="29"/>
      <c r="C365" s="29"/>
      <c r="D365" s="29"/>
      <c r="E365" s="29"/>
      <c r="F365" s="29"/>
      <c r="G365" s="29"/>
      <c r="H365" s="29"/>
      <c r="J365" s="29"/>
      <c r="K365" s="29"/>
      <c r="L365" s="19"/>
      <c r="M365" s="19"/>
      <c r="N365" s="30"/>
      <c r="O365" s="30"/>
      <c r="P365" s="32"/>
      <c r="Q365" s="32"/>
      <c r="R365" s="32"/>
      <c r="S365" s="32"/>
      <c r="T365" s="32"/>
      <c r="U365" s="30"/>
    </row>
    <row r="366" spans="1:21">
      <c r="A366" s="29"/>
      <c r="B366" s="29"/>
      <c r="C366" s="29"/>
      <c r="D366" s="29"/>
      <c r="E366" s="29"/>
      <c r="F366" s="29"/>
      <c r="G366" s="29"/>
      <c r="H366" s="29"/>
      <c r="J366" s="29"/>
      <c r="K366" s="29"/>
      <c r="L366" s="19"/>
      <c r="M366" s="19"/>
      <c r="N366" s="30"/>
      <c r="O366" s="30"/>
      <c r="P366" s="32"/>
      <c r="Q366" s="32"/>
      <c r="R366" s="32"/>
      <c r="S366" s="32"/>
      <c r="T366" s="32"/>
      <c r="U366" s="30"/>
    </row>
    <row r="367" spans="1:21">
      <c r="A367" s="29"/>
      <c r="B367" s="29"/>
      <c r="C367" s="29"/>
      <c r="D367" s="29"/>
      <c r="E367" s="29"/>
      <c r="F367" s="29"/>
      <c r="G367" s="29"/>
      <c r="H367" s="29"/>
      <c r="J367" s="29"/>
      <c r="K367" s="29"/>
      <c r="L367" s="19"/>
      <c r="M367" s="19"/>
      <c r="N367" s="30"/>
      <c r="O367" s="30"/>
      <c r="P367" s="32"/>
      <c r="Q367" s="32"/>
      <c r="R367" s="32"/>
      <c r="S367" s="32"/>
      <c r="T367" s="32"/>
      <c r="U367" s="30"/>
    </row>
    <row r="368" spans="1:21">
      <c r="A368" s="29"/>
      <c r="B368" s="29"/>
      <c r="C368" s="29"/>
      <c r="D368" s="29"/>
      <c r="E368" s="29"/>
      <c r="F368" s="29"/>
      <c r="G368" s="29"/>
      <c r="H368" s="29"/>
      <c r="J368" s="29"/>
      <c r="K368" s="29"/>
      <c r="L368" s="19"/>
      <c r="M368" s="19"/>
      <c r="N368" s="30"/>
      <c r="O368" s="30"/>
      <c r="P368" s="32"/>
      <c r="Q368" s="32"/>
      <c r="R368" s="32"/>
      <c r="S368" s="32"/>
      <c r="T368" s="32"/>
      <c r="U368" s="30"/>
    </row>
    <row r="369" spans="1:21">
      <c r="A369" s="29"/>
      <c r="B369" s="29"/>
      <c r="C369" s="29"/>
      <c r="D369" s="29"/>
      <c r="E369" s="29"/>
      <c r="F369" s="29"/>
      <c r="G369" s="29"/>
      <c r="H369" s="29"/>
      <c r="J369" s="29"/>
      <c r="K369" s="29"/>
      <c r="L369" s="19"/>
      <c r="M369" s="19"/>
      <c r="N369" s="30"/>
      <c r="O369" s="30"/>
      <c r="P369" s="32"/>
      <c r="Q369" s="32"/>
      <c r="R369" s="32"/>
      <c r="S369" s="32"/>
      <c r="T369" s="32"/>
      <c r="U369" s="30"/>
    </row>
    <row r="370" spans="1:21">
      <c r="A370" s="29"/>
      <c r="B370" s="29"/>
      <c r="C370" s="29"/>
      <c r="D370" s="29"/>
      <c r="E370" s="29"/>
      <c r="F370" s="29"/>
      <c r="G370" s="29"/>
      <c r="H370" s="29"/>
      <c r="J370" s="29"/>
      <c r="K370" s="29"/>
      <c r="L370" s="19"/>
      <c r="M370" s="19"/>
      <c r="N370" s="30"/>
      <c r="O370" s="30"/>
      <c r="P370" s="32"/>
      <c r="Q370" s="32"/>
      <c r="R370" s="32"/>
      <c r="S370" s="32"/>
      <c r="T370" s="32"/>
      <c r="U370" s="30"/>
    </row>
    <row r="371" spans="1:21">
      <c r="A371" s="29"/>
      <c r="B371" s="29"/>
      <c r="C371" s="29"/>
      <c r="D371" s="29"/>
      <c r="E371" s="29"/>
      <c r="F371" s="29"/>
      <c r="G371" s="29"/>
      <c r="H371" s="29"/>
      <c r="J371" s="29"/>
      <c r="K371" s="29"/>
      <c r="L371" s="19"/>
      <c r="M371" s="19"/>
      <c r="N371" s="30"/>
      <c r="O371" s="30"/>
      <c r="P371" s="32"/>
      <c r="Q371" s="32"/>
      <c r="R371" s="32"/>
      <c r="S371" s="32"/>
      <c r="T371" s="32"/>
      <c r="U371" s="30"/>
    </row>
    <row r="372" spans="1:21">
      <c r="A372" s="29"/>
      <c r="B372" s="29"/>
      <c r="C372" s="29"/>
      <c r="D372" s="29"/>
      <c r="E372" s="29"/>
      <c r="F372" s="29"/>
      <c r="G372" s="29"/>
      <c r="H372" s="29"/>
      <c r="J372" s="29"/>
      <c r="K372" s="29"/>
      <c r="L372" s="19"/>
      <c r="M372" s="19"/>
      <c r="N372" s="30"/>
      <c r="O372" s="30"/>
      <c r="P372" s="32"/>
      <c r="Q372" s="32"/>
      <c r="R372" s="32"/>
      <c r="S372" s="32"/>
      <c r="T372" s="32"/>
      <c r="U372" s="30"/>
    </row>
    <row r="373" spans="1:21">
      <c r="A373" s="29"/>
      <c r="B373" s="29"/>
      <c r="C373" s="29"/>
      <c r="D373" s="29"/>
      <c r="E373" s="29"/>
      <c r="F373" s="29"/>
      <c r="G373" s="29"/>
      <c r="H373" s="29"/>
      <c r="J373" s="29"/>
      <c r="K373" s="29"/>
      <c r="L373" s="19"/>
      <c r="M373" s="19"/>
      <c r="N373" s="30"/>
      <c r="O373" s="30"/>
      <c r="P373" s="32"/>
      <c r="Q373" s="32"/>
      <c r="R373" s="32"/>
      <c r="S373" s="32"/>
      <c r="T373" s="32"/>
      <c r="U373" s="30"/>
    </row>
    <row r="374" spans="1:21">
      <c r="A374" s="29"/>
      <c r="B374" s="29"/>
      <c r="C374" s="29"/>
      <c r="D374" s="29"/>
      <c r="E374" s="29"/>
      <c r="F374" s="29"/>
      <c r="G374" s="29"/>
      <c r="H374" s="29"/>
      <c r="J374" s="29"/>
      <c r="K374" s="29"/>
      <c r="L374" s="19"/>
      <c r="M374" s="19"/>
      <c r="N374" s="30"/>
      <c r="O374" s="30"/>
      <c r="P374" s="32"/>
      <c r="Q374" s="32"/>
      <c r="R374" s="32"/>
      <c r="S374" s="32"/>
      <c r="T374" s="32"/>
      <c r="U374" s="30"/>
    </row>
    <row r="375" spans="1:21">
      <c r="A375" s="29"/>
      <c r="B375" s="29"/>
      <c r="C375" s="29"/>
      <c r="D375" s="29"/>
      <c r="E375" s="29"/>
      <c r="F375" s="29"/>
      <c r="G375" s="29"/>
      <c r="H375" s="29"/>
      <c r="J375" s="29"/>
      <c r="K375" s="29"/>
      <c r="L375" s="19"/>
      <c r="M375" s="19"/>
      <c r="N375" s="30"/>
      <c r="O375" s="30"/>
      <c r="P375" s="32"/>
      <c r="Q375" s="32"/>
      <c r="R375" s="32"/>
      <c r="S375" s="32"/>
      <c r="T375" s="32"/>
      <c r="U375" s="30"/>
    </row>
    <row r="376" spans="1:21">
      <c r="A376" s="29"/>
      <c r="B376" s="29"/>
      <c r="C376" s="29"/>
      <c r="D376" s="29"/>
      <c r="E376" s="29"/>
      <c r="F376" s="29"/>
      <c r="G376" s="29"/>
      <c r="H376" s="29"/>
      <c r="J376" s="29"/>
      <c r="K376" s="29"/>
      <c r="L376" s="19"/>
      <c r="M376" s="19"/>
      <c r="N376" s="30"/>
      <c r="O376" s="30"/>
      <c r="P376" s="32"/>
      <c r="Q376" s="32"/>
      <c r="R376" s="32"/>
      <c r="S376" s="32"/>
      <c r="T376" s="32"/>
      <c r="U376" s="30"/>
    </row>
    <row r="377" spans="1:21">
      <c r="A377" s="29"/>
      <c r="B377" s="29"/>
      <c r="C377" s="29"/>
      <c r="D377" s="29"/>
      <c r="E377" s="29"/>
      <c r="F377" s="29"/>
      <c r="G377" s="29"/>
      <c r="H377" s="29"/>
      <c r="J377" s="29"/>
      <c r="K377" s="29"/>
      <c r="L377" s="19"/>
      <c r="M377" s="19"/>
      <c r="N377" s="30"/>
      <c r="O377" s="30"/>
      <c r="P377" s="32"/>
      <c r="Q377" s="32"/>
      <c r="R377" s="32"/>
      <c r="S377" s="32"/>
      <c r="T377" s="32"/>
      <c r="U377" s="30"/>
    </row>
    <row r="378" spans="1:21">
      <c r="A378" s="29"/>
      <c r="B378" s="29"/>
      <c r="C378" s="29"/>
      <c r="D378" s="29"/>
      <c r="E378" s="29"/>
      <c r="F378" s="29"/>
      <c r="G378" s="29"/>
      <c r="H378" s="29"/>
      <c r="J378" s="29"/>
      <c r="K378" s="29"/>
      <c r="L378" s="19"/>
      <c r="M378" s="19"/>
      <c r="N378" s="30"/>
      <c r="O378" s="30"/>
      <c r="P378" s="32"/>
      <c r="Q378" s="32"/>
      <c r="R378" s="32"/>
      <c r="S378" s="32"/>
      <c r="T378" s="32"/>
      <c r="U378" s="30"/>
    </row>
    <row r="379" spans="1:21">
      <c r="A379" s="29"/>
      <c r="B379" s="29"/>
      <c r="C379" s="29"/>
      <c r="D379" s="29"/>
      <c r="E379" s="29"/>
      <c r="F379" s="29"/>
      <c r="G379" s="29"/>
      <c r="H379" s="29"/>
      <c r="J379" s="29"/>
      <c r="K379" s="29"/>
      <c r="L379" s="19"/>
      <c r="M379" s="19"/>
      <c r="N379" s="30"/>
      <c r="O379" s="30"/>
      <c r="P379" s="32"/>
      <c r="Q379" s="32"/>
      <c r="R379" s="32"/>
      <c r="S379" s="32"/>
      <c r="T379" s="32"/>
      <c r="U379" s="30"/>
    </row>
    <row r="380" spans="1:21">
      <c r="A380" s="29"/>
      <c r="B380" s="29"/>
      <c r="C380" s="29"/>
      <c r="D380" s="29"/>
      <c r="E380" s="29"/>
      <c r="F380" s="29"/>
      <c r="G380" s="29"/>
      <c r="H380" s="29"/>
      <c r="J380" s="29"/>
      <c r="K380" s="29"/>
      <c r="L380" s="19"/>
      <c r="M380" s="19"/>
      <c r="N380" s="30"/>
      <c r="O380" s="30"/>
      <c r="P380" s="32"/>
      <c r="Q380" s="32"/>
      <c r="R380" s="32"/>
      <c r="S380" s="32"/>
      <c r="T380" s="32"/>
      <c r="U380" s="30"/>
    </row>
    <row r="381" spans="1:21">
      <c r="A381" s="29"/>
      <c r="B381" s="29"/>
      <c r="C381" s="29"/>
      <c r="D381" s="29"/>
      <c r="E381" s="29"/>
      <c r="F381" s="29"/>
      <c r="G381" s="29"/>
      <c r="H381" s="29"/>
      <c r="J381" s="29"/>
      <c r="K381" s="29"/>
      <c r="L381" s="19"/>
      <c r="M381" s="19"/>
      <c r="N381" s="30"/>
      <c r="O381" s="30"/>
      <c r="P381" s="32"/>
      <c r="Q381" s="32"/>
      <c r="R381" s="32"/>
      <c r="S381" s="32"/>
      <c r="T381" s="32"/>
      <c r="U381" s="30"/>
    </row>
    <row r="382" spans="1:21">
      <c r="A382" s="29"/>
      <c r="B382" s="29"/>
      <c r="C382" s="29"/>
      <c r="D382" s="29"/>
      <c r="E382" s="29"/>
      <c r="F382" s="29"/>
      <c r="G382" s="29"/>
      <c r="H382" s="29"/>
      <c r="J382" s="29"/>
      <c r="K382" s="29"/>
      <c r="L382" s="19"/>
      <c r="M382" s="19"/>
      <c r="N382" s="30"/>
      <c r="O382" s="31"/>
      <c r="P382" s="32"/>
      <c r="Q382" s="32"/>
      <c r="R382" s="32"/>
      <c r="S382" s="32"/>
      <c r="T382" s="32"/>
      <c r="U382" s="30"/>
    </row>
    <row r="383" spans="1:21">
      <c r="A383" s="29"/>
      <c r="B383" s="29"/>
      <c r="C383" s="29"/>
      <c r="D383" s="29"/>
      <c r="E383" s="29"/>
      <c r="F383" s="29"/>
      <c r="G383" s="29"/>
      <c r="H383" s="29"/>
      <c r="J383" s="29"/>
      <c r="K383" s="29"/>
      <c r="L383" s="19"/>
      <c r="M383" s="19"/>
      <c r="N383" s="30"/>
      <c r="O383" s="30"/>
      <c r="P383" s="32"/>
      <c r="Q383" s="32"/>
      <c r="R383" s="32"/>
      <c r="S383" s="32"/>
      <c r="T383" s="32"/>
      <c r="U383" s="30"/>
    </row>
    <row r="384" spans="1:21">
      <c r="A384" s="29"/>
      <c r="B384" s="29"/>
      <c r="C384" s="29"/>
      <c r="D384" s="29"/>
      <c r="E384" s="29"/>
      <c r="F384" s="29"/>
      <c r="G384" s="29"/>
      <c r="H384" s="29"/>
      <c r="J384" s="29"/>
      <c r="K384" s="29"/>
      <c r="L384" s="19"/>
      <c r="M384" s="19"/>
      <c r="N384" s="30"/>
      <c r="O384" s="30"/>
      <c r="P384" s="32"/>
      <c r="Q384" s="32"/>
      <c r="R384" s="32"/>
      <c r="S384" s="32"/>
      <c r="T384" s="32"/>
      <c r="U384" s="30"/>
    </row>
    <row r="385" spans="1:21">
      <c r="A385" s="29"/>
      <c r="B385" s="29"/>
      <c r="C385" s="29"/>
      <c r="D385" s="29"/>
      <c r="E385" s="29"/>
      <c r="F385" s="29"/>
      <c r="G385" s="29"/>
      <c r="H385" s="29"/>
      <c r="J385" s="29"/>
      <c r="K385" s="29"/>
      <c r="L385" s="19"/>
      <c r="M385" s="19"/>
      <c r="N385" s="30"/>
      <c r="O385" s="30"/>
      <c r="P385" s="32"/>
      <c r="Q385" s="32"/>
      <c r="R385" s="32"/>
      <c r="S385" s="32"/>
      <c r="T385" s="32"/>
      <c r="U385" s="30"/>
    </row>
    <row r="386" spans="1:21">
      <c r="A386" s="29"/>
      <c r="B386" s="29"/>
      <c r="C386" s="29"/>
      <c r="D386" s="29"/>
      <c r="E386" s="29"/>
      <c r="F386" s="29"/>
      <c r="G386" s="29"/>
      <c r="H386" s="29"/>
      <c r="J386" s="29"/>
      <c r="K386" s="29"/>
      <c r="L386" s="19"/>
      <c r="M386" s="19"/>
      <c r="N386" s="30"/>
      <c r="O386" s="31"/>
      <c r="P386" s="32"/>
      <c r="Q386" s="32"/>
      <c r="R386" s="32"/>
      <c r="S386" s="32"/>
      <c r="T386" s="32"/>
      <c r="U386" s="30"/>
    </row>
    <row r="387" spans="1:21">
      <c r="A387" s="29"/>
      <c r="B387" s="29"/>
      <c r="C387" s="29"/>
      <c r="D387" s="29"/>
      <c r="E387" s="29"/>
      <c r="F387" s="29"/>
      <c r="G387" s="29"/>
      <c r="H387" s="29"/>
      <c r="J387" s="29"/>
      <c r="K387" s="29"/>
      <c r="L387" s="19"/>
      <c r="M387" s="19"/>
      <c r="N387" s="30"/>
      <c r="O387" s="30"/>
      <c r="P387" s="32"/>
      <c r="Q387" s="32"/>
      <c r="R387" s="32"/>
      <c r="S387" s="32"/>
      <c r="T387" s="32"/>
      <c r="U387" s="30"/>
    </row>
    <row r="388" spans="1:21">
      <c r="A388" s="29"/>
      <c r="B388" s="29"/>
      <c r="C388" s="29"/>
      <c r="D388" s="29"/>
      <c r="E388" s="29"/>
      <c r="F388" s="29"/>
      <c r="G388" s="29"/>
      <c r="H388" s="29"/>
      <c r="J388" s="29"/>
      <c r="K388" s="29"/>
      <c r="L388" s="19"/>
      <c r="M388" s="19"/>
      <c r="N388" s="30"/>
      <c r="O388" s="30"/>
      <c r="P388" s="32"/>
      <c r="Q388" s="32"/>
      <c r="R388" s="32"/>
      <c r="S388" s="32"/>
      <c r="T388" s="32"/>
      <c r="U388" s="30"/>
    </row>
    <row r="389" spans="1:21">
      <c r="A389" s="29"/>
      <c r="B389" s="29"/>
      <c r="C389" s="29"/>
      <c r="D389" s="29"/>
      <c r="E389" s="29"/>
      <c r="F389" s="29"/>
      <c r="G389" s="29"/>
      <c r="H389" s="29"/>
      <c r="J389" s="29"/>
      <c r="K389" s="29"/>
      <c r="L389" s="19"/>
      <c r="M389" s="19"/>
      <c r="N389" s="30"/>
      <c r="O389" s="30"/>
      <c r="P389" s="32"/>
      <c r="Q389" s="32"/>
      <c r="R389" s="32"/>
      <c r="S389" s="32"/>
      <c r="T389" s="32"/>
      <c r="U389" s="30"/>
    </row>
    <row r="390" spans="1:21">
      <c r="A390" s="29"/>
      <c r="B390" s="29"/>
      <c r="C390" s="29"/>
      <c r="D390" s="29"/>
      <c r="E390" s="29"/>
      <c r="F390" s="29"/>
      <c r="G390" s="29"/>
      <c r="H390" s="29"/>
      <c r="J390" s="29"/>
      <c r="K390" s="29"/>
      <c r="L390" s="19"/>
      <c r="M390" s="19"/>
      <c r="N390" s="30"/>
      <c r="O390" s="30"/>
      <c r="P390" s="32"/>
      <c r="Q390" s="32"/>
      <c r="R390" s="32"/>
      <c r="S390" s="32"/>
      <c r="T390" s="32"/>
      <c r="U390" s="30"/>
    </row>
    <row r="391" spans="1:21">
      <c r="A391" s="29"/>
      <c r="B391" s="29"/>
      <c r="C391" s="29"/>
      <c r="D391" s="29"/>
      <c r="E391" s="29"/>
      <c r="F391" s="29"/>
      <c r="G391" s="29"/>
      <c r="H391" s="29"/>
      <c r="J391" s="29"/>
      <c r="K391" s="29"/>
      <c r="L391" s="19"/>
      <c r="M391" s="19"/>
      <c r="N391" s="30"/>
      <c r="O391" s="30"/>
      <c r="P391" s="32"/>
      <c r="Q391" s="32"/>
      <c r="R391" s="32"/>
      <c r="S391" s="32"/>
      <c r="T391" s="32"/>
      <c r="U391" s="30"/>
    </row>
    <row r="392" spans="1:21">
      <c r="A392" s="29"/>
      <c r="B392" s="29"/>
      <c r="C392" s="29"/>
      <c r="D392" s="29"/>
      <c r="E392" s="29"/>
      <c r="F392" s="29"/>
      <c r="G392" s="29"/>
      <c r="H392" s="29"/>
      <c r="J392" s="29"/>
      <c r="K392" s="29"/>
      <c r="L392" s="19"/>
      <c r="M392" s="19"/>
      <c r="N392" s="30"/>
      <c r="O392" s="30"/>
      <c r="P392" s="32"/>
      <c r="Q392" s="32"/>
      <c r="R392" s="32"/>
      <c r="S392" s="32"/>
      <c r="T392" s="32"/>
      <c r="U392" s="30"/>
    </row>
    <row r="393" spans="1:21">
      <c r="A393" s="29"/>
      <c r="B393" s="29"/>
      <c r="C393" s="29"/>
      <c r="D393" s="29"/>
      <c r="E393" s="29"/>
      <c r="F393" s="29"/>
      <c r="G393" s="29"/>
      <c r="H393" s="29"/>
      <c r="J393" s="29"/>
      <c r="K393" s="29"/>
      <c r="L393" s="19"/>
      <c r="M393" s="19"/>
      <c r="N393" s="30"/>
      <c r="O393" s="30"/>
      <c r="P393" s="32"/>
      <c r="Q393" s="32"/>
      <c r="R393" s="32"/>
      <c r="S393" s="32"/>
      <c r="T393" s="32"/>
      <c r="U393" s="30"/>
    </row>
    <row r="394" spans="1:21">
      <c r="A394" s="29"/>
      <c r="B394" s="29"/>
      <c r="C394" s="29"/>
      <c r="D394" s="29"/>
      <c r="E394" s="29"/>
      <c r="F394" s="29"/>
      <c r="G394" s="29"/>
      <c r="H394" s="29"/>
      <c r="J394" s="29"/>
      <c r="K394" s="29"/>
      <c r="L394" s="19"/>
      <c r="M394" s="19"/>
      <c r="N394" s="30"/>
      <c r="O394" s="30"/>
      <c r="P394" s="32"/>
      <c r="Q394" s="32"/>
      <c r="R394" s="32"/>
      <c r="S394" s="32"/>
      <c r="T394" s="32"/>
      <c r="U394" s="30"/>
    </row>
    <row r="395" spans="1:21">
      <c r="A395" s="29"/>
      <c r="B395" s="29"/>
      <c r="C395" s="29"/>
      <c r="D395" s="29"/>
      <c r="E395" s="29"/>
      <c r="F395" s="29"/>
      <c r="G395" s="29"/>
      <c r="H395" s="29"/>
      <c r="J395" s="29"/>
      <c r="K395" s="29"/>
      <c r="L395" s="19"/>
      <c r="M395" s="19"/>
      <c r="N395" s="30"/>
      <c r="O395" s="30"/>
      <c r="P395" s="32"/>
      <c r="Q395" s="32"/>
      <c r="R395" s="32"/>
      <c r="S395" s="32"/>
      <c r="T395" s="32"/>
      <c r="U395" s="30"/>
    </row>
    <row r="396" spans="1:21">
      <c r="A396" s="29"/>
      <c r="B396" s="29"/>
      <c r="C396" s="29"/>
      <c r="D396" s="29"/>
      <c r="E396" s="29"/>
      <c r="F396" s="29"/>
      <c r="G396" s="29"/>
      <c r="H396" s="29"/>
      <c r="J396" s="29"/>
      <c r="K396" s="29"/>
      <c r="L396" s="19"/>
      <c r="M396" s="19"/>
      <c r="N396" s="30"/>
      <c r="O396" s="31"/>
      <c r="P396" s="32"/>
      <c r="Q396" s="32"/>
      <c r="R396" s="32"/>
      <c r="S396" s="32"/>
      <c r="T396" s="32"/>
      <c r="U396" s="30"/>
    </row>
    <row r="397" spans="1:21">
      <c r="A397" s="29"/>
      <c r="B397" s="29"/>
      <c r="C397" s="29"/>
      <c r="D397" s="29"/>
      <c r="E397" s="29"/>
      <c r="F397" s="29"/>
      <c r="G397" s="29"/>
      <c r="H397" s="29"/>
      <c r="J397" s="29"/>
      <c r="K397" s="29"/>
      <c r="L397" s="19"/>
      <c r="M397" s="19"/>
      <c r="N397" s="30"/>
      <c r="O397" s="30"/>
      <c r="P397" s="32"/>
      <c r="Q397" s="32"/>
      <c r="R397" s="32"/>
      <c r="S397" s="32"/>
      <c r="T397" s="32"/>
      <c r="U397" s="30"/>
    </row>
    <row r="398" spans="1:21">
      <c r="A398" s="29"/>
      <c r="B398" s="29"/>
      <c r="C398" s="29"/>
      <c r="D398" s="29"/>
      <c r="E398" s="29"/>
      <c r="F398" s="29"/>
      <c r="G398" s="29"/>
      <c r="H398" s="29"/>
      <c r="J398" s="29"/>
      <c r="K398" s="29"/>
      <c r="L398" s="19"/>
      <c r="M398" s="19"/>
      <c r="N398" s="30"/>
      <c r="O398" s="30"/>
      <c r="P398" s="32"/>
      <c r="Q398" s="32"/>
      <c r="R398" s="32"/>
      <c r="S398" s="32"/>
      <c r="T398" s="32"/>
      <c r="U398" s="30"/>
    </row>
    <row r="399" spans="1:21">
      <c r="A399" s="29"/>
      <c r="B399" s="29"/>
      <c r="C399" s="29"/>
      <c r="D399" s="29"/>
      <c r="E399" s="29"/>
      <c r="F399" s="29"/>
      <c r="G399" s="29"/>
      <c r="H399" s="29"/>
      <c r="J399" s="29"/>
      <c r="K399" s="29"/>
      <c r="L399" s="19"/>
      <c r="M399" s="19"/>
      <c r="N399" s="30"/>
      <c r="O399" s="30"/>
      <c r="P399" s="32"/>
      <c r="Q399" s="32"/>
      <c r="R399" s="32"/>
      <c r="S399" s="32"/>
      <c r="T399" s="32"/>
      <c r="U399" s="30"/>
    </row>
    <row r="400" spans="1:21">
      <c r="A400" s="29"/>
      <c r="B400" s="29"/>
      <c r="C400" s="29"/>
      <c r="D400" s="29"/>
      <c r="E400" s="29"/>
      <c r="F400" s="29"/>
      <c r="G400" s="29"/>
      <c r="H400" s="29"/>
      <c r="J400" s="29"/>
      <c r="K400" s="29"/>
      <c r="L400" s="19"/>
      <c r="M400" s="19"/>
      <c r="N400" s="30"/>
      <c r="O400" s="31"/>
      <c r="P400" s="32"/>
      <c r="Q400" s="32"/>
      <c r="R400" s="32"/>
      <c r="S400" s="32"/>
      <c r="T400" s="32"/>
      <c r="U400" s="30"/>
    </row>
    <row r="401" spans="1:21">
      <c r="A401" s="29"/>
      <c r="B401" s="29"/>
      <c r="C401" s="29"/>
      <c r="D401" s="29"/>
      <c r="E401" s="29"/>
      <c r="F401" s="29"/>
      <c r="G401" s="29"/>
      <c r="H401" s="29"/>
      <c r="J401" s="29"/>
      <c r="K401" s="29"/>
      <c r="L401" s="19"/>
      <c r="M401" s="19"/>
      <c r="N401" s="30"/>
      <c r="O401" s="30"/>
      <c r="P401" s="32"/>
      <c r="Q401" s="32"/>
      <c r="R401" s="32"/>
      <c r="S401" s="32"/>
      <c r="T401" s="32"/>
      <c r="U401" s="30"/>
    </row>
    <row r="402" spans="1:21">
      <c r="A402" s="29"/>
      <c r="B402" s="29"/>
      <c r="C402" s="29"/>
      <c r="D402" s="29"/>
      <c r="E402" s="29"/>
      <c r="F402" s="29"/>
      <c r="G402" s="29"/>
      <c r="H402" s="29"/>
      <c r="J402" s="29"/>
      <c r="K402" s="29"/>
      <c r="L402" s="19"/>
      <c r="M402" s="19"/>
      <c r="N402" s="30"/>
      <c r="O402" s="30"/>
      <c r="P402" s="32"/>
      <c r="Q402" s="32"/>
      <c r="R402" s="32"/>
      <c r="S402" s="32"/>
      <c r="T402" s="32"/>
      <c r="U402" s="30"/>
    </row>
    <row r="403" spans="1:21">
      <c r="A403" s="29"/>
      <c r="B403" s="29"/>
      <c r="C403" s="29"/>
      <c r="D403" s="29"/>
      <c r="E403" s="29"/>
      <c r="F403" s="29"/>
      <c r="G403" s="29"/>
      <c r="H403" s="29"/>
      <c r="J403" s="29"/>
      <c r="K403" s="29"/>
      <c r="L403" s="19"/>
      <c r="M403" s="19"/>
      <c r="N403" s="30"/>
      <c r="O403" s="30"/>
      <c r="P403" s="32"/>
      <c r="Q403" s="32"/>
      <c r="R403" s="32"/>
      <c r="S403" s="32"/>
      <c r="T403" s="32"/>
      <c r="U403" s="30"/>
    </row>
    <row r="404" spans="1:21">
      <c r="A404" s="29"/>
      <c r="B404" s="29"/>
      <c r="C404" s="29"/>
      <c r="D404" s="29"/>
      <c r="E404" s="29"/>
      <c r="F404" s="29"/>
      <c r="G404" s="29"/>
      <c r="H404" s="29"/>
      <c r="J404" s="29"/>
      <c r="K404" s="29"/>
      <c r="L404" s="19"/>
      <c r="M404" s="19"/>
      <c r="N404" s="30"/>
      <c r="O404" s="30"/>
      <c r="P404" s="32"/>
      <c r="Q404" s="32"/>
      <c r="R404" s="32"/>
      <c r="S404" s="32"/>
      <c r="T404" s="32"/>
      <c r="U404" s="30"/>
    </row>
    <row r="405" spans="1:21">
      <c r="A405" s="29"/>
      <c r="B405" s="29"/>
      <c r="C405" s="29"/>
      <c r="D405" s="29"/>
      <c r="E405" s="29"/>
      <c r="F405" s="29"/>
      <c r="G405" s="29"/>
      <c r="H405" s="29"/>
      <c r="J405" s="29"/>
      <c r="K405" s="29"/>
      <c r="L405" s="19"/>
      <c r="M405" s="19"/>
      <c r="N405" s="30"/>
      <c r="O405" s="30"/>
      <c r="P405" s="32"/>
      <c r="Q405" s="32"/>
      <c r="R405" s="32"/>
      <c r="S405" s="32"/>
      <c r="T405" s="32"/>
      <c r="U405" s="30"/>
    </row>
    <row r="406" spans="1:21">
      <c r="A406" s="29"/>
      <c r="B406" s="29"/>
      <c r="C406" s="29"/>
      <c r="D406" s="29"/>
      <c r="E406" s="29"/>
      <c r="F406" s="29"/>
      <c r="G406" s="29"/>
      <c r="H406" s="29"/>
      <c r="J406" s="29"/>
      <c r="K406" s="29"/>
      <c r="L406" s="19"/>
      <c r="M406" s="19"/>
      <c r="N406" s="30"/>
      <c r="O406" s="30"/>
      <c r="P406" s="32"/>
      <c r="Q406" s="32"/>
      <c r="R406" s="32"/>
      <c r="S406" s="32"/>
      <c r="T406" s="32"/>
      <c r="U406" s="30"/>
    </row>
    <row r="407" spans="1:21">
      <c r="A407" s="29"/>
      <c r="B407" s="29"/>
      <c r="C407" s="29"/>
      <c r="D407" s="29"/>
      <c r="E407" s="29"/>
      <c r="F407" s="29"/>
      <c r="G407" s="29"/>
      <c r="H407" s="29"/>
      <c r="J407" s="29"/>
      <c r="K407" s="29"/>
      <c r="L407" s="19"/>
      <c r="M407" s="19"/>
      <c r="N407" s="30"/>
      <c r="O407" s="30"/>
      <c r="P407" s="32"/>
      <c r="Q407" s="32"/>
      <c r="R407" s="32"/>
      <c r="S407" s="32"/>
      <c r="T407" s="32"/>
      <c r="U407" s="30"/>
    </row>
    <row r="408" spans="1:21">
      <c r="A408" s="29"/>
      <c r="B408" s="29"/>
      <c r="C408" s="29"/>
      <c r="D408" s="29"/>
      <c r="E408" s="29"/>
      <c r="F408" s="29"/>
      <c r="G408" s="29"/>
      <c r="H408" s="29"/>
      <c r="J408" s="29"/>
      <c r="K408" s="29"/>
      <c r="L408" s="19"/>
      <c r="M408" s="19"/>
      <c r="N408" s="30"/>
      <c r="O408" s="30"/>
      <c r="P408" s="32"/>
      <c r="Q408" s="32"/>
      <c r="R408" s="32"/>
      <c r="S408" s="32"/>
      <c r="T408" s="32"/>
      <c r="U408" s="30"/>
    </row>
    <row r="409" spans="1:21">
      <c r="A409" s="29"/>
      <c r="B409" s="29"/>
      <c r="C409" s="29"/>
      <c r="D409" s="29"/>
      <c r="E409" s="29"/>
      <c r="F409" s="29"/>
      <c r="G409" s="29"/>
      <c r="H409" s="29"/>
      <c r="J409" s="29"/>
      <c r="K409" s="29"/>
      <c r="L409" s="19"/>
      <c r="M409" s="19"/>
      <c r="N409" s="30"/>
      <c r="O409" s="30"/>
      <c r="P409" s="32"/>
      <c r="Q409" s="32"/>
      <c r="R409" s="32"/>
      <c r="S409" s="32"/>
      <c r="T409" s="32"/>
      <c r="U409" s="30"/>
    </row>
    <row r="410" spans="1:21">
      <c r="A410" s="29"/>
      <c r="B410" s="29"/>
      <c r="C410" s="29"/>
      <c r="D410" s="29"/>
      <c r="E410" s="29"/>
      <c r="F410" s="29"/>
      <c r="G410" s="29"/>
      <c r="H410" s="29"/>
      <c r="J410" s="29"/>
      <c r="K410" s="29"/>
      <c r="L410" s="19"/>
      <c r="M410" s="19"/>
      <c r="N410" s="30"/>
      <c r="O410" s="31"/>
      <c r="P410" s="32"/>
      <c r="Q410" s="32"/>
      <c r="R410" s="32"/>
      <c r="S410" s="32"/>
      <c r="T410" s="32"/>
      <c r="U410" s="30"/>
    </row>
    <row r="411" spans="1:21">
      <c r="A411" s="29"/>
      <c r="B411" s="29"/>
      <c r="C411" s="29"/>
      <c r="D411" s="29"/>
      <c r="E411" s="29"/>
      <c r="F411" s="29"/>
      <c r="G411" s="29"/>
      <c r="H411" s="29"/>
      <c r="J411" s="29"/>
      <c r="K411" s="29"/>
      <c r="L411" s="19"/>
      <c r="M411" s="19"/>
      <c r="N411" s="30"/>
      <c r="O411" s="30"/>
      <c r="P411" s="32"/>
      <c r="Q411" s="32"/>
      <c r="R411" s="32"/>
      <c r="S411" s="32"/>
      <c r="T411" s="32"/>
      <c r="U411" s="30"/>
    </row>
    <row r="412" spans="1:21">
      <c r="A412" s="29"/>
      <c r="B412" s="29"/>
      <c r="C412" s="29"/>
      <c r="D412" s="29"/>
      <c r="E412" s="29"/>
      <c r="F412" s="29"/>
      <c r="G412" s="29"/>
      <c r="H412" s="29"/>
      <c r="J412" s="29"/>
      <c r="K412" s="29"/>
      <c r="L412" s="19"/>
      <c r="M412" s="19"/>
      <c r="N412" s="30"/>
      <c r="O412" s="30"/>
      <c r="P412" s="32"/>
      <c r="Q412" s="32"/>
      <c r="R412" s="32"/>
      <c r="S412" s="32"/>
      <c r="T412" s="32"/>
      <c r="U412" s="30"/>
    </row>
    <row r="413" spans="1:21">
      <c r="A413" s="29"/>
      <c r="B413" s="29"/>
      <c r="C413" s="29"/>
      <c r="D413" s="29"/>
      <c r="E413" s="29"/>
      <c r="F413" s="29"/>
      <c r="G413" s="29"/>
      <c r="H413" s="29"/>
      <c r="J413" s="29"/>
      <c r="K413" s="29"/>
      <c r="L413" s="19"/>
      <c r="M413" s="19"/>
      <c r="N413" s="30"/>
      <c r="O413" s="30"/>
      <c r="P413" s="32"/>
      <c r="Q413" s="32"/>
      <c r="R413" s="32"/>
      <c r="S413" s="32"/>
      <c r="T413" s="32"/>
      <c r="U413" s="30"/>
    </row>
    <row r="414" spans="1:21">
      <c r="A414" s="29"/>
      <c r="B414" s="29"/>
      <c r="C414" s="29"/>
      <c r="D414" s="29"/>
      <c r="E414" s="29"/>
      <c r="F414" s="29"/>
      <c r="G414" s="29"/>
      <c r="H414" s="29"/>
      <c r="J414" s="29"/>
      <c r="K414" s="29"/>
      <c r="L414" s="19"/>
      <c r="M414" s="19"/>
      <c r="N414" s="30"/>
      <c r="O414" s="30"/>
      <c r="P414" s="32"/>
      <c r="Q414" s="32"/>
      <c r="R414" s="32"/>
      <c r="S414" s="32"/>
      <c r="T414" s="32"/>
      <c r="U414" s="30"/>
    </row>
    <row r="415" spans="1:21">
      <c r="A415" s="29"/>
      <c r="B415" s="29"/>
      <c r="C415" s="29"/>
      <c r="D415" s="29"/>
      <c r="E415" s="29"/>
      <c r="F415" s="29"/>
      <c r="G415" s="29"/>
      <c r="H415" s="29"/>
      <c r="J415" s="29"/>
      <c r="K415" s="29"/>
      <c r="L415" s="19"/>
      <c r="M415" s="19"/>
      <c r="N415" s="30"/>
      <c r="O415" s="30"/>
      <c r="P415" s="32"/>
      <c r="Q415" s="32"/>
      <c r="R415" s="32"/>
      <c r="S415" s="32"/>
      <c r="T415" s="32"/>
      <c r="U415" s="30"/>
    </row>
    <row r="416" spans="1:21">
      <c r="A416" s="29"/>
      <c r="B416" s="29"/>
      <c r="C416" s="29"/>
      <c r="D416" s="29"/>
      <c r="E416" s="29"/>
      <c r="F416" s="29"/>
      <c r="G416" s="29"/>
      <c r="H416" s="29"/>
      <c r="J416" s="29"/>
      <c r="K416" s="29"/>
      <c r="L416" s="19"/>
      <c r="M416" s="19"/>
      <c r="N416" s="30"/>
      <c r="O416" s="30"/>
      <c r="P416" s="32"/>
      <c r="Q416" s="32"/>
      <c r="R416" s="32"/>
      <c r="S416" s="32"/>
      <c r="T416" s="32"/>
      <c r="U416" s="30"/>
    </row>
    <row r="417" spans="1:21">
      <c r="A417" s="29"/>
      <c r="B417" s="29"/>
      <c r="C417" s="29"/>
      <c r="D417" s="29"/>
      <c r="E417" s="29"/>
      <c r="F417" s="29"/>
      <c r="G417" s="29"/>
      <c r="H417" s="29"/>
      <c r="J417" s="29"/>
      <c r="K417" s="29"/>
      <c r="L417" s="19"/>
      <c r="M417" s="19"/>
      <c r="N417" s="30"/>
      <c r="O417" s="30"/>
      <c r="P417" s="32"/>
      <c r="Q417" s="32"/>
      <c r="R417" s="32"/>
      <c r="S417" s="32"/>
      <c r="T417" s="32"/>
      <c r="U417" s="30"/>
    </row>
    <row r="418" spans="1:21">
      <c r="A418" s="29"/>
      <c r="B418" s="29"/>
      <c r="C418" s="29"/>
      <c r="D418" s="29"/>
      <c r="E418" s="29"/>
      <c r="F418" s="29"/>
      <c r="G418" s="29"/>
      <c r="H418" s="29"/>
      <c r="J418" s="29"/>
      <c r="K418" s="29"/>
      <c r="L418" s="19"/>
      <c r="M418" s="19"/>
      <c r="N418" s="30"/>
      <c r="O418" s="30"/>
      <c r="P418" s="32"/>
      <c r="Q418" s="32"/>
      <c r="R418" s="32"/>
      <c r="S418" s="32"/>
      <c r="T418" s="32"/>
      <c r="U418" s="30"/>
    </row>
    <row r="419" spans="1:21">
      <c r="A419" s="29"/>
      <c r="B419" s="29"/>
      <c r="C419" s="29"/>
      <c r="D419" s="29"/>
      <c r="E419" s="29"/>
      <c r="F419" s="29"/>
      <c r="G419" s="29"/>
      <c r="H419" s="29"/>
      <c r="J419" s="29"/>
      <c r="K419" s="29"/>
      <c r="L419" s="19"/>
      <c r="M419" s="19"/>
      <c r="N419" s="30"/>
      <c r="O419" s="30"/>
      <c r="P419" s="32"/>
      <c r="Q419" s="32"/>
      <c r="R419" s="32"/>
      <c r="S419" s="32"/>
      <c r="T419" s="32"/>
      <c r="U419" s="30"/>
    </row>
    <row r="420" spans="1:21">
      <c r="A420" s="29"/>
      <c r="B420" s="29"/>
      <c r="C420" s="29"/>
      <c r="D420" s="29"/>
      <c r="E420" s="29"/>
      <c r="F420" s="29"/>
      <c r="G420" s="29"/>
      <c r="H420" s="29"/>
      <c r="J420" s="29"/>
      <c r="K420" s="29"/>
      <c r="L420" s="19"/>
      <c r="M420" s="19"/>
      <c r="N420" s="30"/>
      <c r="O420" s="30"/>
      <c r="P420" s="32"/>
      <c r="Q420" s="32"/>
      <c r="R420" s="32"/>
      <c r="S420" s="32"/>
      <c r="T420" s="32"/>
      <c r="U420" s="30"/>
    </row>
    <row r="421" spans="1:21">
      <c r="A421" s="29"/>
      <c r="B421" s="29"/>
      <c r="C421" s="29"/>
      <c r="D421" s="29"/>
      <c r="E421" s="29"/>
      <c r="F421" s="29"/>
      <c r="G421" s="29"/>
      <c r="H421" s="29"/>
      <c r="J421" s="29"/>
      <c r="K421" s="29"/>
      <c r="L421" s="19"/>
      <c r="M421" s="19"/>
      <c r="N421" s="30"/>
      <c r="O421" s="30"/>
      <c r="P421" s="32"/>
      <c r="Q421" s="32"/>
      <c r="R421" s="32"/>
      <c r="S421" s="32"/>
      <c r="T421" s="32"/>
      <c r="U421" s="30"/>
    </row>
    <row r="422" spans="1:21">
      <c r="A422" s="29"/>
      <c r="B422" s="29"/>
      <c r="C422" s="29"/>
      <c r="D422" s="29"/>
      <c r="E422" s="29"/>
      <c r="F422" s="29"/>
      <c r="G422" s="29"/>
      <c r="H422" s="29"/>
      <c r="J422" s="29"/>
      <c r="K422" s="29"/>
      <c r="L422" s="19"/>
      <c r="M422" s="19"/>
      <c r="N422" s="30"/>
      <c r="O422" s="30"/>
      <c r="P422" s="32"/>
      <c r="Q422" s="32"/>
      <c r="R422" s="32"/>
      <c r="S422" s="32"/>
      <c r="T422" s="32"/>
      <c r="U422" s="30"/>
    </row>
    <row r="423" spans="1:21">
      <c r="A423" s="29"/>
      <c r="B423" s="29"/>
      <c r="C423" s="29"/>
      <c r="D423" s="29"/>
      <c r="E423" s="29"/>
      <c r="F423" s="29"/>
      <c r="G423" s="29"/>
      <c r="H423" s="29"/>
      <c r="J423" s="29"/>
      <c r="K423" s="29"/>
      <c r="L423" s="19"/>
      <c r="M423" s="19"/>
      <c r="N423" s="30"/>
      <c r="O423" s="30"/>
      <c r="P423" s="32"/>
      <c r="Q423" s="32"/>
      <c r="R423" s="32"/>
      <c r="S423" s="32"/>
      <c r="T423" s="32"/>
      <c r="U423" s="30"/>
    </row>
    <row r="424" spans="1:21">
      <c r="A424" s="29"/>
      <c r="B424" s="29"/>
      <c r="C424" s="29"/>
      <c r="D424" s="29"/>
      <c r="E424" s="29"/>
      <c r="F424" s="29"/>
      <c r="G424" s="29"/>
      <c r="H424" s="29"/>
      <c r="J424" s="29"/>
      <c r="K424" s="29"/>
      <c r="L424" s="19"/>
      <c r="M424" s="19"/>
      <c r="N424" s="30"/>
      <c r="O424" s="30"/>
      <c r="P424" s="32"/>
      <c r="Q424" s="32"/>
      <c r="R424" s="32"/>
      <c r="S424" s="32"/>
      <c r="T424" s="32"/>
      <c r="U424" s="30"/>
    </row>
    <row r="425" spans="1:21">
      <c r="A425" s="29"/>
      <c r="B425" s="29"/>
      <c r="C425" s="29"/>
      <c r="D425" s="29"/>
      <c r="E425" s="29"/>
      <c r="F425" s="29"/>
      <c r="G425" s="29"/>
      <c r="H425" s="29"/>
      <c r="J425" s="29"/>
      <c r="K425" s="29"/>
      <c r="L425" s="19"/>
      <c r="M425" s="19"/>
      <c r="N425" s="30"/>
      <c r="O425" s="30"/>
      <c r="P425" s="32"/>
      <c r="Q425" s="32"/>
      <c r="R425" s="32"/>
      <c r="S425" s="32"/>
      <c r="T425" s="32"/>
      <c r="U425" s="30"/>
    </row>
    <row r="426" spans="1:21">
      <c r="A426" s="29"/>
      <c r="B426" s="29"/>
      <c r="C426" s="29"/>
      <c r="D426" s="29"/>
      <c r="E426" s="29"/>
      <c r="F426" s="29"/>
      <c r="G426" s="29"/>
      <c r="H426" s="29"/>
      <c r="J426" s="29"/>
      <c r="K426" s="29"/>
      <c r="L426" s="19"/>
      <c r="M426" s="19"/>
      <c r="N426" s="30"/>
      <c r="O426" s="30"/>
      <c r="P426" s="32"/>
      <c r="Q426" s="32"/>
      <c r="R426" s="32"/>
      <c r="S426" s="32"/>
      <c r="T426" s="32"/>
      <c r="U426" s="30"/>
    </row>
    <row r="427" spans="1:21">
      <c r="A427" s="29"/>
      <c r="B427" s="29"/>
      <c r="C427" s="29"/>
      <c r="D427" s="29"/>
      <c r="E427" s="29"/>
      <c r="F427" s="29"/>
      <c r="G427" s="29"/>
      <c r="H427" s="29"/>
      <c r="J427" s="29"/>
      <c r="K427" s="29"/>
      <c r="L427" s="19"/>
      <c r="M427" s="19"/>
      <c r="N427" s="30"/>
      <c r="O427" s="30"/>
      <c r="P427" s="32"/>
      <c r="Q427" s="32"/>
      <c r="R427" s="32"/>
      <c r="S427" s="32"/>
      <c r="T427" s="32"/>
      <c r="U427" s="30"/>
    </row>
    <row r="428" spans="1:21">
      <c r="A428" s="29"/>
      <c r="B428" s="29"/>
      <c r="C428" s="29"/>
      <c r="D428" s="29"/>
      <c r="E428" s="29"/>
      <c r="F428" s="29"/>
      <c r="G428" s="29"/>
      <c r="H428" s="29"/>
      <c r="J428" s="29"/>
      <c r="K428" s="29"/>
      <c r="L428" s="19"/>
      <c r="M428" s="19"/>
      <c r="N428" s="30"/>
      <c r="O428" s="30"/>
      <c r="P428" s="32"/>
      <c r="Q428" s="32"/>
      <c r="R428" s="32"/>
      <c r="S428" s="32"/>
      <c r="T428" s="32"/>
      <c r="U428" s="30"/>
    </row>
    <row r="429" spans="1:21">
      <c r="A429" s="29"/>
      <c r="B429" s="29"/>
      <c r="C429" s="29"/>
      <c r="D429" s="29"/>
      <c r="E429" s="29"/>
      <c r="F429" s="29"/>
      <c r="G429" s="29"/>
      <c r="H429" s="29"/>
      <c r="J429" s="29"/>
      <c r="K429" s="29"/>
      <c r="L429" s="19"/>
      <c r="M429" s="19"/>
      <c r="N429" s="30"/>
      <c r="O429" s="30"/>
      <c r="P429" s="32"/>
      <c r="Q429" s="32"/>
      <c r="R429" s="32"/>
      <c r="S429" s="32"/>
      <c r="T429" s="32"/>
      <c r="U429" s="30"/>
    </row>
    <row r="430" spans="1:21">
      <c r="A430" s="29"/>
      <c r="B430" s="29"/>
      <c r="C430" s="29"/>
      <c r="D430" s="29"/>
      <c r="E430" s="29"/>
      <c r="F430" s="29"/>
      <c r="G430" s="29"/>
      <c r="H430" s="29"/>
      <c r="J430" s="29"/>
      <c r="K430" s="29"/>
      <c r="L430" s="19"/>
      <c r="M430" s="19"/>
      <c r="N430" s="30"/>
      <c r="O430" s="30"/>
      <c r="P430" s="32"/>
      <c r="Q430" s="32"/>
      <c r="R430" s="32"/>
      <c r="S430" s="32"/>
      <c r="T430" s="32"/>
      <c r="U430" s="30"/>
    </row>
    <row r="431" spans="1:21">
      <c r="A431" s="29"/>
      <c r="B431" s="29"/>
      <c r="C431" s="29"/>
      <c r="D431" s="29"/>
      <c r="E431" s="29"/>
      <c r="F431" s="29"/>
      <c r="G431" s="29"/>
      <c r="H431" s="29"/>
      <c r="J431" s="29"/>
      <c r="K431" s="29"/>
      <c r="L431" s="19"/>
      <c r="M431" s="19"/>
      <c r="N431" s="30"/>
      <c r="O431" s="30"/>
      <c r="P431" s="32"/>
      <c r="Q431" s="32"/>
      <c r="R431" s="32"/>
      <c r="S431" s="32"/>
      <c r="T431" s="32"/>
      <c r="U431" s="30"/>
    </row>
    <row r="432" spans="1:21">
      <c r="A432" s="29"/>
      <c r="B432" s="29"/>
      <c r="C432" s="29"/>
      <c r="D432" s="29"/>
      <c r="E432" s="29"/>
      <c r="F432" s="29"/>
      <c r="G432" s="29"/>
      <c r="H432" s="29"/>
      <c r="J432" s="29"/>
      <c r="K432" s="29"/>
      <c r="L432" s="19"/>
      <c r="M432" s="19"/>
      <c r="N432" s="30"/>
      <c r="O432" s="30"/>
      <c r="P432" s="32"/>
      <c r="Q432" s="32"/>
      <c r="R432" s="32"/>
      <c r="S432" s="32"/>
      <c r="T432" s="32"/>
      <c r="U432" s="30"/>
    </row>
    <row r="433" spans="1:21">
      <c r="A433" s="29"/>
      <c r="B433" s="29"/>
      <c r="C433" s="29"/>
      <c r="D433" s="29"/>
      <c r="E433" s="29"/>
      <c r="F433" s="29"/>
      <c r="G433" s="29"/>
      <c r="H433" s="29"/>
      <c r="J433" s="29"/>
      <c r="K433" s="29"/>
      <c r="L433" s="19"/>
      <c r="M433" s="19"/>
      <c r="N433" s="30"/>
      <c r="O433" s="30"/>
      <c r="P433" s="32"/>
      <c r="Q433" s="32"/>
      <c r="R433" s="32"/>
      <c r="S433" s="32"/>
      <c r="T433" s="32"/>
      <c r="U433" s="30"/>
    </row>
    <row r="434" spans="1:21">
      <c r="A434" s="29"/>
      <c r="B434" s="29"/>
      <c r="C434" s="29"/>
      <c r="D434" s="29"/>
      <c r="E434" s="29"/>
      <c r="F434" s="29"/>
      <c r="G434" s="29"/>
      <c r="H434" s="29"/>
      <c r="J434" s="29"/>
      <c r="K434" s="29"/>
      <c r="L434" s="19"/>
      <c r="M434" s="19"/>
      <c r="N434" s="30"/>
      <c r="O434" s="30"/>
      <c r="P434" s="32"/>
      <c r="Q434" s="32"/>
      <c r="R434" s="32"/>
      <c r="S434" s="32"/>
      <c r="T434" s="32"/>
      <c r="U434" s="30"/>
    </row>
    <row r="435" spans="1:21">
      <c r="A435" s="29"/>
      <c r="B435" s="29"/>
      <c r="C435" s="29"/>
      <c r="D435" s="29"/>
      <c r="E435" s="29"/>
      <c r="F435" s="29"/>
      <c r="G435" s="29"/>
      <c r="H435" s="29"/>
      <c r="J435" s="29"/>
      <c r="K435" s="29"/>
      <c r="L435" s="19"/>
      <c r="M435" s="19"/>
      <c r="N435" s="30"/>
      <c r="O435" s="30"/>
      <c r="P435" s="32"/>
      <c r="Q435" s="32"/>
      <c r="R435" s="32"/>
      <c r="S435" s="32"/>
      <c r="T435" s="32"/>
      <c r="U435" s="30"/>
    </row>
    <row r="436" spans="1:21">
      <c r="A436" s="29"/>
      <c r="B436" s="29"/>
      <c r="C436" s="29"/>
      <c r="D436" s="29"/>
      <c r="E436" s="29"/>
      <c r="F436" s="29"/>
      <c r="G436" s="29"/>
      <c r="H436" s="29"/>
      <c r="J436" s="29"/>
      <c r="K436" s="29"/>
      <c r="L436" s="19"/>
      <c r="M436" s="19"/>
      <c r="N436" s="30"/>
      <c r="O436" s="30"/>
      <c r="P436" s="32"/>
      <c r="Q436" s="32"/>
      <c r="R436" s="32"/>
      <c r="S436" s="32"/>
      <c r="T436" s="32"/>
      <c r="U436" s="30"/>
    </row>
    <row r="437" spans="1:21">
      <c r="A437" s="29"/>
      <c r="B437" s="29"/>
      <c r="C437" s="29"/>
      <c r="D437" s="29"/>
      <c r="E437" s="29"/>
      <c r="F437" s="29"/>
      <c r="G437" s="29"/>
      <c r="H437" s="29"/>
      <c r="J437" s="29"/>
      <c r="K437" s="29"/>
      <c r="L437" s="19"/>
      <c r="M437" s="19"/>
      <c r="N437" s="30"/>
      <c r="O437" s="30"/>
      <c r="P437" s="32"/>
      <c r="Q437" s="32"/>
      <c r="R437" s="32"/>
      <c r="S437" s="32"/>
      <c r="T437" s="32"/>
      <c r="U437" s="30"/>
    </row>
    <row r="438" spans="1:21">
      <c r="A438" s="29"/>
      <c r="B438" s="29"/>
      <c r="C438" s="29"/>
      <c r="D438" s="29"/>
      <c r="E438" s="29"/>
      <c r="F438" s="29"/>
      <c r="G438" s="29"/>
      <c r="H438" s="29"/>
      <c r="J438" s="29"/>
      <c r="K438" s="29"/>
      <c r="L438" s="19"/>
      <c r="M438" s="19"/>
      <c r="N438" s="30"/>
      <c r="O438" s="30"/>
      <c r="P438" s="32"/>
      <c r="Q438" s="32"/>
      <c r="R438" s="32"/>
      <c r="S438" s="32"/>
      <c r="T438" s="32"/>
      <c r="U438" s="30"/>
    </row>
    <row r="439" spans="1:21">
      <c r="A439" s="29"/>
      <c r="B439" s="29"/>
      <c r="C439" s="29"/>
      <c r="D439" s="29"/>
      <c r="E439" s="29"/>
      <c r="F439" s="29"/>
      <c r="G439" s="29"/>
      <c r="H439" s="29"/>
      <c r="J439" s="29"/>
      <c r="K439" s="29"/>
      <c r="L439" s="19"/>
      <c r="M439" s="19"/>
      <c r="N439" s="30"/>
      <c r="O439" s="30"/>
      <c r="P439" s="32"/>
      <c r="Q439" s="32"/>
      <c r="R439" s="32"/>
      <c r="S439" s="32"/>
      <c r="T439" s="32"/>
      <c r="U439" s="30"/>
    </row>
    <row r="440" spans="1:21">
      <c r="A440" s="29"/>
      <c r="B440" s="29"/>
      <c r="C440" s="29"/>
      <c r="D440" s="29"/>
      <c r="E440" s="29"/>
      <c r="F440" s="29"/>
      <c r="G440" s="29"/>
      <c r="H440" s="29"/>
      <c r="J440" s="29"/>
      <c r="K440" s="29"/>
      <c r="L440" s="19"/>
      <c r="M440" s="19"/>
      <c r="N440" s="30"/>
      <c r="O440" s="30"/>
      <c r="P440" s="32"/>
      <c r="Q440" s="32"/>
      <c r="R440" s="32"/>
      <c r="S440" s="32"/>
      <c r="T440" s="32"/>
      <c r="U440" s="30"/>
    </row>
    <row r="441" spans="1:21">
      <c r="A441" s="29"/>
      <c r="B441" s="29"/>
      <c r="C441" s="29"/>
      <c r="D441" s="29"/>
      <c r="E441" s="29"/>
      <c r="F441" s="29"/>
      <c r="G441" s="29"/>
      <c r="H441" s="29"/>
      <c r="J441" s="29"/>
      <c r="K441" s="29"/>
      <c r="L441" s="19"/>
      <c r="M441" s="19"/>
      <c r="N441" s="30"/>
      <c r="O441" s="30"/>
      <c r="P441" s="32"/>
      <c r="Q441" s="32"/>
      <c r="R441" s="32"/>
      <c r="S441" s="32"/>
      <c r="T441" s="32"/>
      <c r="U441" s="30"/>
    </row>
    <row r="442" spans="1:21">
      <c r="A442" s="29"/>
      <c r="B442" s="29"/>
      <c r="C442" s="29"/>
      <c r="D442" s="29"/>
      <c r="E442" s="29"/>
      <c r="F442" s="29"/>
      <c r="G442" s="29"/>
      <c r="H442" s="29"/>
      <c r="J442" s="29"/>
      <c r="K442" s="29"/>
      <c r="L442" s="19"/>
      <c r="M442" s="19"/>
      <c r="N442" s="30"/>
      <c r="O442" s="30"/>
      <c r="P442" s="32"/>
      <c r="Q442" s="32"/>
      <c r="R442" s="32"/>
      <c r="S442" s="32"/>
      <c r="T442" s="32"/>
      <c r="U442" s="30"/>
    </row>
    <row r="443" spans="1:21">
      <c r="A443" s="29"/>
      <c r="B443" s="29"/>
      <c r="C443" s="29"/>
      <c r="D443" s="29"/>
      <c r="E443" s="29"/>
      <c r="F443" s="29"/>
      <c r="G443" s="29"/>
      <c r="H443" s="29"/>
      <c r="J443" s="29"/>
      <c r="K443" s="29"/>
      <c r="L443" s="19"/>
      <c r="M443" s="19"/>
      <c r="N443" s="30"/>
      <c r="O443" s="30"/>
      <c r="P443" s="32"/>
      <c r="Q443" s="32"/>
      <c r="R443" s="32"/>
      <c r="S443" s="32"/>
      <c r="T443" s="32"/>
      <c r="U443" s="30"/>
    </row>
    <row r="444" spans="1:21">
      <c r="A444" s="29"/>
      <c r="B444" s="29"/>
      <c r="C444" s="29"/>
      <c r="D444" s="29"/>
      <c r="E444" s="29"/>
      <c r="F444" s="29"/>
      <c r="G444" s="29"/>
      <c r="H444" s="29"/>
      <c r="J444" s="29"/>
      <c r="K444" s="29"/>
      <c r="L444" s="19"/>
      <c r="M444" s="19"/>
      <c r="N444" s="30"/>
      <c r="O444" s="30"/>
      <c r="P444" s="32"/>
      <c r="Q444" s="32"/>
      <c r="R444" s="32"/>
      <c r="S444" s="32"/>
      <c r="T444" s="32"/>
      <c r="U444" s="30"/>
    </row>
    <row r="445" spans="1:21">
      <c r="A445" s="29"/>
      <c r="B445" s="29"/>
      <c r="C445" s="29"/>
      <c r="D445" s="29"/>
      <c r="E445" s="29"/>
      <c r="F445" s="29"/>
      <c r="G445" s="29"/>
      <c r="H445" s="29"/>
      <c r="J445" s="29"/>
      <c r="K445" s="29"/>
      <c r="L445" s="19"/>
      <c r="M445" s="19"/>
      <c r="N445" s="30"/>
      <c r="O445" s="30"/>
      <c r="P445" s="32"/>
      <c r="Q445" s="32"/>
      <c r="R445" s="32"/>
      <c r="S445" s="32"/>
      <c r="T445" s="32"/>
      <c r="U445" s="30"/>
    </row>
    <row r="446" spans="1:21">
      <c r="A446" s="29"/>
      <c r="B446" s="29"/>
      <c r="C446" s="29"/>
      <c r="D446" s="29"/>
      <c r="E446" s="29"/>
      <c r="F446" s="29"/>
      <c r="G446" s="29"/>
      <c r="H446" s="29"/>
      <c r="J446" s="29"/>
      <c r="K446" s="29"/>
      <c r="L446" s="19"/>
      <c r="M446" s="19"/>
      <c r="N446" s="30"/>
      <c r="O446" s="30"/>
      <c r="P446" s="32"/>
      <c r="Q446" s="32"/>
      <c r="R446" s="32"/>
      <c r="S446" s="32"/>
      <c r="T446" s="32"/>
      <c r="U446" s="30"/>
    </row>
    <row r="447" spans="1:21">
      <c r="A447" s="29"/>
      <c r="B447" s="29"/>
      <c r="C447" s="29"/>
      <c r="D447" s="29"/>
      <c r="E447" s="29"/>
      <c r="F447" s="29"/>
      <c r="G447" s="29"/>
      <c r="H447" s="29"/>
      <c r="J447" s="29"/>
      <c r="K447" s="29"/>
      <c r="L447" s="19"/>
      <c r="M447" s="19"/>
      <c r="N447" s="30"/>
      <c r="O447" s="30"/>
      <c r="P447" s="32"/>
      <c r="Q447" s="32"/>
      <c r="R447" s="32"/>
      <c r="S447" s="32"/>
      <c r="T447" s="32"/>
      <c r="U447" s="30"/>
    </row>
    <row r="448" spans="1:21">
      <c r="A448" s="29"/>
      <c r="B448" s="29"/>
      <c r="C448" s="29"/>
      <c r="D448" s="29"/>
      <c r="E448" s="29"/>
      <c r="F448" s="29"/>
      <c r="G448" s="29"/>
      <c r="H448" s="29"/>
      <c r="J448" s="29"/>
      <c r="K448" s="29"/>
      <c r="L448" s="19"/>
      <c r="M448" s="19"/>
      <c r="N448" s="30"/>
      <c r="O448" s="30"/>
      <c r="P448" s="32"/>
      <c r="Q448" s="32"/>
      <c r="R448" s="32"/>
      <c r="S448" s="32"/>
      <c r="T448" s="32"/>
      <c r="U448" s="30"/>
    </row>
    <row r="449" spans="1:21">
      <c r="A449" s="29"/>
      <c r="B449" s="29"/>
      <c r="C449" s="29"/>
      <c r="D449" s="29"/>
      <c r="E449" s="29"/>
      <c r="F449" s="29"/>
      <c r="G449" s="29"/>
      <c r="H449" s="29"/>
      <c r="J449" s="29"/>
      <c r="K449" s="29"/>
      <c r="L449" s="19"/>
      <c r="M449" s="19"/>
      <c r="N449" s="30"/>
      <c r="O449" s="30"/>
      <c r="P449" s="32"/>
      <c r="Q449" s="32"/>
      <c r="R449" s="32"/>
      <c r="S449" s="32"/>
      <c r="T449" s="32"/>
      <c r="U449" s="30"/>
    </row>
    <row r="450" spans="1:21">
      <c r="A450" s="29"/>
      <c r="B450" s="29"/>
      <c r="C450" s="29"/>
      <c r="D450" s="29"/>
      <c r="E450" s="29"/>
      <c r="F450" s="29"/>
      <c r="G450" s="29"/>
      <c r="H450" s="29"/>
      <c r="J450" s="29"/>
      <c r="K450" s="29"/>
      <c r="L450" s="19"/>
      <c r="M450" s="19"/>
      <c r="N450" s="30"/>
      <c r="O450" s="30"/>
      <c r="P450" s="32"/>
      <c r="Q450" s="32"/>
      <c r="R450" s="32"/>
      <c r="S450" s="32"/>
      <c r="T450" s="32"/>
      <c r="U450" s="30"/>
    </row>
    <row r="451" spans="1:21">
      <c r="A451" s="29"/>
      <c r="B451" s="29"/>
      <c r="C451" s="29"/>
      <c r="D451" s="29"/>
      <c r="E451" s="29"/>
      <c r="F451" s="29"/>
      <c r="G451" s="29"/>
      <c r="H451" s="29"/>
      <c r="J451" s="29"/>
      <c r="K451" s="29"/>
      <c r="L451" s="19"/>
      <c r="M451" s="19"/>
      <c r="N451" s="30"/>
      <c r="O451" s="30"/>
      <c r="P451" s="32"/>
      <c r="Q451" s="32"/>
      <c r="R451" s="32"/>
      <c r="S451" s="32"/>
      <c r="T451" s="32"/>
      <c r="U451" s="30"/>
    </row>
    <row r="452" spans="1:21">
      <c r="A452" s="29"/>
      <c r="B452" s="29"/>
      <c r="C452" s="29"/>
      <c r="D452" s="29"/>
      <c r="E452" s="29"/>
      <c r="F452" s="29"/>
      <c r="G452" s="29"/>
      <c r="H452" s="29"/>
      <c r="J452" s="29"/>
      <c r="K452" s="29"/>
      <c r="L452" s="19"/>
      <c r="M452" s="19"/>
      <c r="N452" s="30"/>
      <c r="O452" s="30"/>
      <c r="P452" s="32"/>
      <c r="Q452" s="32"/>
      <c r="R452" s="32"/>
      <c r="S452" s="32"/>
      <c r="T452" s="32"/>
      <c r="U452" s="30"/>
    </row>
    <row r="453" spans="1:21">
      <c r="A453" s="29"/>
      <c r="B453" s="29"/>
      <c r="C453" s="29"/>
      <c r="D453" s="29"/>
      <c r="E453" s="29"/>
      <c r="F453" s="29"/>
      <c r="G453" s="29"/>
      <c r="H453" s="29"/>
      <c r="J453" s="29"/>
      <c r="K453" s="29"/>
      <c r="L453" s="19"/>
      <c r="M453" s="19"/>
      <c r="N453" s="30"/>
      <c r="O453" s="30"/>
      <c r="P453" s="32"/>
      <c r="Q453" s="32"/>
      <c r="R453" s="32"/>
      <c r="S453" s="32"/>
      <c r="T453" s="32"/>
      <c r="U453" s="30"/>
    </row>
    <row r="454" spans="1:21">
      <c r="A454" s="29"/>
      <c r="B454" s="29"/>
      <c r="C454" s="29"/>
      <c r="D454" s="29"/>
      <c r="E454" s="29"/>
      <c r="F454" s="29"/>
      <c r="G454" s="29"/>
      <c r="H454" s="29"/>
      <c r="J454" s="29"/>
      <c r="K454" s="29"/>
      <c r="L454" s="19"/>
      <c r="M454" s="19"/>
      <c r="N454" s="30"/>
      <c r="O454" s="30"/>
      <c r="P454" s="32"/>
      <c r="Q454" s="32"/>
      <c r="R454" s="32"/>
      <c r="S454" s="32"/>
      <c r="T454" s="32"/>
      <c r="U454" s="30"/>
    </row>
    <row r="455" spans="1:21">
      <c r="A455" s="29"/>
      <c r="B455" s="29"/>
      <c r="C455" s="29"/>
      <c r="D455" s="29"/>
      <c r="E455" s="29"/>
      <c r="F455" s="29"/>
      <c r="G455" s="29"/>
      <c r="H455" s="29"/>
      <c r="J455" s="29"/>
      <c r="K455" s="29"/>
      <c r="L455" s="19"/>
      <c r="M455" s="19"/>
      <c r="N455" s="30"/>
      <c r="O455" s="30"/>
      <c r="P455" s="32"/>
      <c r="Q455" s="32"/>
      <c r="R455" s="32"/>
      <c r="S455" s="32"/>
      <c r="T455" s="32"/>
      <c r="U455" s="30"/>
    </row>
    <row r="456" spans="1:21">
      <c r="A456" s="29"/>
      <c r="B456" s="29"/>
      <c r="C456" s="29"/>
      <c r="D456" s="29"/>
      <c r="E456" s="29"/>
      <c r="F456" s="29"/>
      <c r="G456" s="29"/>
      <c r="H456" s="29"/>
      <c r="J456" s="29"/>
      <c r="K456" s="29"/>
      <c r="L456" s="19"/>
      <c r="M456" s="19"/>
      <c r="N456" s="30"/>
      <c r="O456" s="30"/>
      <c r="P456" s="32"/>
      <c r="Q456" s="32"/>
      <c r="R456" s="32"/>
      <c r="S456" s="32"/>
      <c r="T456" s="32"/>
      <c r="U456" s="30"/>
    </row>
    <row r="457" spans="1:21">
      <c r="A457" s="29"/>
      <c r="B457" s="29"/>
      <c r="C457" s="29"/>
      <c r="D457" s="29"/>
      <c r="E457" s="29"/>
      <c r="F457" s="29"/>
      <c r="G457" s="29"/>
      <c r="H457" s="29"/>
      <c r="J457" s="29"/>
      <c r="K457" s="29"/>
      <c r="L457" s="19"/>
      <c r="M457" s="19"/>
      <c r="N457" s="30"/>
      <c r="O457" s="30"/>
      <c r="P457" s="32"/>
      <c r="Q457" s="32"/>
      <c r="R457" s="32"/>
      <c r="S457" s="32"/>
      <c r="T457" s="32"/>
      <c r="U457" s="30"/>
    </row>
    <row r="458" spans="1:21">
      <c r="A458" s="29"/>
      <c r="B458" s="29"/>
      <c r="C458" s="29"/>
      <c r="D458" s="29"/>
      <c r="E458" s="29"/>
      <c r="F458" s="29"/>
      <c r="G458" s="29"/>
      <c r="H458" s="29"/>
      <c r="J458" s="29"/>
      <c r="K458" s="29"/>
      <c r="L458" s="19"/>
      <c r="M458" s="19"/>
      <c r="N458" s="30"/>
      <c r="O458" s="30"/>
      <c r="P458" s="32"/>
      <c r="Q458" s="32"/>
      <c r="R458" s="32"/>
      <c r="S458" s="32"/>
      <c r="T458" s="32"/>
      <c r="U458" s="30"/>
    </row>
    <row r="459" spans="1:21">
      <c r="A459" s="29"/>
      <c r="B459" s="29"/>
      <c r="C459" s="29"/>
      <c r="D459" s="29"/>
      <c r="E459" s="29"/>
      <c r="F459" s="29"/>
      <c r="G459" s="29"/>
      <c r="H459" s="29"/>
      <c r="J459" s="29"/>
      <c r="K459" s="29"/>
      <c r="L459" s="19"/>
      <c r="M459" s="19"/>
      <c r="N459" s="30"/>
      <c r="O459" s="30"/>
      <c r="P459" s="32"/>
      <c r="Q459" s="32"/>
      <c r="R459" s="32"/>
      <c r="S459" s="32"/>
      <c r="T459" s="32"/>
      <c r="U459" s="30"/>
    </row>
    <row r="460" spans="1:21">
      <c r="A460" s="29"/>
      <c r="B460" s="29"/>
      <c r="C460" s="29"/>
      <c r="D460" s="29"/>
      <c r="E460" s="29"/>
      <c r="F460" s="29"/>
      <c r="G460" s="29"/>
      <c r="H460" s="29"/>
      <c r="J460" s="29"/>
      <c r="K460" s="29"/>
      <c r="L460" s="19"/>
      <c r="M460" s="19"/>
      <c r="N460" s="30"/>
      <c r="O460" s="30"/>
      <c r="P460" s="32"/>
      <c r="Q460" s="32"/>
      <c r="R460" s="32"/>
      <c r="S460" s="32"/>
      <c r="T460" s="32"/>
      <c r="U460" s="30"/>
    </row>
    <row r="461" spans="1:21">
      <c r="A461" s="29"/>
      <c r="B461" s="29"/>
      <c r="C461" s="29"/>
      <c r="D461" s="29"/>
      <c r="E461" s="29"/>
      <c r="F461" s="29"/>
      <c r="G461" s="29"/>
      <c r="H461" s="29"/>
      <c r="J461" s="29"/>
      <c r="K461" s="29"/>
      <c r="L461" s="19"/>
      <c r="M461" s="19"/>
      <c r="N461" s="30"/>
      <c r="O461" s="30"/>
      <c r="P461" s="32"/>
      <c r="Q461" s="32"/>
      <c r="R461" s="32"/>
      <c r="S461" s="32"/>
      <c r="T461" s="32"/>
      <c r="U461" s="30"/>
    </row>
    <row r="462" spans="1:21">
      <c r="A462" s="29"/>
      <c r="B462" s="29"/>
      <c r="C462" s="29"/>
      <c r="D462" s="29"/>
      <c r="E462" s="29"/>
      <c r="F462" s="29"/>
      <c r="G462" s="29"/>
      <c r="H462" s="29"/>
      <c r="J462" s="29"/>
      <c r="K462" s="29"/>
      <c r="L462" s="19"/>
      <c r="M462" s="19"/>
      <c r="N462" s="30"/>
      <c r="O462" s="30"/>
      <c r="P462" s="32"/>
      <c r="Q462" s="32"/>
      <c r="R462" s="32"/>
      <c r="S462" s="32"/>
      <c r="T462" s="32"/>
      <c r="U462" s="30"/>
    </row>
    <row r="463" spans="1:21">
      <c r="A463" s="29"/>
      <c r="B463" s="29"/>
      <c r="C463" s="29"/>
      <c r="D463" s="29"/>
      <c r="E463" s="29"/>
      <c r="F463" s="29"/>
      <c r="G463" s="29"/>
      <c r="H463" s="29"/>
      <c r="J463" s="29"/>
      <c r="K463" s="29"/>
      <c r="L463" s="19"/>
      <c r="M463" s="19"/>
      <c r="N463" s="30"/>
      <c r="O463" s="30"/>
      <c r="P463" s="32"/>
      <c r="Q463" s="32"/>
      <c r="R463" s="32"/>
      <c r="S463" s="32"/>
      <c r="T463" s="32"/>
      <c r="U463" s="30"/>
    </row>
    <row r="464" spans="1:21">
      <c r="A464" s="29"/>
      <c r="B464" s="29"/>
      <c r="C464" s="29"/>
      <c r="D464" s="29"/>
      <c r="E464" s="29"/>
      <c r="F464" s="29"/>
      <c r="G464" s="29"/>
      <c r="H464" s="29"/>
      <c r="J464" s="29"/>
      <c r="K464" s="29"/>
      <c r="L464" s="19"/>
      <c r="M464" s="19"/>
      <c r="N464" s="30"/>
      <c r="O464" s="31"/>
      <c r="P464" s="32"/>
      <c r="Q464" s="32"/>
      <c r="R464" s="32"/>
      <c r="S464" s="32"/>
      <c r="T464" s="32"/>
      <c r="U464" s="30"/>
    </row>
    <row r="465" spans="1:21">
      <c r="A465" s="29"/>
      <c r="B465" s="29"/>
      <c r="C465" s="29"/>
      <c r="D465" s="29"/>
      <c r="E465" s="29"/>
      <c r="F465" s="29"/>
      <c r="G465" s="29"/>
      <c r="H465" s="29"/>
      <c r="J465" s="29"/>
      <c r="K465" s="29"/>
      <c r="L465" s="19"/>
      <c r="M465" s="19"/>
      <c r="N465" s="30"/>
      <c r="O465" s="30"/>
      <c r="P465" s="32"/>
      <c r="Q465" s="32"/>
      <c r="R465" s="32"/>
      <c r="S465" s="32"/>
      <c r="T465" s="32"/>
      <c r="U465" s="30"/>
    </row>
    <row r="466" spans="1:21">
      <c r="A466" s="29"/>
      <c r="B466" s="29"/>
      <c r="C466" s="29"/>
      <c r="D466" s="29"/>
      <c r="E466" s="29"/>
      <c r="F466" s="29"/>
      <c r="G466" s="29"/>
      <c r="H466" s="29"/>
      <c r="J466" s="29"/>
      <c r="K466" s="29"/>
      <c r="L466" s="19"/>
      <c r="M466" s="19"/>
      <c r="N466" s="30"/>
      <c r="O466" s="30"/>
      <c r="P466" s="32"/>
      <c r="Q466" s="32"/>
      <c r="R466" s="32"/>
      <c r="S466" s="32"/>
      <c r="T466" s="32"/>
      <c r="U466" s="30"/>
    </row>
    <row r="467" spans="1:21">
      <c r="A467" s="29"/>
      <c r="B467" s="29"/>
      <c r="C467" s="29"/>
      <c r="D467" s="29"/>
      <c r="E467" s="29"/>
      <c r="F467" s="29"/>
      <c r="G467" s="29"/>
      <c r="H467" s="29"/>
      <c r="J467" s="29"/>
      <c r="K467" s="29"/>
      <c r="L467" s="19"/>
      <c r="M467" s="19"/>
      <c r="N467" s="30"/>
      <c r="O467" s="30"/>
      <c r="P467" s="32"/>
      <c r="Q467" s="32"/>
      <c r="R467" s="32"/>
      <c r="S467" s="32"/>
      <c r="T467" s="32"/>
      <c r="U467" s="30"/>
    </row>
    <row r="468" spans="1:21">
      <c r="A468" s="29"/>
      <c r="B468" s="29"/>
      <c r="C468" s="29"/>
      <c r="D468" s="29"/>
      <c r="E468" s="29"/>
      <c r="F468" s="29"/>
      <c r="G468" s="29"/>
      <c r="H468" s="29"/>
      <c r="J468" s="29"/>
      <c r="K468" s="29"/>
      <c r="L468" s="19"/>
      <c r="M468" s="19"/>
      <c r="N468" s="30"/>
      <c r="O468" s="30"/>
      <c r="P468" s="32"/>
      <c r="Q468" s="32"/>
      <c r="R468" s="32"/>
      <c r="S468" s="32"/>
      <c r="T468" s="32"/>
      <c r="U468" s="30"/>
    </row>
    <row r="469" spans="1:21">
      <c r="A469" s="29"/>
      <c r="B469" s="29"/>
      <c r="C469" s="29"/>
      <c r="D469" s="29"/>
      <c r="E469" s="29"/>
      <c r="F469" s="29"/>
      <c r="G469" s="29"/>
      <c r="H469" s="29"/>
      <c r="J469" s="29"/>
      <c r="K469" s="29"/>
      <c r="L469" s="19"/>
      <c r="M469" s="19"/>
      <c r="N469" s="30"/>
      <c r="O469" s="30"/>
      <c r="P469" s="32"/>
      <c r="Q469" s="32"/>
      <c r="R469" s="32"/>
      <c r="S469" s="32"/>
      <c r="T469" s="32"/>
      <c r="U469" s="30"/>
    </row>
    <row r="470" spans="1:21">
      <c r="A470" s="29"/>
      <c r="B470" s="29"/>
      <c r="C470" s="29"/>
      <c r="D470" s="29"/>
      <c r="E470" s="29"/>
      <c r="F470" s="29"/>
      <c r="G470" s="29"/>
      <c r="H470" s="29"/>
      <c r="J470" s="29"/>
      <c r="K470" s="29"/>
      <c r="L470" s="19"/>
      <c r="M470" s="19"/>
      <c r="N470" s="30"/>
      <c r="O470" s="30"/>
      <c r="P470" s="32"/>
      <c r="Q470" s="32"/>
      <c r="R470" s="32"/>
      <c r="S470" s="32"/>
      <c r="T470" s="32"/>
      <c r="U470" s="30"/>
    </row>
    <row r="471" spans="1:21">
      <c r="A471" s="29"/>
      <c r="B471" s="29"/>
      <c r="C471" s="29"/>
      <c r="D471" s="29"/>
      <c r="E471" s="29"/>
      <c r="F471" s="29"/>
      <c r="G471" s="29"/>
      <c r="H471" s="29"/>
      <c r="J471" s="29"/>
      <c r="K471" s="29"/>
      <c r="L471" s="19"/>
      <c r="M471" s="19"/>
      <c r="N471" s="30"/>
      <c r="O471" s="30"/>
      <c r="P471" s="32"/>
      <c r="Q471" s="32"/>
      <c r="R471" s="32"/>
      <c r="S471" s="32"/>
      <c r="T471" s="32"/>
      <c r="U471" s="30"/>
    </row>
    <row r="472" spans="1:21">
      <c r="A472" s="29"/>
      <c r="B472" s="29"/>
      <c r="C472" s="29"/>
      <c r="D472" s="29"/>
      <c r="E472" s="29"/>
      <c r="F472" s="29"/>
      <c r="G472" s="29"/>
      <c r="H472" s="29"/>
      <c r="J472" s="29"/>
      <c r="K472" s="29"/>
      <c r="L472" s="19"/>
      <c r="M472" s="19"/>
      <c r="N472" s="30"/>
      <c r="O472" s="30"/>
      <c r="P472" s="32"/>
      <c r="Q472" s="32"/>
      <c r="R472" s="32"/>
      <c r="S472" s="32"/>
      <c r="T472" s="32"/>
      <c r="U472" s="30"/>
    </row>
    <row r="473" spans="1:21">
      <c r="A473" s="29"/>
      <c r="B473" s="29"/>
      <c r="C473" s="29"/>
      <c r="D473" s="29"/>
      <c r="E473" s="29"/>
      <c r="F473" s="29"/>
      <c r="G473" s="29"/>
      <c r="H473" s="29"/>
      <c r="J473" s="29"/>
      <c r="K473" s="29"/>
      <c r="L473" s="19"/>
      <c r="M473" s="19"/>
      <c r="N473" s="30"/>
      <c r="O473" s="30"/>
      <c r="P473" s="32"/>
      <c r="Q473" s="32"/>
      <c r="R473" s="32"/>
      <c r="S473" s="32"/>
      <c r="T473" s="32"/>
      <c r="U473" s="30"/>
    </row>
    <row r="474" spans="1:21">
      <c r="A474" s="29"/>
      <c r="B474" s="29"/>
      <c r="C474" s="29"/>
      <c r="D474" s="29"/>
      <c r="E474" s="29"/>
      <c r="F474" s="29"/>
      <c r="G474" s="29"/>
      <c r="H474" s="29"/>
      <c r="J474" s="29"/>
      <c r="K474" s="29"/>
      <c r="L474" s="19"/>
      <c r="M474" s="19"/>
      <c r="N474" s="30"/>
      <c r="O474" s="31"/>
      <c r="P474" s="32"/>
      <c r="Q474" s="32"/>
      <c r="R474" s="32"/>
      <c r="S474" s="32"/>
      <c r="T474" s="32"/>
      <c r="U474" s="30"/>
    </row>
    <row r="475" spans="1:21">
      <c r="A475" s="29"/>
      <c r="B475" s="29"/>
      <c r="C475" s="29"/>
      <c r="D475" s="29"/>
      <c r="E475" s="29"/>
      <c r="F475" s="29"/>
      <c r="G475" s="29"/>
      <c r="H475" s="29"/>
      <c r="J475" s="29"/>
      <c r="K475" s="29"/>
      <c r="L475" s="19"/>
      <c r="M475" s="19"/>
      <c r="N475" s="30"/>
      <c r="O475" s="30"/>
      <c r="P475" s="32"/>
      <c r="Q475" s="32"/>
      <c r="R475" s="32"/>
      <c r="S475" s="32"/>
      <c r="T475" s="32"/>
      <c r="U475" s="30"/>
    </row>
    <row r="476" spans="1:21">
      <c r="A476" s="29"/>
      <c r="B476" s="29"/>
      <c r="C476" s="29"/>
      <c r="D476" s="29"/>
      <c r="E476" s="29"/>
      <c r="F476" s="29"/>
      <c r="G476" s="29"/>
      <c r="H476" s="29"/>
      <c r="J476" s="29"/>
      <c r="K476" s="29"/>
      <c r="L476" s="19"/>
      <c r="M476" s="19"/>
      <c r="N476" s="30"/>
      <c r="O476" s="31"/>
      <c r="P476" s="32"/>
      <c r="Q476" s="32"/>
      <c r="R476" s="32"/>
      <c r="S476" s="32"/>
      <c r="T476" s="32"/>
      <c r="U476" s="30"/>
    </row>
    <row r="477" spans="1:21">
      <c r="A477" s="29"/>
      <c r="B477" s="29"/>
      <c r="C477" s="29"/>
      <c r="D477" s="29"/>
      <c r="E477" s="29"/>
      <c r="F477" s="29"/>
      <c r="G477" s="29"/>
      <c r="H477" s="29"/>
      <c r="J477" s="29"/>
      <c r="K477" s="29"/>
      <c r="L477" s="19"/>
      <c r="M477" s="19"/>
      <c r="N477" s="30"/>
      <c r="O477" s="30"/>
      <c r="P477" s="32"/>
      <c r="Q477" s="32"/>
      <c r="R477" s="32"/>
      <c r="S477" s="32"/>
      <c r="T477" s="32"/>
      <c r="U477" s="30"/>
    </row>
    <row r="478" spans="1:21">
      <c r="A478" s="29"/>
      <c r="B478" s="29"/>
      <c r="C478" s="29"/>
      <c r="D478" s="29"/>
      <c r="E478" s="29"/>
      <c r="F478" s="29"/>
      <c r="G478" s="29"/>
      <c r="H478" s="29"/>
      <c r="J478" s="29"/>
      <c r="K478" s="29"/>
      <c r="L478" s="19"/>
      <c r="M478" s="19"/>
      <c r="N478" s="30"/>
      <c r="O478" s="30"/>
      <c r="P478" s="32"/>
      <c r="Q478" s="32"/>
      <c r="R478" s="32"/>
      <c r="S478" s="32"/>
      <c r="T478" s="32"/>
      <c r="U478" s="30"/>
    </row>
    <row r="479" spans="1:21">
      <c r="A479" s="29"/>
      <c r="B479" s="29"/>
      <c r="C479" s="29"/>
      <c r="D479" s="29"/>
      <c r="E479" s="29"/>
      <c r="F479" s="29"/>
      <c r="G479" s="29"/>
      <c r="H479" s="29"/>
      <c r="J479" s="29"/>
      <c r="K479" s="29"/>
      <c r="L479" s="19"/>
      <c r="M479" s="19"/>
      <c r="N479" s="30"/>
      <c r="O479" s="30"/>
      <c r="P479" s="32"/>
      <c r="Q479" s="32"/>
      <c r="R479" s="32"/>
      <c r="S479" s="32"/>
      <c r="T479" s="32"/>
      <c r="U479" s="30"/>
    </row>
    <row r="480" spans="1:21">
      <c r="A480" s="29"/>
      <c r="B480" s="29"/>
      <c r="C480" s="29"/>
      <c r="D480" s="29"/>
      <c r="E480" s="29"/>
      <c r="F480" s="29"/>
      <c r="G480" s="29"/>
      <c r="H480" s="29"/>
      <c r="J480" s="29"/>
      <c r="K480" s="29"/>
      <c r="L480" s="19"/>
      <c r="M480" s="19"/>
      <c r="N480" s="30"/>
      <c r="O480" s="30"/>
      <c r="P480" s="32"/>
      <c r="Q480" s="32"/>
      <c r="R480" s="32"/>
      <c r="S480" s="32"/>
      <c r="T480" s="32"/>
      <c r="U480" s="30"/>
    </row>
    <row r="481" spans="1:21">
      <c r="A481" s="29"/>
      <c r="B481" s="29"/>
      <c r="C481" s="29"/>
      <c r="D481" s="29"/>
      <c r="E481" s="29"/>
      <c r="F481" s="29"/>
      <c r="G481" s="29"/>
      <c r="H481" s="29"/>
      <c r="J481" s="29"/>
      <c r="K481" s="29"/>
      <c r="L481" s="19"/>
      <c r="M481" s="19"/>
      <c r="N481" s="30"/>
      <c r="O481" s="30"/>
      <c r="P481" s="32"/>
      <c r="Q481" s="32"/>
      <c r="R481" s="32"/>
      <c r="S481" s="32"/>
      <c r="T481" s="32"/>
      <c r="U481" s="30"/>
    </row>
    <row r="482" spans="1:21">
      <c r="A482" s="29"/>
      <c r="B482" s="29"/>
      <c r="C482" s="29"/>
      <c r="D482" s="29"/>
      <c r="E482" s="29"/>
      <c r="F482" s="29"/>
      <c r="G482" s="29"/>
      <c r="H482" s="29"/>
      <c r="J482" s="29"/>
      <c r="K482" s="29"/>
      <c r="L482" s="19"/>
      <c r="M482" s="19"/>
      <c r="N482" s="30"/>
      <c r="O482" s="30"/>
      <c r="P482" s="32"/>
      <c r="Q482" s="32"/>
      <c r="R482" s="32"/>
      <c r="S482" s="32"/>
      <c r="T482" s="32"/>
      <c r="U482" s="30"/>
    </row>
    <row r="483" spans="1:21">
      <c r="A483" s="29"/>
      <c r="B483" s="29"/>
      <c r="C483" s="29"/>
      <c r="D483" s="29"/>
      <c r="E483" s="29"/>
      <c r="F483" s="29"/>
      <c r="G483" s="29"/>
      <c r="H483" s="29"/>
      <c r="J483" s="29"/>
      <c r="K483" s="29"/>
      <c r="L483" s="19"/>
      <c r="M483" s="19"/>
      <c r="N483" s="30"/>
      <c r="O483" s="30"/>
      <c r="P483" s="32"/>
      <c r="Q483" s="32"/>
      <c r="R483" s="32"/>
      <c r="S483" s="32"/>
      <c r="T483" s="32"/>
      <c r="U483" s="30"/>
    </row>
    <row r="484" spans="1:21">
      <c r="A484" s="29"/>
      <c r="B484" s="29"/>
      <c r="C484" s="29"/>
      <c r="D484" s="29"/>
      <c r="E484" s="29"/>
      <c r="F484" s="29"/>
      <c r="G484" s="29"/>
      <c r="H484" s="29"/>
      <c r="J484" s="29"/>
      <c r="K484" s="29"/>
      <c r="L484" s="19"/>
      <c r="M484" s="19"/>
      <c r="N484" s="30"/>
      <c r="O484" s="30"/>
      <c r="P484" s="32"/>
      <c r="Q484" s="32"/>
      <c r="R484" s="32"/>
      <c r="S484" s="32"/>
      <c r="T484" s="32"/>
      <c r="U484" s="30"/>
    </row>
    <row r="485" spans="1:21">
      <c r="A485" s="29"/>
      <c r="B485" s="29"/>
      <c r="C485" s="29"/>
      <c r="D485" s="29"/>
      <c r="E485" s="29"/>
      <c r="F485" s="29"/>
      <c r="G485" s="29"/>
      <c r="H485" s="29"/>
      <c r="J485" s="29"/>
      <c r="K485" s="29"/>
      <c r="L485" s="19"/>
      <c r="M485" s="19"/>
      <c r="N485" s="30"/>
      <c r="O485" s="30"/>
      <c r="P485" s="32"/>
      <c r="Q485" s="32"/>
      <c r="R485" s="32"/>
      <c r="S485" s="32"/>
      <c r="T485" s="32"/>
      <c r="U485" s="30"/>
    </row>
    <row r="486" spans="1:21">
      <c r="A486" s="29"/>
      <c r="B486" s="29"/>
      <c r="C486" s="29"/>
      <c r="D486" s="29"/>
      <c r="E486" s="29"/>
      <c r="F486" s="29"/>
      <c r="G486" s="29"/>
      <c r="H486" s="29"/>
      <c r="J486" s="29"/>
      <c r="K486" s="29"/>
      <c r="L486" s="19"/>
      <c r="M486" s="19"/>
      <c r="N486" s="30"/>
      <c r="O486" s="30"/>
      <c r="P486" s="32"/>
      <c r="Q486" s="32"/>
      <c r="R486" s="32"/>
      <c r="S486" s="32"/>
      <c r="T486" s="32"/>
      <c r="U486" s="30"/>
    </row>
    <row r="487" spans="1:21">
      <c r="A487" s="29"/>
      <c r="B487" s="29"/>
      <c r="C487" s="29"/>
      <c r="D487" s="29"/>
      <c r="E487" s="29"/>
      <c r="F487" s="29"/>
      <c r="G487" s="29"/>
      <c r="H487" s="29"/>
      <c r="J487" s="29"/>
      <c r="K487" s="29"/>
      <c r="L487" s="19"/>
      <c r="M487" s="19"/>
      <c r="N487" s="30"/>
      <c r="O487" s="30"/>
      <c r="P487" s="32"/>
      <c r="Q487" s="32"/>
      <c r="R487" s="32"/>
      <c r="S487" s="32"/>
      <c r="T487" s="32"/>
      <c r="U487" s="30"/>
    </row>
    <row r="488" spans="1:21">
      <c r="A488" s="29"/>
      <c r="B488" s="29"/>
      <c r="C488" s="29"/>
      <c r="D488" s="29"/>
      <c r="E488" s="29"/>
      <c r="F488" s="29"/>
      <c r="G488" s="29"/>
      <c r="H488" s="29"/>
      <c r="J488" s="29"/>
      <c r="K488" s="29"/>
      <c r="L488" s="19"/>
      <c r="M488" s="19"/>
      <c r="N488" s="30"/>
      <c r="O488" s="31"/>
      <c r="P488" s="32"/>
      <c r="Q488" s="32"/>
      <c r="R488" s="32"/>
      <c r="S488" s="32"/>
      <c r="T488" s="32"/>
      <c r="U488" s="30"/>
    </row>
    <row r="489" spans="1:21">
      <c r="A489" s="29"/>
      <c r="B489" s="29"/>
      <c r="C489" s="29"/>
      <c r="D489" s="29"/>
      <c r="E489" s="29"/>
      <c r="F489" s="29"/>
      <c r="G489" s="29"/>
      <c r="H489" s="29"/>
      <c r="J489" s="29"/>
      <c r="K489" s="29"/>
      <c r="L489" s="19"/>
      <c r="M489" s="19"/>
      <c r="N489" s="30"/>
      <c r="O489" s="30"/>
      <c r="P489" s="32"/>
      <c r="Q489" s="32"/>
      <c r="R489" s="32"/>
      <c r="S489" s="32"/>
      <c r="T489" s="32"/>
      <c r="U489" s="30"/>
    </row>
    <row r="490" spans="1:21">
      <c r="A490" s="29"/>
      <c r="B490" s="29"/>
      <c r="C490" s="29"/>
      <c r="D490" s="29"/>
      <c r="E490" s="29"/>
      <c r="F490" s="29"/>
      <c r="G490" s="29"/>
      <c r="H490" s="29"/>
      <c r="J490" s="29"/>
      <c r="K490" s="29"/>
      <c r="L490" s="19"/>
      <c r="M490" s="19"/>
      <c r="N490" s="30"/>
      <c r="O490" s="30"/>
      <c r="P490" s="32"/>
      <c r="Q490" s="32"/>
      <c r="R490" s="32"/>
      <c r="S490" s="32"/>
      <c r="T490" s="32"/>
      <c r="U490" s="30"/>
    </row>
    <row r="491" spans="1:21">
      <c r="A491" s="29"/>
      <c r="B491" s="29"/>
      <c r="C491" s="29"/>
      <c r="D491" s="29"/>
      <c r="E491" s="29"/>
      <c r="F491" s="29"/>
      <c r="G491" s="29"/>
      <c r="H491" s="29"/>
      <c r="J491" s="29"/>
      <c r="K491" s="29"/>
      <c r="L491" s="19"/>
      <c r="M491" s="19"/>
      <c r="N491" s="30"/>
      <c r="O491" s="30"/>
      <c r="P491" s="32"/>
      <c r="Q491" s="32"/>
      <c r="R491" s="32"/>
      <c r="S491" s="32"/>
      <c r="T491" s="32"/>
      <c r="U491" s="30"/>
    </row>
    <row r="492" spans="1:21">
      <c r="A492" s="29"/>
      <c r="B492" s="29"/>
      <c r="C492" s="29"/>
      <c r="D492" s="29"/>
      <c r="E492" s="29"/>
      <c r="F492" s="29"/>
      <c r="G492" s="29"/>
      <c r="H492" s="29"/>
      <c r="J492" s="29"/>
      <c r="K492" s="29"/>
      <c r="L492" s="19"/>
      <c r="M492" s="19"/>
      <c r="N492" s="30"/>
      <c r="O492" s="30"/>
      <c r="P492" s="32"/>
      <c r="Q492" s="32"/>
      <c r="R492" s="32"/>
      <c r="S492" s="32"/>
      <c r="T492" s="32"/>
      <c r="U492" s="30"/>
    </row>
    <row r="493" spans="1:21">
      <c r="A493" s="29"/>
      <c r="B493" s="29"/>
      <c r="C493" s="29"/>
      <c r="D493" s="29"/>
      <c r="E493" s="29"/>
      <c r="F493" s="29"/>
      <c r="G493" s="29"/>
      <c r="H493" s="29"/>
      <c r="J493" s="29"/>
      <c r="K493" s="29"/>
      <c r="L493" s="19"/>
      <c r="M493" s="19"/>
      <c r="N493" s="30"/>
      <c r="O493" s="30"/>
      <c r="P493" s="32"/>
      <c r="Q493" s="32"/>
      <c r="R493" s="32"/>
      <c r="S493" s="32"/>
      <c r="T493" s="32"/>
      <c r="U493" s="30"/>
    </row>
    <row r="494" spans="1:21">
      <c r="A494" s="29"/>
      <c r="B494" s="29"/>
      <c r="C494" s="29"/>
      <c r="D494" s="29"/>
      <c r="E494" s="29"/>
      <c r="F494" s="29"/>
      <c r="G494" s="29"/>
      <c r="H494" s="29"/>
      <c r="J494" s="29"/>
      <c r="K494" s="29"/>
      <c r="L494" s="19"/>
      <c r="M494" s="19"/>
      <c r="N494" s="30"/>
      <c r="O494" s="30"/>
      <c r="P494" s="32"/>
      <c r="Q494" s="32"/>
      <c r="R494" s="32"/>
      <c r="S494" s="32"/>
      <c r="T494" s="32"/>
      <c r="U494" s="30"/>
    </row>
    <row r="495" spans="1:21">
      <c r="A495" s="29"/>
      <c r="B495" s="29"/>
      <c r="C495" s="29"/>
      <c r="D495" s="29"/>
      <c r="E495" s="29"/>
      <c r="F495" s="29"/>
      <c r="G495" s="29"/>
      <c r="H495" s="29"/>
      <c r="J495" s="29"/>
      <c r="K495" s="29"/>
      <c r="L495" s="19"/>
      <c r="M495" s="19"/>
      <c r="N495" s="30"/>
      <c r="O495" s="30"/>
      <c r="P495" s="32"/>
      <c r="Q495" s="32"/>
      <c r="R495" s="32"/>
      <c r="S495" s="32"/>
      <c r="T495" s="32"/>
      <c r="U495" s="30"/>
    </row>
    <row r="496" spans="1:21">
      <c r="A496" s="29"/>
      <c r="B496" s="29"/>
      <c r="C496" s="29"/>
      <c r="D496" s="29"/>
      <c r="E496" s="29"/>
      <c r="F496" s="29"/>
      <c r="G496" s="29"/>
      <c r="H496" s="29"/>
      <c r="J496" s="29"/>
      <c r="K496" s="29"/>
      <c r="L496" s="19"/>
      <c r="M496" s="19"/>
      <c r="N496" s="30"/>
      <c r="O496" s="30"/>
      <c r="P496" s="32"/>
      <c r="Q496" s="32"/>
      <c r="R496" s="32"/>
      <c r="S496" s="32"/>
      <c r="T496" s="32"/>
      <c r="U496" s="30"/>
    </row>
    <row r="497" spans="1:21">
      <c r="A497" s="29"/>
      <c r="B497" s="29"/>
      <c r="C497" s="29"/>
      <c r="D497" s="29"/>
      <c r="E497" s="29"/>
      <c r="F497" s="29"/>
      <c r="G497" s="29"/>
      <c r="H497" s="29"/>
      <c r="J497" s="29"/>
      <c r="K497" s="29"/>
      <c r="L497" s="19"/>
      <c r="M497" s="19"/>
      <c r="N497" s="30"/>
      <c r="O497" s="30"/>
      <c r="P497" s="32"/>
      <c r="Q497" s="32"/>
      <c r="R497" s="32"/>
      <c r="S497" s="32"/>
      <c r="T497" s="32"/>
      <c r="U497" s="30"/>
    </row>
    <row r="498" spans="1:21">
      <c r="A498" s="29"/>
      <c r="B498" s="29"/>
      <c r="C498" s="29"/>
      <c r="D498" s="29"/>
      <c r="E498" s="29"/>
      <c r="F498" s="29"/>
      <c r="G498" s="29"/>
      <c r="H498" s="29"/>
      <c r="J498" s="29"/>
      <c r="K498" s="29"/>
      <c r="L498" s="19"/>
      <c r="M498" s="19"/>
      <c r="N498" s="30"/>
      <c r="O498" s="30"/>
      <c r="P498" s="32"/>
      <c r="Q498" s="32"/>
      <c r="R498" s="32"/>
      <c r="S498" s="32"/>
      <c r="T498" s="32"/>
      <c r="U498" s="30"/>
    </row>
    <row r="499" spans="1:21">
      <c r="A499" s="29"/>
      <c r="B499" s="29"/>
      <c r="C499" s="29"/>
      <c r="D499" s="29"/>
      <c r="E499" s="29"/>
      <c r="F499" s="29"/>
      <c r="G499" s="29"/>
      <c r="H499" s="29"/>
      <c r="J499" s="29"/>
      <c r="K499" s="29"/>
      <c r="L499" s="19"/>
      <c r="M499" s="19"/>
      <c r="N499" s="30"/>
      <c r="O499" s="30"/>
      <c r="P499" s="32"/>
      <c r="Q499" s="32"/>
      <c r="R499" s="32"/>
      <c r="S499" s="32"/>
      <c r="T499" s="32"/>
      <c r="U499" s="30"/>
    </row>
    <row r="500" spans="1:21">
      <c r="A500" s="29"/>
      <c r="B500" s="29"/>
      <c r="C500" s="29"/>
      <c r="D500" s="29"/>
      <c r="E500" s="29"/>
      <c r="F500" s="29"/>
      <c r="G500" s="29"/>
      <c r="H500" s="29"/>
      <c r="J500" s="29"/>
      <c r="K500" s="29"/>
      <c r="L500" s="19"/>
      <c r="M500" s="19"/>
      <c r="N500" s="30"/>
      <c r="O500" s="30"/>
      <c r="P500" s="32"/>
      <c r="Q500" s="32"/>
      <c r="R500" s="32"/>
      <c r="S500" s="32"/>
      <c r="T500" s="32"/>
      <c r="U500" s="30"/>
    </row>
    <row r="501" spans="1:21">
      <c r="A501" s="29"/>
      <c r="B501" s="29"/>
      <c r="C501" s="29"/>
      <c r="D501" s="29"/>
      <c r="E501" s="29"/>
      <c r="F501" s="29"/>
      <c r="G501" s="29"/>
      <c r="H501" s="29"/>
      <c r="J501" s="29"/>
      <c r="K501" s="29"/>
      <c r="L501" s="19"/>
      <c r="M501" s="19"/>
      <c r="N501" s="30"/>
      <c r="O501" s="30"/>
      <c r="P501" s="32"/>
      <c r="Q501" s="32"/>
      <c r="R501" s="32"/>
      <c r="S501" s="32"/>
      <c r="T501" s="32"/>
      <c r="U501" s="30"/>
    </row>
    <row r="502" spans="1:21">
      <c r="A502" s="29"/>
      <c r="B502" s="29"/>
      <c r="C502" s="29"/>
      <c r="D502" s="29"/>
      <c r="E502" s="29"/>
      <c r="F502" s="29"/>
      <c r="G502" s="29"/>
      <c r="H502" s="29"/>
      <c r="J502" s="29"/>
      <c r="K502" s="29"/>
      <c r="L502" s="19"/>
      <c r="M502" s="19"/>
      <c r="N502" s="30"/>
      <c r="O502" s="30"/>
      <c r="P502" s="32"/>
      <c r="Q502" s="32"/>
      <c r="R502" s="32"/>
      <c r="S502" s="32"/>
      <c r="T502" s="32"/>
      <c r="U502" s="30"/>
    </row>
    <row r="503" spans="1:21">
      <c r="A503" s="29"/>
      <c r="B503" s="29"/>
      <c r="C503" s="29"/>
      <c r="D503" s="29"/>
      <c r="E503" s="29"/>
      <c r="F503" s="29"/>
      <c r="G503" s="29"/>
      <c r="H503" s="29"/>
      <c r="J503" s="29"/>
      <c r="K503" s="29"/>
      <c r="L503" s="19"/>
      <c r="M503" s="19"/>
      <c r="N503" s="30"/>
      <c r="O503" s="30"/>
      <c r="P503" s="32"/>
      <c r="Q503" s="32"/>
      <c r="R503" s="32"/>
      <c r="S503" s="32"/>
      <c r="T503" s="32"/>
      <c r="U503" s="30"/>
    </row>
    <row r="504" spans="1:21">
      <c r="A504" s="29"/>
      <c r="B504" s="29"/>
      <c r="C504" s="29"/>
      <c r="D504" s="29"/>
      <c r="E504" s="29"/>
      <c r="F504" s="29"/>
      <c r="G504" s="29"/>
      <c r="H504" s="29"/>
      <c r="J504" s="29"/>
      <c r="K504" s="29"/>
      <c r="L504" s="19"/>
      <c r="M504" s="19"/>
      <c r="N504" s="30"/>
      <c r="O504" s="30"/>
      <c r="P504" s="32"/>
      <c r="Q504" s="32"/>
      <c r="R504" s="32"/>
      <c r="S504" s="32"/>
      <c r="T504" s="32"/>
      <c r="U504" s="30"/>
    </row>
    <row r="505" spans="1:21">
      <c r="A505" s="29"/>
      <c r="B505" s="29"/>
      <c r="C505" s="29"/>
      <c r="D505" s="29"/>
      <c r="E505" s="29"/>
      <c r="F505" s="29"/>
      <c r="G505" s="29"/>
      <c r="H505" s="29"/>
      <c r="J505" s="29"/>
      <c r="K505" s="29"/>
      <c r="L505" s="19"/>
      <c r="M505" s="19"/>
      <c r="N505" s="30"/>
      <c r="O505" s="30"/>
      <c r="P505" s="32"/>
      <c r="Q505" s="32"/>
      <c r="R505" s="32"/>
      <c r="S505" s="32"/>
      <c r="T505" s="32"/>
      <c r="U505" s="30"/>
    </row>
    <row r="506" spans="1:21">
      <c r="A506" s="29"/>
      <c r="B506" s="29"/>
      <c r="C506" s="29"/>
      <c r="D506" s="29"/>
      <c r="E506" s="29"/>
      <c r="F506" s="29"/>
      <c r="G506" s="29"/>
      <c r="H506" s="29"/>
      <c r="J506" s="29"/>
      <c r="K506" s="29"/>
      <c r="L506" s="19"/>
      <c r="M506" s="19"/>
      <c r="N506" s="30"/>
      <c r="O506" s="30"/>
      <c r="P506" s="32"/>
      <c r="Q506" s="32"/>
      <c r="R506" s="32"/>
      <c r="S506" s="32"/>
      <c r="T506" s="32"/>
      <c r="U506" s="30"/>
    </row>
    <row r="507" spans="1:21">
      <c r="A507" s="29"/>
      <c r="B507" s="29"/>
      <c r="C507" s="29"/>
      <c r="D507" s="29"/>
      <c r="E507" s="29"/>
      <c r="F507" s="29"/>
      <c r="G507" s="29"/>
      <c r="H507" s="29"/>
      <c r="J507" s="29"/>
      <c r="K507" s="29"/>
      <c r="L507" s="19"/>
      <c r="M507" s="19"/>
      <c r="N507" s="30"/>
      <c r="O507" s="30"/>
      <c r="P507" s="32"/>
      <c r="Q507" s="32"/>
      <c r="R507" s="32"/>
      <c r="S507" s="32"/>
      <c r="T507" s="32"/>
      <c r="U507" s="30"/>
    </row>
    <row r="508" spans="1:21">
      <c r="A508" s="29"/>
      <c r="B508" s="29"/>
      <c r="C508" s="29"/>
      <c r="D508" s="29"/>
      <c r="E508" s="29"/>
      <c r="F508" s="29"/>
      <c r="G508" s="29"/>
      <c r="H508" s="29"/>
      <c r="J508" s="29"/>
      <c r="K508" s="29"/>
      <c r="L508" s="19"/>
      <c r="M508" s="19"/>
      <c r="N508" s="30"/>
      <c r="O508" s="30"/>
      <c r="P508" s="32"/>
      <c r="Q508" s="32"/>
      <c r="R508" s="32"/>
      <c r="S508" s="32"/>
      <c r="T508" s="32"/>
      <c r="U508" s="30"/>
    </row>
    <row r="509" spans="1:21">
      <c r="A509" s="29"/>
      <c r="B509" s="29"/>
      <c r="C509" s="29"/>
      <c r="D509" s="29"/>
      <c r="E509" s="29"/>
      <c r="F509" s="29"/>
      <c r="G509" s="29"/>
      <c r="H509" s="29"/>
      <c r="J509" s="29"/>
      <c r="K509" s="29"/>
      <c r="L509" s="19"/>
      <c r="M509" s="19"/>
      <c r="N509" s="30"/>
      <c r="O509" s="30"/>
      <c r="P509" s="32"/>
      <c r="Q509" s="32"/>
      <c r="R509" s="32"/>
      <c r="S509" s="32"/>
      <c r="T509" s="32"/>
      <c r="U509" s="30"/>
    </row>
    <row r="510" spans="1:21">
      <c r="A510" s="29"/>
      <c r="B510" s="29"/>
      <c r="C510" s="29"/>
      <c r="D510" s="29"/>
      <c r="E510" s="29"/>
      <c r="F510" s="29"/>
      <c r="G510" s="29"/>
      <c r="H510" s="29"/>
      <c r="J510" s="29"/>
      <c r="K510" s="29"/>
      <c r="L510" s="19"/>
      <c r="M510" s="19"/>
      <c r="N510" s="30"/>
      <c r="O510" s="30"/>
      <c r="P510" s="32"/>
      <c r="Q510" s="32"/>
      <c r="R510" s="32"/>
      <c r="S510" s="32"/>
      <c r="T510" s="32"/>
      <c r="U510" s="30"/>
    </row>
    <row r="511" spans="1:21">
      <c r="A511" s="29"/>
      <c r="B511" s="29"/>
      <c r="C511" s="29"/>
      <c r="D511" s="29"/>
      <c r="E511" s="29"/>
      <c r="F511" s="29"/>
      <c r="G511" s="29"/>
      <c r="H511" s="29"/>
      <c r="J511" s="29"/>
      <c r="K511" s="29"/>
      <c r="L511" s="19"/>
      <c r="M511" s="19"/>
      <c r="N511" s="30"/>
      <c r="O511" s="30"/>
      <c r="P511" s="32"/>
      <c r="Q511" s="32"/>
      <c r="R511" s="32"/>
      <c r="S511" s="32"/>
      <c r="T511" s="32"/>
      <c r="U511" s="30"/>
    </row>
    <row r="512" spans="1:21">
      <c r="A512" s="29"/>
      <c r="B512" s="29"/>
      <c r="C512" s="29"/>
      <c r="D512" s="29"/>
      <c r="E512" s="29"/>
      <c r="F512" s="29"/>
      <c r="G512" s="29"/>
      <c r="H512" s="29"/>
      <c r="J512" s="29"/>
      <c r="K512" s="29"/>
      <c r="L512" s="19"/>
      <c r="M512" s="19"/>
      <c r="N512" s="30"/>
      <c r="O512" s="30"/>
      <c r="P512" s="32"/>
      <c r="Q512" s="32"/>
      <c r="R512" s="32"/>
      <c r="S512" s="32"/>
      <c r="T512" s="32"/>
      <c r="U512" s="30"/>
    </row>
    <row r="513" spans="1:21">
      <c r="A513" s="29"/>
      <c r="B513" s="29"/>
      <c r="C513" s="29"/>
      <c r="D513" s="29"/>
      <c r="E513" s="29"/>
      <c r="F513" s="29"/>
      <c r="G513" s="29"/>
      <c r="H513" s="29"/>
      <c r="J513" s="29"/>
      <c r="K513" s="29"/>
      <c r="L513" s="19"/>
      <c r="M513" s="19"/>
      <c r="N513" s="30"/>
      <c r="O513" s="30"/>
      <c r="P513" s="32"/>
      <c r="Q513" s="32"/>
      <c r="R513" s="32"/>
      <c r="S513" s="32"/>
      <c r="T513" s="32"/>
      <c r="U513" s="30"/>
    </row>
    <row r="514" spans="1:21">
      <c r="A514" s="29"/>
      <c r="B514" s="29"/>
      <c r="C514" s="29"/>
      <c r="D514" s="29"/>
      <c r="E514" s="29"/>
      <c r="F514" s="29"/>
      <c r="G514" s="29"/>
      <c r="H514" s="29"/>
      <c r="J514" s="29"/>
      <c r="K514" s="29"/>
      <c r="L514" s="19"/>
      <c r="M514" s="19"/>
      <c r="N514" s="30"/>
      <c r="O514" s="30"/>
      <c r="P514" s="32"/>
      <c r="Q514" s="32"/>
      <c r="R514" s="32"/>
      <c r="S514" s="32"/>
      <c r="T514" s="32"/>
      <c r="U514" s="30"/>
    </row>
    <row r="515" spans="1:21">
      <c r="A515" s="29"/>
      <c r="B515" s="29"/>
      <c r="C515" s="29"/>
      <c r="D515" s="29"/>
      <c r="E515" s="29"/>
      <c r="F515" s="29"/>
      <c r="G515" s="29"/>
      <c r="H515" s="29"/>
      <c r="J515" s="29"/>
      <c r="K515" s="29"/>
      <c r="L515" s="19"/>
      <c r="M515" s="19"/>
      <c r="N515" s="30"/>
      <c r="O515" s="30"/>
      <c r="P515" s="32"/>
      <c r="Q515" s="32"/>
      <c r="R515" s="32"/>
      <c r="S515" s="32"/>
      <c r="T515" s="32"/>
      <c r="U515" s="30"/>
    </row>
    <row r="516" spans="1:21">
      <c r="A516" s="29"/>
      <c r="B516" s="29"/>
      <c r="C516" s="29"/>
      <c r="D516" s="29"/>
      <c r="E516" s="29"/>
      <c r="F516" s="29"/>
      <c r="G516" s="29"/>
      <c r="H516" s="29"/>
      <c r="J516" s="29"/>
      <c r="K516" s="29"/>
      <c r="L516" s="19"/>
      <c r="M516" s="19"/>
      <c r="N516" s="30"/>
      <c r="O516" s="30"/>
      <c r="P516" s="32"/>
      <c r="Q516" s="32"/>
      <c r="R516" s="32"/>
      <c r="S516" s="32"/>
      <c r="T516" s="32"/>
      <c r="U516" s="30"/>
    </row>
    <row r="517" spans="1:21">
      <c r="A517" s="29"/>
      <c r="B517" s="29"/>
      <c r="C517" s="29"/>
      <c r="D517" s="29"/>
      <c r="E517" s="29"/>
      <c r="F517" s="29"/>
      <c r="G517" s="29"/>
      <c r="H517" s="29"/>
      <c r="J517" s="29"/>
      <c r="K517" s="29"/>
      <c r="L517" s="19"/>
      <c r="M517" s="19"/>
      <c r="N517" s="30"/>
      <c r="O517" s="30"/>
      <c r="P517" s="32"/>
      <c r="Q517" s="32"/>
      <c r="R517" s="32"/>
      <c r="S517" s="32"/>
      <c r="T517" s="32"/>
      <c r="U517" s="30"/>
    </row>
    <row r="518" spans="1:21">
      <c r="A518" s="29"/>
      <c r="B518" s="29"/>
      <c r="C518" s="29"/>
      <c r="D518" s="29"/>
      <c r="E518" s="29"/>
      <c r="F518" s="29"/>
      <c r="G518" s="29"/>
      <c r="H518" s="29"/>
      <c r="J518" s="29"/>
      <c r="K518" s="29"/>
      <c r="L518" s="19"/>
      <c r="M518" s="19"/>
      <c r="N518" s="30"/>
      <c r="O518" s="30"/>
      <c r="P518" s="32"/>
      <c r="Q518" s="32"/>
      <c r="R518" s="32"/>
      <c r="S518" s="32"/>
      <c r="T518" s="32"/>
      <c r="U518" s="30"/>
    </row>
    <row r="519" spans="1:21">
      <c r="A519" s="29"/>
      <c r="B519" s="29"/>
      <c r="C519" s="29"/>
      <c r="D519" s="29"/>
      <c r="E519" s="29"/>
      <c r="F519" s="29"/>
      <c r="G519" s="29"/>
      <c r="H519" s="29"/>
      <c r="J519" s="29"/>
      <c r="K519" s="29"/>
      <c r="L519" s="19"/>
      <c r="M519" s="19"/>
      <c r="N519" s="30"/>
      <c r="O519" s="30"/>
      <c r="P519" s="32"/>
      <c r="Q519" s="32"/>
      <c r="R519" s="32"/>
      <c r="S519" s="32"/>
      <c r="T519" s="32"/>
      <c r="U519" s="30"/>
    </row>
    <row r="520" spans="1:21">
      <c r="A520" s="29"/>
      <c r="B520" s="29"/>
      <c r="C520" s="29"/>
      <c r="D520" s="29"/>
      <c r="E520" s="29"/>
      <c r="F520" s="29"/>
      <c r="G520" s="29"/>
      <c r="H520" s="29"/>
      <c r="J520" s="29"/>
      <c r="K520" s="29"/>
      <c r="L520" s="19"/>
      <c r="M520" s="19"/>
      <c r="N520" s="30"/>
      <c r="O520" s="30"/>
      <c r="P520" s="32"/>
      <c r="Q520" s="32"/>
      <c r="R520" s="32"/>
      <c r="S520" s="32"/>
      <c r="T520" s="32"/>
      <c r="U520" s="30"/>
    </row>
    <row r="521" spans="1:21">
      <c r="A521" s="29"/>
      <c r="B521" s="29"/>
      <c r="C521" s="29"/>
      <c r="D521" s="29"/>
      <c r="E521" s="29"/>
      <c r="F521" s="29"/>
      <c r="G521" s="29"/>
      <c r="H521" s="29"/>
      <c r="J521" s="29"/>
      <c r="K521" s="29"/>
      <c r="L521" s="19"/>
      <c r="M521" s="19"/>
      <c r="N521" s="30"/>
      <c r="O521" s="30"/>
      <c r="P521" s="32"/>
      <c r="Q521" s="32"/>
      <c r="R521" s="32"/>
      <c r="S521" s="32"/>
      <c r="T521" s="32"/>
      <c r="U521" s="30"/>
    </row>
    <row r="522" spans="1:21">
      <c r="A522" s="29"/>
      <c r="B522" s="29"/>
      <c r="C522" s="29"/>
      <c r="D522" s="29"/>
      <c r="E522" s="29"/>
      <c r="F522" s="29"/>
      <c r="G522" s="29"/>
      <c r="H522" s="29"/>
      <c r="J522" s="29"/>
      <c r="K522" s="29"/>
      <c r="L522" s="19"/>
      <c r="M522" s="19"/>
      <c r="N522" s="30"/>
      <c r="O522" s="30"/>
      <c r="P522" s="32"/>
      <c r="Q522" s="32"/>
      <c r="R522" s="32"/>
      <c r="S522" s="32"/>
      <c r="T522" s="32"/>
      <c r="U522" s="30"/>
    </row>
    <row r="523" spans="1:21">
      <c r="A523" s="29"/>
      <c r="B523" s="29"/>
      <c r="C523" s="29"/>
      <c r="D523" s="29"/>
      <c r="E523" s="29"/>
      <c r="F523" s="29"/>
      <c r="G523" s="29"/>
      <c r="H523" s="29"/>
      <c r="J523" s="29"/>
      <c r="K523" s="29"/>
      <c r="L523" s="19"/>
      <c r="M523" s="19"/>
      <c r="N523" s="30"/>
      <c r="O523" s="30"/>
      <c r="P523" s="32"/>
      <c r="Q523" s="32"/>
      <c r="R523" s="32"/>
      <c r="S523" s="32"/>
      <c r="T523" s="32"/>
      <c r="U523" s="30"/>
    </row>
    <row r="524" spans="1:21">
      <c r="A524" s="29"/>
      <c r="B524" s="29"/>
      <c r="C524" s="29"/>
      <c r="D524" s="29"/>
      <c r="E524" s="29"/>
      <c r="F524" s="29"/>
      <c r="G524" s="29"/>
      <c r="H524" s="29"/>
      <c r="J524" s="29"/>
      <c r="K524" s="29"/>
      <c r="L524" s="19"/>
      <c r="M524" s="19"/>
      <c r="N524" s="30"/>
      <c r="O524" s="30"/>
      <c r="P524" s="32"/>
      <c r="Q524" s="32"/>
      <c r="R524" s="32"/>
      <c r="S524" s="32"/>
      <c r="T524" s="32"/>
      <c r="U524" s="30"/>
    </row>
    <row r="525" spans="1:21">
      <c r="A525" s="29"/>
      <c r="B525" s="29"/>
      <c r="C525" s="29"/>
      <c r="D525" s="29"/>
      <c r="E525" s="29"/>
      <c r="F525" s="29"/>
      <c r="G525" s="29"/>
      <c r="H525" s="29"/>
      <c r="J525" s="29"/>
      <c r="K525" s="29"/>
      <c r="L525" s="19"/>
      <c r="M525" s="19"/>
      <c r="N525" s="30"/>
      <c r="O525" s="30"/>
      <c r="P525" s="32"/>
      <c r="Q525" s="32"/>
      <c r="R525" s="32"/>
      <c r="S525" s="32"/>
      <c r="T525" s="32"/>
      <c r="U525" s="30"/>
    </row>
    <row r="526" spans="1:21">
      <c r="A526" s="29"/>
      <c r="B526" s="29"/>
      <c r="C526" s="29"/>
      <c r="D526" s="29"/>
      <c r="E526" s="29"/>
      <c r="F526" s="29"/>
      <c r="G526" s="29"/>
      <c r="H526" s="29"/>
      <c r="J526" s="29"/>
      <c r="K526" s="29"/>
      <c r="L526" s="19"/>
      <c r="M526" s="19"/>
      <c r="N526" s="30"/>
      <c r="O526" s="30"/>
      <c r="P526" s="32"/>
      <c r="Q526" s="32"/>
      <c r="R526" s="32"/>
      <c r="S526" s="32"/>
      <c r="T526" s="32"/>
      <c r="U526" s="30"/>
    </row>
    <row r="527" spans="1:21">
      <c r="A527" s="29"/>
      <c r="B527" s="29"/>
      <c r="C527" s="29"/>
      <c r="D527" s="29"/>
      <c r="E527" s="29"/>
      <c r="F527" s="29"/>
      <c r="G527" s="29"/>
      <c r="H527" s="29"/>
      <c r="J527" s="29"/>
      <c r="K527" s="29"/>
      <c r="L527" s="19"/>
      <c r="M527" s="19"/>
      <c r="N527" s="30"/>
      <c r="O527" s="30"/>
      <c r="P527" s="32"/>
      <c r="Q527" s="32"/>
      <c r="R527" s="32"/>
      <c r="S527" s="32"/>
      <c r="T527" s="32"/>
      <c r="U527" s="30"/>
    </row>
    <row r="528" spans="1:21">
      <c r="A528" s="29"/>
      <c r="B528" s="29"/>
      <c r="C528" s="29"/>
      <c r="D528" s="29"/>
      <c r="E528" s="29"/>
      <c r="F528" s="29"/>
      <c r="G528" s="29"/>
      <c r="H528" s="29"/>
      <c r="J528" s="29"/>
      <c r="K528" s="29"/>
      <c r="L528" s="19"/>
      <c r="M528" s="19"/>
      <c r="N528" s="30"/>
      <c r="O528" s="30"/>
      <c r="P528" s="32"/>
      <c r="Q528" s="32"/>
      <c r="R528" s="32"/>
      <c r="S528" s="32"/>
      <c r="T528" s="32"/>
      <c r="U528" s="30"/>
    </row>
    <row r="529" spans="1:21">
      <c r="A529" s="29"/>
      <c r="B529" s="29"/>
      <c r="C529" s="29"/>
      <c r="D529" s="29"/>
      <c r="E529" s="29"/>
      <c r="F529" s="29"/>
      <c r="G529" s="29"/>
      <c r="H529" s="29"/>
      <c r="J529" s="29"/>
      <c r="K529" s="29"/>
      <c r="L529" s="19"/>
      <c r="M529" s="19"/>
      <c r="N529" s="30"/>
      <c r="O529" s="30"/>
      <c r="P529" s="32"/>
      <c r="Q529" s="32"/>
      <c r="R529" s="32"/>
      <c r="S529" s="32"/>
      <c r="T529" s="32"/>
      <c r="U529" s="30"/>
    </row>
    <row r="530" spans="1:21">
      <c r="A530" s="29"/>
      <c r="B530" s="29"/>
      <c r="C530" s="29"/>
      <c r="D530" s="29"/>
      <c r="E530" s="29"/>
      <c r="F530" s="29"/>
      <c r="G530" s="29"/>
      <c r="H530" s="29"/>
      <c r="J530" s="29"/>
      <c r="K530" s="29"/>
      <c r="L530" s="19"/>
      <c r="M530" s="19"/>
      <c r="N530" s="30"/>
      <c r="O530" s="30"/>
      <c r="P530" s="32"/>
      <c r="Q530" s="32"/>
      <c r="R530" s="32"/>
      <c r="S530" s="32"/>
      <c r="T530" s="32"/>
      <c r="U530" s="30"/>
    </row>
    <row r="531" spans="1:21">
      <c r="A531" s="29"/>
      <c r="B531" s="29"/>
      <c r="C531" s="29"/>
      <c r="D531" s="29"/>
      <c r="E531" s="29"/>
      <c r="F531" s="29"/>
      <c r="G531" s="29"/>
      <c r="H531" s="29"/>
      <c r="J531" s="29"/>
      <c r="K531" s="29"/>
      <c r="L531" s="19"/>
      <c r="M531" s="19"/>
      <c r="N531" s="30"/>
      <c r="O531" s="30"/>
      <c r="P531" s="32"/>
      <c r="Q531" s="32"/>
      <c r="R531" s="32"/>
      <c r="S531" s="32"/>
      <c r="T531" s="32"/>
      <c r="U531" s="30"/>
    </row>
    <row r="532" spans="1:21">
      <c r="A532" s="29"/>
      <c r="B532" s="29"/>
      <c r="C532" s="29"/>
      <c r="D532" s="29"/>
      <c r="E532" s="29"/>
      <c r="F532" s="29"/>
      <c r="G532" s="29"/>
      <c r="H532" s="29"/>
      <c r="J532" s="29"/>
      <c r="K532" s="29"/>
      <c r="L532" s="19"/>
      <c r="M532" s="19"/>
      <c r="N532" s="30"/>
      <c r="O532" s="30"/>
      <c r="P532" s="32"/>
      <c r="Q532" s="32"/>
      <c r="R532" s="32"/>
      <c r="S532" s="32"/>
      <c r="T532" s="32"/>
      <c r="U532" s="30"/>
    </row>
    <row r="533" spans="1:21">
      <c r="A533" s="29"/>
      <c r="B533" s="29"/>
      <c r="C533" s="29"/>
      <c r="D533" s="29"/>
      <c r="E533" s="29"/>
      <c r="F533" s="29"/>
      <c r="G533" s="29"/>
      <c r="H533" s="29"/>
      <c r="J533" s="29"/>
      <c r="K533" s="29"/>
      <c r="L533" s="19"/>
      <c r="M533" s="19"/>
      <c r="N533" s="30"/>
      <c r="O533" s="30"/>
      <c r="P533" s="32"/>
      <c r="Q533" s="32"/>
      <c r="R533" s="32"/>
      <c r="S533" s="32"/>
      <c r="T533" s="32"/>
      <c r="U533" s="30"/>
    </row>
    <row r="534" spans="1:21">
      <c r="A534" s="29"/>
      <c r="B534" s="29"/>
      <c r="C534" s="29"/>
      <c r="D534" s="29"/>
      <c r="E534" s="29"/>
      <c r="F534" s="29"/>
      <c r="G534" s="29"/>
      <c r="H534" s="29"/>
      <c r="J534" s="29"/>
      <c r="K534" s="29"/>
      <c r="L534" s="19"/>
      <c r="M534" s="19"/>
      <c r="N534" s="30"/>
      <c r="O534" s="30"/>
      <c r="P534" s="32"/>
      <c r="Q534" s="32"/>
      <c r="R534" s="32"/>
      <c r="S534" s="32"/>
      <c r="T534" s="32"/>
      <c r="U534" s="30"/>
    </row>
    <row r="535" spans="1:21">
      <c r="A535" s="29"/>
      <c r="B535" s="29"/>
      <c r="C535" s="29"/>
      <c r="D535" s="29"/>
      <c r="E535" s="29"/>
      <c r="F535" s="29"/>
      <c r="G535" s="29"/>
      <c r="H535" s="29"/>
      <c r="J535" s="29"/>
      <c r="K535" s="29"/>
      <c r="L535" s="19"/>
      <c r="M535" s="19"/>
      <c r="N535" s="30"/>
      <c r="O535" s="30"/>
      <c r="P535" s="32"/>
      <c r="Q535" s="32"/>
      <c r="R535" s="32"/>
      <c r="S535" s="32"/>
      <c r="T535" s="32"/>
      <c r="U535" s="30"/>
    </row>
    <row r="536" spans="1:21">
      <c r="A536" s="29"/>
      <c r="B536" s="29"/>
      <c r="C536" s="29"/>
      <c r="D536" s="29"/>
      <c r="E536" s="29"/>
      <c r="F536" s="29"/>
      <c r="G536" s="29"/>
      <c r="H536" s="29"/>
      <c r="J536" s="29"/>
      <c r="K536" s="29"/>
      <c r="L536" s="19"/>
      <c r="M536" s="19"/>
      <c r="N536" s="30"/>
      <c r="O536" s="30"/>
      <c r="P536" s="32"/>
      <c r="Q536" s="32"/>
      <c r="R536" s="32"/>
      <c r="S536" s="32"/>
      <c r="T536" s="32"/>
      <c r="U536" s="30"/>
    </row>
    <row r="537" spans="1:21">
      <c r="A537" s="29"/>
      <c r="B537" s="29"/>
      <c r="C537" s="29"/>
      <c r="D537" s="29"/>
      <c r="E537" s="29"/>
      <c r="F537" s="29"/>
      <c r="G537" s="29"/>
      <c r="H537" s="29"/>
      <c r="J537" s="29"/>
      <c r="K537" s="29"/>
      <c r="L537" s="19"/>
      <c r="M537" s="19"/>
      <c r="N537" s="30"/>
      <c r="O537" s="30"/>
      <c r="P537" s="32"/>
      <c r="Q537" s="32"/>
      <c r="R537" s="32"/>
      <c r="S537" s="32"/>
      <c r="T537" s="32"/>
      <c r="U537" s="30"/>
    </row>
    <row r="538" spans="1:21">
      <c r="A538" s="29"/>
      <c r="B538" s="29"/>
      <c r="C538" s="29"/>
      <c r="D538" s="29"/>
      <c r="E538" s="29"/>
      <c r="F538" s="29"/>
      <c r="G538" s="29"/>
      <c r="H538" s="29"/>
      <c r="J538" s="29"/>
      <c r="K538" s="29"/>
      <c r="L538" s="19"/>
      <c r="M538" s="19"/>
      <c r="N538" s="30"/>
      <c r="O538" s="30"/>
      <c r="P538" s="32"/>
      <c r="Q538" s="32"/>
      <c r="R538" s="32"/>
      <c r="S538" s="32"/>
      <c r="T538" s="32"/>
      <c r="U538" s="30"/>
    </row>
    <row r="539" spans="1:21">
      <c r="A539" s="29"/>
      <c r="B539" s="29"/>
      <c r="C539" s="29"/>
      <c r="D539" s="29"/>
      <c r="E539" s="29"/>
      <c r="F539" s="29"/>
      <c r="G539" s="29"/>
      <c r="H539" s="29"/>
      <c r="J539" s="29"/>
      <c r="K539" s="29"/>
      <c r="L539" s="19"/>
      <c r="M539" s="19"/>
      <c r="N539" s="30"/>
      <c r="O539" s="30"/>
      <c r="P539" s="32"/>
      <c r="Q539" s="32"/>
      <c r="R539" s="32"/>
      <c r="S539" s="32"/>
      <c r="T539" s="32"/>
      <c r="U539" s="30"/>
    </row>
    <row r="540" spans="1:21">
      <c r="A540" s="29"/>
      <c r="B540" s="29"/>
      <c r="C540" s="29"/>
      <c r="D540" s="29"/>
      <c r="E540" s="29"/>
      <c r="F540" s="29"/>
      <c r="G540" s="29"/>
      <c r="H540" s="29"/>
      <c r="J540" s="29"/>
      <c r="K540" s="29"/>
      <c r="L540" s="19"/>
      <c r="M540" s="19"/>
      <c r="N540" s="30"/>
      <c r="O540" s="30"/>
      <c r="P540" s="32"/>
      <c r="Q540" s="32"/>
      <c r="R540" s="32"/>
      <c r="S540" s="32"/>
      <c r="T540" s="32"/>
      <c r="U540" s="30"/>
    </row>
    <row r="541" spans="1:21">
      <c r="A541" s="29"/>
      <c r="B541" s="29"/>
      <c r="C541" s="29"/>
      <c r="D541" s="29"/>
      <c r="E541" s="29"/>
      <c r="F541" s="29"/>
      <c r="G541" s="29"/>
      <c r="H541" s="29"/>
      <c r="J541" s="29"/>
      <c r="K541" s="29"/>
      <c r="L541" s="19"/>
      <c r="M541" s="19"/>
      <c r="N541" s="30"/>
      <c r="O541" s="30"/>
      <c r="P541" s="32"/>
      <c r="Q541" s="32"/>
      <c r="R541" s="32"/>
      <c r="S541" s="32"/>
      <c r="T541" s="32"/>
      <c r="U541" s="30"/>
    </row>
    <row r="542" spans="1:21">
      <c r="A542" s="29"/>
      <c r="B542" s="29"/>
      <c r="C542" s="29"/>
      <c r="D542" s="29"/>
      <c r="E542" s="29"/>
      <c r="F542" s="29"/>
      <c r="G542" s="29"/>
      <c r="H542" s="29"/>
      <c r="J542" s="29"/>
      <c r="K542" s="29"/>
      <c r="L542" s="19"/>
      <c r="M542" s="19"/>
      <c r="N542" s="30"/>
      <c r="O542" s="30"/>
      <c r="P542" s="32"/>
      <c r="Q542" s="32"/>
      <c r="R542" s="32"/>
      <c r="S542" s="32"/>
      <c r="T542" s="32"/>
      <c r="U542" s="30"/>
    </row>
    <row r="543" spans="1:21">
      <c r="A543" s="29"/>
      <c r="B543" s="29"/>
      <c r="C543" s="29"/>
      <c r="D543" s="29"/>
      <c r="E543" s="29"/>
      <c r="F543" s="29"/>
      <c r="G543" s="29"/>
      <c r="H543" s="29"/>
      <c r="J543" s="29"/>
      <c r="K543" s="29"/>
      <c r="L543" s="19"/>
      <c r="M543" s="19"/>
      <c r="N543" s="30"/>
      <c r="O543" s="30"/>
      <c r="P543" s="32"/>
      <c r="Q543" s="32"/>
      <c r="R543" s="32"/>
      <c r="S543" s="32"/>
      <c r="T543" s="32"/>
      <c r="U543" s="30"/>
    </row>
    <row r="544" spans="1:21">
      <c r="A544" s="29"/>
      <c r="B544" s="29"/>
      <c r="C544" s="29"/>
      <c r="D544" s="29"/>
      <c r="E544" s="29"/>
      <c r="F544" s="29"/>
      <c r="G544" s="29"/>
      <c r="H544" s="29"/>
      <c r="J544" s="29"/>
      <c r="K544" s="29"/>
      <c r="L544" s="19"/>
      <c r="M544" s="19"/>
      <c r="N544" s="30"/>
      <c r="O544" s="30"/>
      <c r="P544" s="32"/>
      <c r="Q544" s="32"/>
      <c r="R544" s="32"/>
      <c r="S544" s="32"/>
      <c r="T544" s="32"/>
      <c r="U544" s="30"/>
    </row>
    <row r="545" spans="1:21">
      <c r="A545" s="29"/>
      <c r="B545" s="29"/>
      <c r="C545" s="29"/>
      <c r="D545" s="29"/>
      <c r="E545" s="29"/>
      <c r="F545" s="29"/>
      <c r="G545" s="29"/>
      <c r="H545" s="29"/>
      <c r="J545" s="29"/>
      <c r="K545" s="29"/>
      <c r="L545" s="19"/>
      <c r="M545" s="19"/>
      <c r="N545" s="30"/>
      <c r="O545" s="30"/>
      <c r="P545" s="32"/>
      <c r="Q545" s="32"/>
      <c r="R545" s="32"/>
      <c r="S545" s="32"/>
      <c r="T545" s="32"/>
      <c r="U545" s="30"/>
    </row>
    <row r="546" spans="1:21">
      <c r="A546" s="29"/>
      <c r="B546" s="29"/>
      <c r="C546" s="29"/>
      <c r="D546" s="29"/>
      <c r="E546" s="29"/>
      <c r="F546" s="29"/>
      <c r="G546" s="29"/>
      <c r="H546" s="29"/>
      <c r="J546" s="29"/>
      <c r="K546" s="29"/>
      <c r="L546" s="19"/>
      <c r="M546" s="19"/>
      <c r="N546" s="30"/>
      <c r="O546" s="31"/>
      <c r="P546" s="32"/>
      <c r="Q546" s="32"/>
      <c r="R546" s="32"/>
      <c r="S546" s="32"/>
      <c r="T546" s="32"/>
      <c r="U546" s="30"/>
    </row>
    <row r="547" spans="1:21">
      <c r="A547" s="29"/>
      <c r="B547" s="29"/>
      <c r="C547" s="29"/>
      <c r="D547" s="29"/>
      <c r="E547" s="29"/>
      <c r="F547" s="29"/>
      <c r="G547" s="29"/>
      <c r="H547" s="29"/>
      <c r="J547" s="29"/>
      <c r="K547" s="29"/>
      <c r="L547" s="19"/>
      <c r="M547" s="19"/>
      <c r="N547" s="30"/>
      <c r="O547" s="30"/>
      <c r="P547" s="32"/>
      <c r="Q547" s="32"/>
      <c r="R547" s="32"/>
      <c r="S547" s="32"/>
      <c r="T547" s="32"/>
      <c r="U547" s="30"/>
    </row>
    <row r="548" spans="1:21">
      <c r="A548" s="29"/>
      <c r="B548" s="29"/>
      <c r="C548" s="29"/>
      <c r="D548" s="29"/>
      <c r="E548" s="29"/>
      <c r="F548" s="29"/>
      <c r="G548" s="29"/>
      <c r="H548" s="29"/>
      <c r="J548" s="29"/>
      <c r="K548" s="29"/>
      <c r="L548" s="19"/>
      <c r="M548" s="19"/>
      <c r="N548" s="30"/>
      <c r="O548" s="30"/>
      <c r="P548" s="32"/>
      <c r="Q548" s="32"/>
      <c r="R548" s="32"/>
      <c r="S548" s="32"/>
      <c r="T548" s="32"/>
      <c r="U548" s="30"/>
    </row>
    <row r="549" spans="1:21">
      <c r="A549" s="29"/>
      <c r="B549" s="29"/>
      <c r="C549" s="29"/>
      <c r="D549" s="29"/>
      <c r="E549" s="29"/>
      <c r="F549" s="29"/>
      <c r="G549" s="29"/>
      <c r="H549" s="29"/>
      <c r="J549" s="29"/>
      <c r="K549" s="29"/>
      <c r="L549" s="19"/>
      <c r="M549" s="19"/>
      <c r="N549" s="30"/>
      <c r="O549" s="30"/>
      <c r="P549" s="32"/>
      <c r="Q549" s="32"/>
      <c r="R549" s="32"/>
      <c r="S549" s="32"/>
      <c r="T549" s="32"/>
      <c r="U549" s="30"/>
    </row>
    <row r="550" spans="1:21">
      <c r="A550" s="29"/>
      <c r="B550" s="29"/>
      <c r="C550" s="29"/>
      <c r="D550" s="29"/>
      <c r="E550" s="29"/>
      <c r="F550" s="29"/>
      <c r="G550" s="29"/>
      <c r="H550" s="29"/>
      <c r="J550" s="29"/>
      <c r="K550" s="29"/>
      <c r="L550" s="19"/>
      <c r="M550" s="19"/>
      <c r="N550" s="30"/>
      <c r="O550" s="30"/>
      <c r="P550" s="32"/>
      <c r="Q550" s="32"/>
      <c r="R550" s="32"/>
      <c r="S550" s="32"/>
      <c r="T550" s="32"/>
      <c r="U550" s="30"/>
    </row>
    <row r="551" spans="1:21">
      <c r="A551" s="29"/>
      <c r="B551" s="29"/>
      <c r="C551" s="29"/>
      <c r="D551" s="29"/>
      <c r="E551" s="29"/>
      <c r="F551" s="29"/>
      <c r="G551" s="29"/>
      <c r="H551" s="29"/>
      <c r="J551" s="29"/>
      <c r="K551" s="29"/>
      <c r="L551" s="19"/>
      <c r="M551" s="19"/>
      <c r="N551" s="30"/>
      <c r="O551" s="30"/>
      <c r="P551" s="32"/>
      <c r="Q551" s="32"/>
      <c r="R551" s="32"/>
      <c r="S551" s="32"/>
      <c r="T551" s="32"/>
      <c r="U551" s="30"/>
    </row>
    <row r="552" spans="1:21">
      <c r="A552" s="29"/>
      <c r="B552" s="29"/>
      <c r="C552" s="29"/>
      <c r="D552" s="29"/>
      <c r="E552" s="29"/>
      <c r="F552" s="29"/>
      <c r="G552" s="29"/>
      <c r="H552" s="29"/>
      <c r="J552" s="29"/>
      <c r="K552" s="29"/>
      <c r="L552" s="19"/>
      <c r="M552" s="19"/>
      <c r="N552" s="30"/>
      <c r="O552" s="30"/>
      <c r="P552" s="32"/>
      <c r="Q552" s="32"/>
      <c r="R552" s="32"/>
      <c r="S552" s="32"/>
      <c r="T552" s="32"/>
      <c r="U552" s="30"/>
    </row>
    <row r="553" spans="1:21">
      <c r="A553" s="29"/>
      <c r="B553" s="29"/>
      <c r="C553" s="29"/>
      <c r="D553" s="29"/>
      <c r="E553" s="29"/>
      <c r="F553" s="29"/>
      <c r="G553" s="29"/>
      <c r="H553" s="29"/>
      <c r="J553" s="29"/>
      <c r="K553" s="29"/>
      <c r="L553" s="19"/>
      <c r="M553" s="19"/>
      <c r="N553" s="30"/>
      <c r="O553" s="30"/>
      <c r="P553" s="32"/>
      <c r="Q553" s="32"/>
      <c r="R553" s="32"/>
      <c r="S553" s="32"/>
      <c r="T553" s="32"/>
      <c r="U553" s="30"/>
    </row>
    <row r="554" spans="1:21">
      <c r="A554" s="29"/>
      <c r="B554" s="29"/>
      <c r="C554" s="29"/>
      <c r="D554" s="29"/>
      <c r="E554" s="29"/>
      <c r="F554" s="29"/>
      <c r="G554" s="29"/>
      <c r="H554" s="29"/>
      <c r="J554" s="29"/>
      <c r="K554" s="29"/>
      <c r="L554" s="19"/>
      <c r="M554" s="19"/>
      <c r="N554" s="30"/>
      <c r="O554" s="30"/>
      <c r="P554" s="32"/>
      <c r="Q554" s="32"/>
      <c r="R554" s="32"/>
      <c r="S554" s="32"/>
      <c r="T554" s="32"/>
      <c r="U554" s="30"/>
    </row>
    <row r="555" spans="1:21">
      <c r="A555" s="29"/>
      <c r="B555" s="29"/>
      <c r="C555" s="29"/>
      <c r="D555" s="29"/>
      <c r="E555" s="29"/>
      <c r="F555" s="29"/>
      <c r="G555" s="29"/>
      <c r="H555" s="29"/>
      <c r="J555" s="29"/>
      <c r="K555" s="29"/>
      <c r="L555" s="19"/>
      <c r="M555" s="19"/>
      <c r="N555" s="30"/>
      <c r="O555" s="30"/>
      <c r="P555" s="32"/>
      <c r="Q555" s="32"/>
      <c r="R555" s="32"/>
      <c r="S555" s="32"/>
      <c r="T555" s="32"/>
      <c r="U555" s="30"/>
    </row>
    <row r="556" spans="1:21">
      <c r="A556" s="29"/>
      <c r="B556" s="29"/>
      <c r="C556" s="29"/>
      <c r="D556" s="29"/>
      <c r="E556" s="29"/>
      <c r="F556" s="29"/>
      <c r="G556" s="29"/>
      <c r="H556" s="29"/>
      <c r="J556" s="29"/>
      <c r="K556" s="29"/>
      <c r="L556" s="19"/>
      <c r="M556" s="19"/>
      <c r="N556" s="30"/>
      <c r="O556" s="30"/>
      <c r="P556" s="32"/>
      <c r="Q556" s="32"/>
      <c r="R556" s="32"/>
      <c r="S556" s="32"/>
      <c r="T556" s="32"/>
      <c r="U556" s="30"/>
    </row>
    <row r="557" spans="1:21">
      <c r="A557" s="29"/>
      <c r="B557" s="29"/>
      <c r="C557" s="29"/>
      <c r="D557" s="29"/>
      <c r="E557" s="29"/>
      <c r="F557" s="29"/>
      <c r="G557" s="29"/>
      <c r="H557" s="29"/>
      <c r="J557" s="29"/>
      <c r="K557" s="29"/>
      <c r="L557" s="19"/>
      <c r="M557" s="19"/>
      <c r="N557" s="30"/>
      <c r="O557" s="30"/>
      <c r="P557" s="32"/>
      <c r="Q557" s="32"/>
      <c r="R557" s="32"/>
      <c r="S557" s="32"/>
      <c r="T557" s="32"/>
      <c r="U557" s="30"/>
    </row>
    <row r="558" spans="1:21">
      <c r="A558" s="29"/>
      <c r="B558" s="29"/>
      <c r="C558" s="29"/>
      <c r="D558" s="29"/>
      <c r="E558" s="29"/>
      <c r="F558" s="29"/>
      <c r="G558" s="29"/>
      <c r="H558" s="29"/>
      <c r="J558" s="29"/>
      <c r="K558" s="29"/>
      <c r="L558" s="19"/>
      <c r="M558" s="19"/>
      <c r="N558" s="30"/>
      <c r="O558" s="30"/>
      <c r="P558" s="32"/>
      <c r="Q558" s="32"/>
      <c r="R558" s="32"/>
      <c r="S558" s="32"/>
      <c r="T558" s="32"/>
      <c r="U558" s="30"/>
    </row>
    <row r="559" spans="1:21">
      <c r="A559" s="29"/>
      <c r="B559" s="29"/>
      <c r="C559" s="29"/>
      <c r="D559" s="29"/>
      <c r="E559" s="29"/>
      <c r="F559" s="29"/>
      <c r="G559" s="29"/>
      <c r="H559" s="29"/>
      <c r="J559" s="29"/>
      <c r="K559" s="29"/>
      <c r="L559" s="19"/>
      <c r="M559" s="19"/>
      <c r="N559" s="30"/>
      <c r="O559" s="30"/>
      <c r="P559" s="32"/>
      <c r="Q559" s="32"/>
      <c r="R559" s="32"/>
      <c r="S559" s="32"/>
      <c r="T559" s="32"/>
      <c r="U559" s="30"/>
    </row>
    <row r="560" spans="1:21">
      <c r="A560" s="29"/>
      <c r="B560" s="29"/>
      <c r="C560" s="29"/>
      <c r="D560" s="29"/>
      <c r="E560" s="29"/>
      <c r="F560" s="29"/>
      <c r="G560" s="29"/>
      <c r="H560" s="29"/>
      <c r="J560" s="29"/>
      <c r="K560" s="29"/>
      <c r="L560" s="19"/>
      <c r="M560" s="19"/>
      <c r="N560" s="30"/>
      <c r="O560" s="30"/>
      <c r="P560" s="32"/>
      <c r="Q560" s="32"/>
      <c r="R560" s="32"/>
      <c r="S560" s="32"/>
      <c r="T560" s="32"/>
      <c r="U560" s="30"/>
    </row>
    <row r="561" spans="1:21">
      <c r="A561" s="29"/>
      <c r="B561" s="29"/>
      <c r="C561" s="29"/>
      <c r="D561" s="29"/>
      <c r="E561" s="29"/>
      <c r="F561" s="29"/>
      <c r="G561" s="29"/>
      <c r="H561" s="29"/>
      <c r="J561" s="29"/>
      <c r="K561" s="29"/>
      <c r="L561" s="19"/>
      <c r="M561" s="19"/>
      <c r="N561" s="30"/>
      <c r="O561" s="30"/>
      <c r="P561" s="32"/>
      <c r="Q561" s="32"/>
      <c r="R561" s="32"/>
      <c r="S561" s="32"/>
      <c r="T561" s="32"/>
      <c r="U561" s="30"/>
    </row>
    <row r="562" spans="1:21">
      <c r="A562" s="29"/>
      <c r="B562" s="29"/>
      <c r="C562" s="29"/>
      <c r="D562" s="29"/>
      <c r="E562" s="29"/>
      <c r="F562" s="29"/>
      <c r="G562" s="29"/>
      <c r="H562" s="29"/>
      <c r="J562" s="29"/>
      <c r="K562" s="29"/>
      <c r="L562" s="19"/>
      <c r="M562" s="19"/>
      <c r="N562" s="30"/>
      <c r="O562" s="30"/>
      <c r="P562" s="32"/>
      <c r="Q562" s="32"/>
      <c r="R562" s="32"/>
      <c r="S562" s="32"/>
      <c r="T562" s="32"/>
      <c r="U562" s="30"/>
    </row>
    <row r="563" spans="1:21">
      <c r="A563" s="29"/>
      <c r="B563" s="29"/>
      <c r="C563" s="29"/>
      <c r="D563" s="29"/>
      <c r="E563" s="29"/>
      <c r="F563" s="29"/>
      <c r="G563" s="29"/>
      <c r="H563" s="29"/>
      <c r="J563" s="29"/>
      <c r="K563" s="29"/>
      <c r="L563" s="19"/>
      <c r="M563" s="19"/>
      <c r="N563" s="30"/>
      <c r="O563" s="31"/>
      <c r="P563" s="32"/>
      <c r="Q563" s="32"/>
      <c r="R563" s="32"/>
      <c r="S563" s="32"/>
      <c r="T563" s="32"/>
      <c r="U563" s="30"/>
    </row>
    <row r="564" spans="1:21">
      <c r="A564" s="29"/>
      <c r="B564" s="29"/>
      <c r="C564" s="29"/>
      <c r="D564" s="29"/>
      <c r="E564" s="29"/>
      <c r="F564" s="29"/>
      <c r="G564" s="29"/>
      <c r="H564" s="29"/>
      <c r="J564" s="29"/>
      <c r="K564" s="29"/>
      <c r="L564" s="19"/>
      <c r="M564" s="19"/>
      <c r="N564" s="30"/>
      <c r="O564" s="30"/>
      <c r="P564" s="32"/>
      <c r="Q564" s="32"/>
      <c r="R564" s="32"/>
      <c r="S564" s="32"/>
      <c r="T564" s="32"/>
      <c r="U564" s="30"/>
    </row>
    <row r="565" spans="1:21">
      <c r="A565" s="29"/>
      <c r="B565" s="29"/>
      <c r="C565" s="29"/>
      <c r="D565" s="29"/>
      <c r="E565" s="29"/>
      <c r="F565" s="29"/>
      <c r="G565" s="29"/>
      <c r="H565" s="29"/>
      <c r="J565" s="29"/>
      <c r="K565" s="29"/>
      <c r="L565" s="19"/>
      <c r="M565" s="19"/>
      <c r="N565" s="30"/>
      <c r="O565" s="30"/>
      <c r="P565" s="32"/>
      <c r="Q565" s="32"/>
      <c r="R565" s="32"/>
      <c r="S565" s="32"/>
      <c r="T565" s="32"/>
      <c r="U565" s="30"/>
    </row>
    <row r="566" spans="1:21">
      <c r="A566" s="29"/>
      <c r="B566" s="29"/>
      <c r="C566" s="29"/>
      <c r="D566" s="29"/>
      <c r="E566" s="29"/>
      <c r="F566" s="29"/>
      <c r="G566" s="29"/>
      <c r="H566" s="29"/>
      <c r="J566" s="29"/>
      <c r="K566" s="29"/>
      <c r="L566" s="19"/>
      <c r="M566" s="19"/>
      <c r="N566" s="30"/>
      <c r="O566" s="30"/>
      <c r="P566" s="32"/>
      <c r="Q566" s="32"/>
      <c r="R566" s="32"/>
      <c r="S566" s="32"/>
      <c r="T566" s="32"/>
      <c r="U566" s="30"/>
    </row>
    <row r="567" spans="1:21">
      <c r="A567" s="29"/>
      <c r="B567" s="29"/>
      <c r="C567" s="29"/>
      <c r="D567" s="29"/>
      <c r="E567" s="29"/>
      <c r="F567" s="29"/>
      <c r="G567" s="29"/>
      <c r="H567" s="29"/>
      <c r="J567" s="29"/>
      <c r="K567" s="29"/>
      <c r="L567" s="19"/>
      <c r="M567" s="19"/>
      <c r="N567" s="30"/>
      <c r="O567" s="30"/>
      <c r="P567" s="32"/>
      <c r="Q567" s="32"/>
      <c r="R567" s="32"/>
      <c r="S567" s="32"/>
      <c r="T567" s="32"/>
      <c r="U567" s="30"/>
    </row>
    <row r="568" spans="1:21">
      <c r="A568" s="29"/>
      <c r="B568" s="29"/>
      <c r="C568" s="29"/>
      <c r="D568" s="29"/>
      <c r="E568" s="29"/>
      <c r="F568" s="29"/>
      <c r="G568" s="29"/>
      <c r="H568" s="29"/>
      <c r="J568" s="29"/>
      <c r="K568" s="29"/>
      <c r="L568" s="19"/>
      <c r="M568" s="19"/>
      <c r="N568" s="30"/>
      <c r="O568" s="30"/>
      <c r="P568" s="32"/>
      <c r="Q568" s="32"/>
      <c r="R568" s="32"/>
      <c r="S568" s="32"/>
      <c r="T568" s="32"/>
      <c r="U568" s="30"/>
    </row>
    <row r="569" spans="1:21">
      <c r="A569" s="29"/>
      <c r="B569" s="29"/>
      <c r="C569" s="29"/>
      <c r="D569" s="29"/>
      <c r="E569" s="29"/>
      <c r="F569" s="29"/>
      <c r="G569" s="29"/>
      <c r="H569" s="29"/>
      <c r="J569" s="29"/>
      <c r="K569" s="29"/>
      <c r="L569" s="19"/>
      <c r="M569" s="19"/>
      <c r="N569" s="30"/>
      <c r="O569" s="30"/>
      <c r="P569" s="32"/>
      <c r="Q569" s="32"/>
      <c r="R569" s="32"/>
      <c r="S569" s="32"/>
      <c r="T569" s="32"/>
      <c r="U569" s="30"/>
    </row>
    <row r="570" spans="1:21">
      <c r="A570" s="29"/>
      <c r="B570" s="29"/>
      <c r="C570" s="29"/>
      <c r="D570" s="29"/>
      <c r="E570" s="29"/>
      <c r="F570" s="29"/>
      <c r="G570" s="29"/>
      <c r="H570" s="29"/>
      <c r="J570" s="29"/>
      <c r="K570" s="29"/>
      <c r="L570" s="19"/>
      <c r="M570" s="19"/>
      <c r="N570" s="30"/>
      <c r="O570" s="30"/>
      <c r="P570" s="32"/>
      <c r="Q570" s="32"/>
      <c r="R570" s="32"/>
      <c r="S570" s="32"/>
      <c r="T570" s="32"/>
      <c r="U570" s="30"/>
    </row>
    <row r="571" spans="1:21">
      <c r="A571" s="29"/>
      <c r="B571" s="29"/>
      <c r="C571" s="29"/>
      <c r="D571" s="29"/>
      <c r="E571" s="29"/>
      <c r="F571" s="29"/>
      <c r="G571" s="29"/>
      <c r="H571" s="29"/>
      <c r="J571" s="29"/>
      <c r="K571" s="29"/>
      <c r="L571" s="19"/>
      <c r="M571" s="19"/>
      <c r="N571" s="30"/>
      <c r="O571" s="30"/>
      <c r="P571" s="32"/>
      <c r="Q571" s="32"/>
      <c r="R571" s="32"/>
      <c r="S571" s="32"/>
      <c r="T571" s="32"/>
      <c r="U571" s="30"/>
    </row>
    <row r="572" spans="1:21">
      <c r="A572" s="29"/>
      <c r="B572" s="29"/>
      <c r="C572" s="29"/>
      <c r="D572" s="29"/>
      <c r="E572" s="29"/>
      <c r="F572" s="29"/>
      <c r="G572" s="29"/>
      <c r="H572" s="29"/>
      <c r="J572" s="29"/>
      <c r="K572" s="29"/>
      <c r="L572" s="19"/>
      <c r="M572" s="19"/>
      <c r="N572" s="30"/>
      <c r="O572" s="30"/>
      <c r="P572" s="32"/>
      <c r="Q572" s="32"/>
      <c r="R572" s="32"/>
      <c r="S572" s="32"/>
      <c r="T572" s="32"/>
      <c r="U572" s="30"/>
    </row>
    <row r="573" spans="1:21">
      <c r="A573" s="29"/>
      <c r="B573" s="29"/>
      <c r="C573" s="29"/>
      <c r="D573" s="29"/>
      <c r="E573" s="29"/>
      <c r="F573" s="29"/>
      <c r="G573" s="29"/>
      <c r="H573" s="29"/>
      <c r="J573" s="29"/>
      <c r="K573" s="29"/>
      <c r="L573" s="19"/>
      <c r="M573" s="19"/>
      <c r="N573" s="30"/>
      <c r="O573" s="30"/>
      <c r="P573" s="32"/>
      <c r="Q573" s="32"/>
      <c r="R573" s="32"/>
      <c r="S573" s="32"/>
      <c r="T573" s="32"/>
      <c r="U573" s="30"/>
    </row>
    <row r="574" spans="1:21">
      <c r="A574" s="29"/>
      <c r="B574" s="29"/>
      <c r="C574" s="29"/>
      <c r="D574" s="29"/>
      <c r="E574" s="29"/>
      <c r="F574" s="29"/>
      <c r="G574" s="29"/>
      <c r="H574" s="29"/>
      <c r="J574" s="29"/>
      <c r="K574" s="29"/>
      <c r="L574" s="19"/>
      <c r="M574" s="19"/>
      <c r="N574" s="30"/>
      <c r="O574" s="30"/>
      <c r="P574" s="32"/>
      <c r="Q574" s="32"/>
      <c r="R574" s="32"/>
      <c r="S574" s="32"/>
      <c r="T574" s="32"/>
      <c r="U574" s="30"/>
    </row>
    <row r="575" spans="1:21">
      <c r="A575" s="29"/>
      <c r="B575" s="29"/>
      <c r="C575" s="29"/>
      <c r="D575" s="29"/>
      <c r="E575" s="29"/>
      <c r="F575" s="29"/>
      <c r="G575" s="29"/>
      <c r="H575" s="29"/>
      <c r="J575" s="29"/>
      <c r="K575" s="29"/>
      <c r="L575" s="19"/>
      <c r="M575" s="19"/>
      <c r="N575" s="30"/>
      <c r="O575" s="30"/>
      <c r="P575" s="32"/>
      <c r="Q575" s="32"/>
      <c r="R575" s="32"/>
      <c r="S575" s="32"/>
      <c r="T575" s="32"/>
      <c r="U575" s="30"/>
    </row>
    <row r="576" spans="1:21">
      <c r="A576" s="29"/>
      <c r="B576" s="29"/>
      <c r="C576" s="29"/>
      <c r="D576" s="29"/>
      <c r="E576" s="29"/>
      <c r="F576" s="29"/>
      <c r="G576" s="29"/>
      <c r="H576" s="29"/>
      <c r="J576" s="29"/>
      <c r="K576" s="29"/>
      <c r="L576" s="19"/>
      <c r="M576" s="19"/>
      <c r="N576" s="30"/>
      <c r="O576" s="30"/>
      <c r="P576" s="32"/>
      <c r="Q576" s="32"/>
      <c r="R576" s="32"/>
      <c r="S576" s="32"/>
      <c r="T576" s="32"/>
      <c r="U576" s="30"/>
    </row>
    <row r="577" spans="1:21">
      <c r="A577" s="29"/>
      <c r="B577" s="29"/>
      <c r="C577" s="29"/>
      <c r="D577" s="29"/>
      <c r="E577" s="29"/>
      <c r="F577" s="29"/>
      <c r="G577" s="29"/>
      <c r="H577" s="29"/>
      <c r="J577" s="29"/>
      <c r="K577" s="29"/>
      <c r="L577" s="19"/>
      <c r="M577" s="19"/>
      <c r="N577" s="30"/>
      <c r="O577" s="30"/>
      <c r="P577" s="32"/>
      <c r="Q577" s="32"/>
      <c r="R577" s="32"/>
      <c r="S577" s="32"/>
      <c r="T577" s="32"/>
      <c r="U577" s="30"/>
    </row>
    <row r="578" spans="1:21">
      <c r="A578" s="29"/>
      <c r="B578" s="29"/>
      <c r="C578" s="29"/>
      <c r="D578" s="29"/>
      <c r="E578" s="29"/>
      <c r="F578" s="29"/>
      <c r="G578" s="29"/>
      <c r="H578" s="29"/>
      <c r="J578" s="29"/>
      <c r="K578" s="29"/>
      <c r="L578" s="19"/>
      <c r="M578" s="19"/>
      <c r="N578" s="30"/>
      <c r="O578" s="30"/>
      <c r="P578" s="32"/>
      <c r="Q578" s="32"/>
      <c r="R578" s="32"/>
      <c r="S578" s="32"/>
      <c r="T578" s="32"/>
      <c r="U578" s="30"/>
    </row>
    <row r="579" spans="1:21">
      <c r="A579" s="29"/>
      <c r="B579" s="29"/>
      <c r="C579" s="29"/>
      <c r="D579" s="29"/>
      <c r="E579" s="29"/>
      <c r="F579" s="29"/>
      <c r="G579" s="29"/>
      <c r="H579" s="29"/>
      <c r="J579" s="29"/>
      <c r="K579" s="29"/>
      <c r="L579" s="19"/>
      <c r="M579" s="19"/>
      <c r="N579" s="30"/>
      <c r="O579" s="30"/>
      <c r="P579" s="32"/>
      <c r="Q579" s="32"/>
      <c r="R579" s="32"/>
      <c r="S579" s="32"/>
      <c r="T579" s="32"/>
      <c r="U579" s="30"/>
    </row>
    <row r="580" spans="1:21">
      <c r="A580" s="29"/>
      <c r="B580" s="29"/>
      <c r="C580" s="29"/>
      <c r="D580" s="29"/>
      <c r="E580" s="29"/>
      <c r="F580" s="29"/>
      <c r="G580" s="29"/>
      <c r="H580" s="29"/>
      <c r="J580" s="29"/>
      <c r="K580" s="29"/>
      <c r="L580" s="19"/>
      <c r="M580" s="19"/>
      <c r="N580" s="30"/>
      <c r="O580" s="30"/>
      <c r="P580" s="32"/>
      <c r="Q580" s="32"/>
      <c r="R580" s="32"/>
      <c r="S580" s="32"/>
      <c r="T580" s="32"/>
      <c r="U580" s="30"/>
    </row>
    <row r="581" spans="1:21">
      <c r="A581" s="29"/>
      <c r="B581" s="29"/>
      <c r="C581" s="29"/>
      <c r="D581" s="29"/>
      <c r="E581" s="29"/>
      <c r="F581" s="29"/>
      <c r="G581" s="29"/>
      <c r="H581" s="29"/>
      <c r="J581" s="29"/>
      <c r="K581" s="29"/>
      <c r="L581" s="19"/>
      <c r="M581" s="19"/>
      <c r="N581" s="30"/>
      <c r="O581" s="30"/>
      <c r="P581" s="32"/>
      <c r="Q581" s="32"/>
      <c r="R581" s="32"/>
      <c r="S581" s="32"/>
      <c r="T581" s="32"/>
      <c r="U581" s="30"/>
    </row>
    <row r="582" spans="1:21">
      <c r="A582" s="29"/>
      <c r="B582" s="29"/>
      <c r="C582" s="29"/>
      <c r="D582" s="29"/>
      <c r="E582" s="29"/>
      <c r="F582" s="29"/>
      <c r="G582" s="29"/>
      <c r="H582" s="29"/>
      <c r="J582" s="29"/>
      <c r="K582" s="29"/>
      <c r="L582" s="19"/>
      <c r="M582" s="19"/>
      <c r="N582" s="30"/>
      <c r="O582" s="30"/>
      <c r="P582" s="32"/>
      <c r="Q582" s="32"/>
      <c r="R582" s="32"/>
      <c r="S582" s="32"/>
      <c r="T582" s="32"/>
      <c r="U582" s="30"/>
    </row>
    <row r="583" spans="1:21">
      <c r="A583" s="29"/>
      <c r="B583" s="29"/>
      <c r="C583" s="29"/>
      <c r="D583" s="29"/>
      <c r="E583" s="29"/>
      <c r="F583" s="29"/>
      <c r="G583" s="29"/>
      <c r="H583" s="29"/>
      <c r="J583" s="29"/>
      <c r="K583" s="29"/>
      <c r="L583" s="19"/>
      <c r="M583" s="19"/>
      <c r="N583" s="30"/>
      <c r="O583" s="30"/>
      <c r="P583" s="32"/>
      <c r="Q583" s="32"/>
      <c r="R583" s="32"/>
      <c r="S583" s="32"/>
      <c r="T583" s="32"/>
      <c r="U583" s="30"/>
    </row>
    <row r="584" spans="1:21">
      <c r="A584" s="29"/>
      <c r="B584" s="29"/>
      <c r="C584" s="29"/>
      <c r="D584" s="29"/>
      <c r="E584" s="29"/>
      <c r="F584" s="29"/>
      <c r="G584" s="29"/>
      <c r="H584" s="29"/>
      <c r="J584" s="29"/>
      <c r="K584" s="29"/>
      <c r="L584" s="19"/>
      <c r="M584" s="19"/>
      <c r="N584" s="30"/>
      <c r="O584" s="30"/>
      <c r="P584" s="32"/>
      <c r="Q584" s="32"/>
      <c r="R584" s="32"/>
      <c r="S584" s="32"/>
      <c r="T584" s="32"/>
      <c r="U584" s="30"/>
    </row>
    <row r="585" spans="1:21">
      <c r="A585" s="29"/>
      <c r="B585" s="29"/>
      <c r="C585" s="29"/>
      <c r="D585" s="29"/>
      <c r="E585" s="29"/>
      <c r="F585" s="29"/>
      <c r="G585" s="29"/>
      <c r="H585" s="29"/>
      <c r="J585" s="29"/>
      <c r="K585" s="29"/>
      <c r="L585" s="19"/>
      <c r="M585" s="19"/>
      <c r="N585" s="30"/>
      <c r="O585" s="30"/>
      <c r="P585" s="32"/>
      <c r="Q585" s="32"/>
      <c r="R585" s="32"/>
      <c r="S585" s="32"/>
      <c r="T585" s="32"/>
      <c r="U585" s="30"/>
    </row>
    <row r="586" spans="1:21">
      <c r="A586" s="29"/>
      <c r="B586" s="29"/>
      <c r="C586" s="29"/>
      <c r="D586" s="29"/>
      <c r="E586" s="29"/>
      <c r="F586" s="29"/>
      <c r="G586" s="29"/>
      <c r="H586" s="29"/>
      <c r="J586" s="29"/>
      <c r="K586" s="29"/>
      <c r="L586" s="19"/>
      <c r="M586" s="19"/>
      <c r="N586" s="30"/>
      <c r="O586" s="30"/>
      <c r="P586" s="32"/>
      <c r="Q586" s="32"/>
      <c r="R586" s="32"/>
      <c r="S586" s="32"/>
      <c r="T586" s="32"/>
      <c r="U586" s="30"/>
    </row>
    <row r="587" spans="1:21">
      <c r="A587" s="29"/>
      <c r="B587" s="29"/>
      <c r="C587" s="29"/>
      <c r="D587" s="29"/>
      <c r="E587" s="29"/>
      <c r="F587" s="29"/>
      <c r="G587" s="29"/>
      <c r="H587" s="29"/>
      <c r="J587" s="29"/>
      <c r="K587" s="29"/>
      <c r="L587" s="19"/>
      <c r="M587" s="19"/>
      <c r="N587" s="30"/>
      <c r="O587" s="30"/>
      <c r="P587" s="32"/>
      <c r="Q587" s="32"/>
      <c r="R587" s="32"/>
      <c r="S587" s="32"/>
      <c r="T587" s="32"/>
      <c r="U587" s="30"/>
    </row>
    <row r="588" spans="1:21">
      <c r="A588" s="29"/>
      <c r="B588" s="29"/>
      <c r="C588" s="29"/>
      <c r="D588" s="29"/>
      <c r="E588" s="29"/>
      <c r="F588" s="29"/>
      <c r="G588" s="29"/>
      <c r="H588" s="29"/>
      <c r="J588" s="29"/>
      <c r="K588" s="29"/>
      <c r="L588" s="19"/>
      <c r="M588" s="19"/>
      <c r="N588" s="30"/>
      <c r="O588" s="30"/>
      <c r="P588" s="32"/>
      <c r="Q588" s="32"/>
      <c r="R588" s="32"/>
      <c r="S588" s="32"/>
      <c r="T588" s="32"/>
      <c r="U588" s="30"/>
    </row>
    <row r="589" spans="1:21">
      <c r="A589" s="29"/>
      <c r="B589" s="29"/>
      <c r="C589" s="29"/>
      <c r="D589" s="29"/>
      <c r="E589" s="29"/>
      <c r="F589" s="29"/>
      <c r="G589" s="29"/>
      <c r="H589" s="29"/>
      <c r="J589" s="29"/>
      <c r="K589" s="29"/>
      <c r="L589" s="19"/>
      <c r="M589" s="19"/>
      <c r="N589" s="30"/>
      <c r="O589" s="30"/>
      <c r="P589" s="32"/>
      <c r="Q589" s="32"/>
      <c r="R589" s="32"/>
      <c r="S589" s="32"/>
      <c r="T589" s="32"/>
      <c r="U589" s="30"/>
    </row>
    <row r="590" spans="1:21">
      <c r="A590" s="29"/>
      <c r="B590" s="29"/>
      <c r="C590" s="29"/>
      <c r="D590" s="29"/>
      <c r="E590" s="29"/>
      <c r="F590" s="29"/>
      <c r="G590" s="29"/>
      <c r="H590" s="29"/>
      <c r="J590" s="29"/>
      <c r="K590" s="29"/>
      <c r="L590" s="19"/>
      <c r="M590" s="19"/>
      <c r="N590" s="30"/>
      <c r="O590" s="30"/>
      <c r="P590" s="32"/>
      <c r="Q590" s="32"/>
      <c r="R590" s="32"/>
      <c r="S590" s="32"/>
      <c r="T590" s="32"/>
      <c r="U590" s="30"/>
    </row>
    <row r="591" spans="1:21">
      <c r="A591" s="29"/>
      <c r="B591" s="29"/>
      <c r="C591" s="29"/>
      <c r="D591" s="29"/>
      <c r="E591" s="29"/>
      <c r="F591" s="29"/>
      <c r="G591" s="29"/>
      <c r="H591" s="29"/>
      <c r="J591" s="29"/>
      <c r="K591" s="29"/>
      <c r="L591" s="19"/>
      <c r="M591" s="19"/>
      <c r="N591" s="30"/>
      <c r="O591" s="30"/>
      <c r="P591" s="32"/>
      <c r="Q591" s="32"/>
      <c r="R591" s="32"/>
      <c r="S591" s="32"/>
      <c r="T591" s="32"/>
      <c r="U591" s="30"/>
    </row>
    <row r="592" spans="1:21">
      <c r="A592" s="29"/>
      <c r="B592" s="29"/>
      <c r="C592" s="29"/>
      <c r="D592" s="29"/>
      <c r="E592" s="29"/>
      <c r="F592" s="29"/>
      <c r="G592" s="29"/>
      <c r="H592" s="29"/>
      <c r="J592" s="29"/>
      <c r="K592" s="29"/>
      <c r="L592" s="19"/>
      <c r="M592" s="19"/>
      <c r="N592" s="30"/>
      <c r="O592" s="30"/>
      <c r="P592" s="32"/>
      <c r="Q592" s="32"/>
      <c r="R592" s="32"/>
      <c r="S592" s="32"/>
      <c r="T592" s="32"/>
      <c r="U592" s="30"/>
    </row>
    <row r="593" spans="1:21">
      <c r="A593" s="29"/>
      <c r="B593" s="29"/>
      <c r="C593" s="29"/>
      <c r="D593" s="29"/>
      <c r="E593" s="29"/>
      <c r="F593" s="29"/>
      <c r="G593" s="29"/>
      <c r="H593" s="29"/>
      <c r="J593" s="29"/>
      <c r="K593" s="29"/>
      <c r="L593" s="19"/>
      <c r="M593" s="19"/>
      <c r="N593" s="30"/>
      <c r="O593" s="30"/>
      <c r="P593" s="32"/>
      <c r="Q593" s="32"/>
      <c r="R593" s="32"/>
      <c r="S593" s="32"/>
      <c r="T593" s="32"/>
      <c r="U593" s="30"/>
    </row>
    <row r="594" spans="1:21">
      <c r="A594" s="29"/>
      <c r="B594" s="29"/>
      <c r="C594" s="29"/>
      <c r="D594" s="29"/>
      <c r="E594" s="29"/>
      <c r="F594" s="29"/>
      <c r="G594" s="29"/>
      <c r="H594" s="29"/>
      <c r="J594" s="29"/>
      <c r="K594" s="29"/>
      <c r="L594" s="19"/>
      <c r="M594" s="19"/>
      <c r="N594" s="30"/>
      <c r="O594" s="30"/>
      <c r="P594" s="32"/>
      <c r="Q594" s="32"/>
      <c r="R594" s="32"/>
      <c r="S594" s="32"/>
      <c r="T594" s="32"/>
      <c r="U594" s="30"/>
    </row>
    <row r="595" spans="1:21">
      <c r="A595" s="29"/>
      <c r="B595" s="29"/>
      <c r="C595" s="29"/>
      <c r="D595" s="29"/>
      <c r="E595" s="29"/>
      <c r="F595" s="29"/>
      <c r="G595" s="29"/>
      <c r="H595" s="29"/>
      <c r="J595" s="29"/>
      <c r="K595" s="29"/>
      <c r="L595" s="19"/>
      <c r="M595" s="19"/>
      <c r="N595" s="30"/>
      <c r="O595" s="30"/>
      <c r="P595" s="32"/>
      <c r="Q595" s="32"/>
      <c r="R595" s="32"/>
      <c r="S595" s="32"/>
      <c r="T595" s="32"/>
      <c r="U595" s="30"/>
    </row>
    <row r="596" spans="1:21">
      <c r="A596" s="29"/>
      <c r="B596" s="29"/>
      <c r="C596" s="29"/>
      <c r="D596" s="29"/>
      <c r="E596" s="29"/>
      <c r="F596" s="29"/>
      <c r="G596" s="29"/>
      <c r="H596" s="29"/>
      <c r="J596" s="29"/>
      <c r="K596" s="29"/>
      <c r="L596" s="19"/>
      <c r="M596" s="19"/>
      <c r="N596" s="30"/>
      <c r="O596" s="30"/>
      <c r="P596" s="32"/>
      <c r="Q596" s="32"/>
      <c r="R596" s="32"/>
      <c r="S596" s="32"/>
      <c r="T596" s="32"/>
      <c r="U596" s="30"/>
    </row>
    <row r="597" spans="1:21">
      <c r="A597" s="29"/>
      <c r="B597" s="29"/>
      <c r="C597" s="29"/>
      <c r="D597" s="29"/>
      <c r="E597" s="29"/>
      <c r="F597" s="29"/>
      <c r="G597" s="29"/>
      <c r="H597" s="29"/>
      <c r="J597" s="29"/>
      <c r="K597" s="29"/>
      <c r="L597" s="19"/>
      <c r="M597" s="19"/>
      <c r="N597" s="30"/>
      <c r="O597" s="30"/>
      <c r="P597" s="32"/>
      <c r="Q597" s="32"/>
      <c r="R597" s="32"/>
      <c r="S597" s="32"/>
      <c r="T597" s="32"/>
      <c r="U597" s="30"/>
    </row>
    <row r="598" spans="1:21">
      <c r="A598" s="29"/>
      <c r="B598" s="29"/>
      <c r="C598" s="29"/>
      <c r="D598" s="29"/>
      <c r="E598" s="29"/>
      <c r="F598" s="29"/>
      <c r="G598" s="29"/>
      <c r="H598" s="29"/>
      <c r="J598" s="29"/>
      <c r="K598" s="29"/>
      <c r="L598" s="19"/>
      <c r="M598" s="19"/>
      <c r="N598" s="30"/>
      <c r="O598" s="30"/>
      <c r="P598" s="32"/>
      <c r="Q598" s="32"/>
      <c r="R598" s="32"/>
      <c r="S598" s="32"/>
      <c r="T598" s="32"/>
      <c r="U598" s="30"/>
    </row>
    <row r="599" spans="1:21">
      <c r="A599" s="29"/>
      <c r="B599" s="29"/>
      <c r="C599" s="29"/>
      <c r="D599" s="29"/>
      <c r="E599" s="29"/>
      <c r="F599" s="29"/>
      <c r="G599" s="29"/>
      <c r="H599" s="29"/>
      <c r="J599" s="29"/>
      <c r="K599" s="29"/>
      <c r="L599" s="19"/>
      <c r="M599" s="19"/>
      <c r="N599" s="30"/>
      <c r="O599" s="30"/>
      <c r="P599" s="32"/>
      <c r="Q599" s="32"/>
      <c r="R599" s="32"/>
      <c r="S599" s="32"/>
      <c r="T599" s="32"/>
      <c r="U599" s="30"/>
    </row>
    <row r="600" spans="1:21">
      <c r="A600" s="29"/>
      <c r="B600" s="29"/>
      <c r="C600" s="29"/>
      <c r="D600" s="29"/>
      <c r="E600" s="29"/>
      <c r="F600" s="29"/>
      <c r="G600" s="29"/>
      <c r="H600" s="29"/>
      <c r="J600" s="29"/>
      <c r="K600" s="29"/>
      <c r="L600" s="19"/>
      <c r="M600" s="19"/>
      <c r="N600" s="30"/>
      <c r="O600" s="30"/>
      <c r="P600" s="32"/>
      <c r="Q600" s="32"/>
      <c r="R600" s="32"/>
      <c r="S600" s="32"/>
      <c r="T600" s="32"/>
      <c r="U600" s="30"/>
    </row>
    <row r="601" spans="1:21">
      <c r="A601" s="29"/>
      <c r="B601" s="29"/>
      <c r="C601" s="29"/>
      <c r="D601" s="29"/>
      <c r="E601" s="29"/>
      <c r="F601" s="29"/>
      <c r="G601" s="29"/>
      <c r="H601" s="29"/>
      <c r="J601" s="29"/>
      <c r="K601" s="29"/>
      <c r="L601" s="19"/>
      <c r="M601" s="19"/>
      <c r="N601" s="30"/>
      <c r="O601" s="30"/>
      <c r="P601" s="32"/>
      <c r="Q601" s="32"/>
      <c r="R601" s="32"/>
      <c r="S601" s="32"/>
      <c r="T601" s="32"/>
      <c r="U601" s="30"/>
    </row>
    <row r="602" spans="1:21">
      <c r="A602" s="29"/>
      <c r="B602" s="29"/>
      <c r="C602" s="29"/>
      <c r="D602" s="29"/>
      <c r="E602" s="29"/>
      <c r="F602" s="29"/>
      <c r="G602" s="29"/>
      <c r="H602" s="29"/>
      <c r="J602" s="29"/>
      <c r="K602" s="29"/>
      <c r="L602" s="19"/>
      <c r="M602" s="19"/>
      <c r="N602" s="30"/>
      <c r="O602" s="30"/>
      <c r="P602" s="32"/>
      <c r="Q602" s="32"/>
      <c r="R602" s="32"/>
      <c r="S602" s="32"/>
      <c r="T602" s="32"/>
      <c r="U602" s="30"/>
    </row>
    <row r="603" spans="1:21">
      <c r="A603" s="29"/>
      <c r="B603" s="29"/>
      <c r="C603" s="29"/>
      <c r="D603" s="29"/>
      <c r="E603" s="29"/>
      <c r="F603" s="29"/>
      <c r="G603" s="29"/>
      <c r="H603" s="29"/>
      <c r="J603" s="29"/>
      <c r="K603" s="29"/>
      <c r="L603" s="19"/>
      <c r="M603" s="19"/>
      <c r="N603" s="30"/>
      <c r="O603" s="30"/>
      <c r="P603" s="32"/>
      <c r="Q603" s="32"/>
      <c r="R603" s="32"/>
      <c r="S603" s="32"/>
      <c r="T603" s="32"/>
      <c r="U603" s="30"/>
    </row>
    <row r="604" spans="1:21">
      <c r="A604" s="29"/>
      <c r="B604" s="29"/>
      <c r="C604" s="29"/>
      <c r="D604" s="29"/>
      <c r="E604" s="29"/>
      <c r="F604" s="29"/>
      <c r="G604" s="29"/>
      <c r="H604" s="29"/>
      <c r="J604" s="29"/>
      <c r="K604" s="29"/>
      <c r="L604" s="19"/>
      <c r="M604" s="19"/>
      <c r="N604" s="30"/>
      <c r="O604" s="30"/>
      <c r="P604" s="32"/>
      <c r="Q604" s="32"/>
      <c r="R604" s="32"/>
      <c r="S604" s="32"/>
      <c r="T604" s="32"/>
      <c r="U604" s="30"/>
    </row>
    <row r="605" spans="1:21">
      <c r="A605" s="29"/>
      <c r="B605" s="29"/>
      <c r="C605" s="29"/>
      <c r="D605" s="29"/>
      <c r="E605" s="29"/>
      <c r="F605" s="29"/>
      <c r="G605" s="29"/>
      <c r="H605" s="29"/>
      <c r="J605" s="29"/>
      <c r="K605" s="29"/>
      <c r="L605" s="19"/>
      <c r="M605" s="19"/>
      <c r="N605" s="30"/>
      <c r="O605" s="30"/>
      <c r="P605" s="32"/>
      <c r="Q605" s="32"/>
      <c r="R605" s="32"/>
      <c r="S605" s="32"/>
      <c r="T605" s="32"/>
      <c r="U605" s="30"/>
    </row>
    <row r="606" spans="1:21">
      <c r="A606" s="29"/>
      <c r="B606" s="29"/>
      <c r="C606" s="29"/>
      <c r="D606" s="29"/>
      <c r="E606" s="29"/>
      <c r="F606" s="29"/>
      <c r="G606" s="29"/>
      <c r="H606" s="29"/>
      <c r="J606" s="29"/>
      <c r="K606" s="29"/>
      <c r="L606" s="19"/>
      <c r="M606" s="19"/>
      <c r="N606" s="30"/>
      <c r="O606" s="30"/>
      <c r="P606" s="32"/>
      <c r="Q606" s="32"/>
      <c r="R606" s="32"/>
      <c r="S606" s="32"/>
      <c r="T606" s="32"/>
      <c r="U606" s="30"/>
    </row>
    <row r="607" spans="1:21">
      <c r="A607" s="29"/>
      <c r="B607" s="29"/>
      <c r="C607" s="29"/>
      <c r="D607" s="29"/>
      <c r="E607" s="29"/>
      <c r="F607" s="29"/>
      <c r="G607" s="29"/>
      <c r="H607" s="29"/>
      <c r="J607" s="29"/>
      <c r="K607" s="29"/>
      <c r="L607" s="19"/>
      <c r="M607" s="19"/>
      <c r="N607" s="30"/>
      <c r="O607" s="30"/>
      <c r="P607" s="32"/>
      <c r="Q607" s="32"/>
      <c r="R607" s="32"/>
      <c r="S607" s="32"/>
      <c r="T607" s="32"/>
      <c r="U607" s="30"/>
    </row>
    <row r="608" spans="1:21">
      <c r="A608" s="29"/>
      <c r="B608" s="29"/>
      <c r="C608" s="29"/>
      <c r="D608" s="29"/>
      <c r="E608" s="29"/>
      <c r="F608" s="29"/>
      <c r="G608" s="29"/>
      <c r="H608" s="29"/>
      <c r="J608" s="29"/>
      <c r="K608" s="29"/>
      <c r="L608" s="19"/>
      <c r="M608" s="19"/>
      <c r="N608" s="30"/>
      <c r="O608" s="30"/>
      <c r="P608" s="32"/>
      <c r="Q608" s="32"/>
      <c r="R608" s="32"/>
      <c r="S608" s="32"/>
      <c r="T608" s="32"/>
      <c r="U608" s="30"/>
    </row>
    <row r="609" spans="1:21">
      <c r="A609" s="29"/>
      <c r="B609" s="29"/>
      <c r="C609" s="29"/>
      <c r="D609" s="29"/>
      <c r="E609" s="29"/>
      <c r="F609" s="29"/>
      <c r="G609" s="29"/>
      <c r="H609" s="29"/>
      <c r="J609" s="29"/>
      <c r="K609" s="29"/>
      <c r="L609" s="19"/>
      <c r="M609" s="19"/>
      <c r="N609" s="30"/>
      <c r="O609" s="30"/>
      <c r="P609" s="32"/>
      <c r="Q609" s="32"/>
      <c r="R609" s="32"/>
      <c r="S609" s="32"/>
      <c r="T609" s="32"/>
      <c r="U609" s="30"/>
    </row>
    <row r="610" spans="1:21">
      <c r="A610" s="29"/>
      <c r="B610" s="29"/>
      <c r="C610" s="29"/>
      <c r="D610" s="29"/>
      <c r="E610" s="29"/>
      <c r="F610" s="29"/>
      <c r="G610" s="29"/>
      <c r="H610" s="29"/>
      <c r="J610" s="29"/>
      <c r="K610" s="29"/>
      <c r="L610" s="19"/>
      <c r="M610" s="19"/>
      <c r="N610" s="30"/>
      <c r="O610" s="30"/>
      <c r="P610" s="32"/>
      <c r="Q610" s="32"/>
      <c r="R610" s="32"/>
      <c r="S610" s="32"/>
      <c r="T610" s="32"/>
      <c r="U610" s="30"/>
    </row>
    <row r="611" spans="1:21">
      <c r="A611" s="29"/>
      <c r="B611" s="29"/>
      <c r="C611" s="29"/>
      <c r="D611" s="29"/>
      <c r="E611" s="29"/>
      <c r="F611" s="29"/>
      <c r="G611" s="29"/>
      <c r="H611" s="29"/>
      <c r="J611" s="29"/>
      <c r="K611" s="29"/>
      <c r="L611" s="19"/>
      <c r="M611" s="19"/>
      <c r="N611" s="30"/>
      <c r="O611" s="30"/>
      <c r="P611" s="32"/>
      <c r="Q611" s="32"/>
      <c r="R611" s="32"/>
      <c r="S611" s="32"/>
      <c r="T611" s="32"/>
      <c r="U611" s="30"/>
    </row>
    <row r="612" spans="1:21">
      <c r="A612" s="29"/>
      <c r="B612" s="29"/>
      <c r="C612" s="29"/>
      <c r="D612" s="29"/>
      <c r="E612" s="29"/>
      <c r="F612" s="29"/>
      <c r="G612" s="29"/>
      <c r="H612" s="29"/>
      <c r="J612" s="29"/>
      <c r="K612" s="29"/>
      <c r="L612" s="19"/>
      <c r="M612" s="19"/>
      <c r="N612" s="30"/>
      <c r="O612" s="30"/>
      <c r="P612" s="32"/>
      <c r="Q612" s="32"/>
      <c r="R612" s="32"/>
      <c r="S612" s="32"/>
      <c r="T612" s="32"/>
      <c r="U612" s="30"/>
    </row>
    <row r="613" spans="1:21">
      <c r="A613" s="29"/>
      <c r="B613" s="29"/>
      <c r="C613" s="29"/>
      <c r="D613" s="29"/>
      <c r="E613" s="29"/>
      <c r="F613" s="29"/>
      <c r="G613" s="29"/>
      <c r="H613" s="29"/>
      <c r="J613" s="29"/>
      <c r="K613" s="29"/>
      <c r="L613" s="19"/>
      <c r="M613" s="19"/>
      <c r="N613" s="30"/>
      <c r="O613" s="30"/>
      <c r="P613" s="32"/>
      <c r="Q613" s="32"/>
      <c r="R613" s="32"/>
      <c r="S613" s="32"/>
      <c r="T613" s="32"/>
      <c r="U613" s="30"/>
    </row>
    <row r="614" spans="1:21">
      <c r="A614" s="29"/>
      <c r="B614" s="29"/>
      <c r="C614" s="29"/>
      <c r="D614" s="29"/>
      <c r="E614" s="29"/>
      <c r="F614" s="29"/>
      <c r="G614" s="29"/>
      <c r="H614" s="29"/>
      <c r="J614" s="29"/>
      <c r="K614" s="29"/>
      <c r="L614" s="19"/>
      <c r="M614" s="19"/>
      <c r="N614" s="30"/>
      <c r="O614" s="30"/>
      <c r="P614" s="32"/>
      <c r="Q614" s="32"/>
      <c r="R614" s="32"/>
      <c r="S614" s="32"/>
      <c r="T614" s="32"/>
      <c r="U614" s="30"/>
    </row>
    <row r="615" spans="1:21">
      <c r="A615" s="29"/>
      <c r="B615" s="29"/>
      <c r="C615" s="29"/>
      <c r="D615" s="29"/>
      <c r="E615" s="29"/>
      <c r="F615" s="29"/>
      <c r="G615" s="29"/>
      <c r="H615" s="29"/>
      <c r="J615" s="29"/>
      <c r="K615" s="29"/>
      <c r="L615" s="19"/>
      <c r="M615" s="19"/>
      <c r="N615" s="30"/>
      <c r="O615" s="30"/>
      <c r="P615" s="32"/>
      <c r="Q615" s="32"/>
      <c r="R615" s="32"/>
      <c r="S615" s="32"/>
      <c r="T615" s="32"/>
      <c r="U615" s="30"/>
    </row>
    <row r="616" spans="1:21">
      <c r="A616" s="29"/>
      <c r="B616" s="29"/>
      <c r="C616" s="29"/>
      <c r="D616" s="29"/>
      <c r="E616" s="29"/>
      <c r="F616" s="29"/>
      <c r="G616" s="29"/>
      <c r="H616" s="29"/>
      <c r="J616" s="29"/>
      <c r="K616" s="29"/>
      <c r="L616" s="19"/>
      <c r="M616" s="19"/>
      <c r="N616" s="30"/>
      <c r="O616" s="30"/>
      <c r="P616" s="32"/>
      <c r="Q616" s="32"/>
      <c r="R616" s="32"/>
      <c r="S616" s="32"/>
      <c r="T616" s="32"/>
      <c r="U616" s="30"/>
    </row>
    <row r="617" spans="1:21">
      <c r="A617" s="29"/>
      <c r="B617" s="29"/>
      <c r="C617" s="29"/>
      <c r="D617" s="29"/>
      <c r="E617" s="29"/>
      <c r="F617" s="29"/>
      <c r="G617" s="29"/>
      <c r="H617" s="29"/>
      <c r="J617" s="29"/>
      <c r="K617" s="29"/>
      <c r="L617" s="19"/>
      <c r="M617" s="19"/>
      <c r="N617" s="30"/>
      <c r="O617" s="30"/>
      <c r="P617" s="32"/>
      <c r="Q617" s="32"/>
      <c r="R617" s="32"/>
      <c r="S617" s="32"/>
      <c r="T617" s="32"/>
      <c r="U617" s="30"/>
    </row>
    <row r="618" spans="1:21">
      <c r="A618" s="29"/>
      <c r="B618" s="29"/>
      <c r="C618" s="29"/>
      <c r="D618" s="29"/>
      <c r="E618" s="29"/>
      <c r="F618" s="29"/>
      <c r="G618" s="29"/>
      <c r="H618" s="29"/>
      <c r="J618" s="29"/>
      <c r="K618" s="29"/>
      <c r="L618" s="19"/>
      <c r="M618" s="19"/>
      <c r="N618" s="30"/>
      <c r="O618" s="30"/>
      <c r="P618" s="32"/>
      <c r="Q618" s="32"/>
      <c r="R618" s="32"/>
      <c r="S618" s="32"/>
      <c r="T618" s="32"/>
      <c r="U618" s="30"/>
    </row>
    <row r="619" spans="1:21">
      <c r="A619" s="29"/>
      <c r="B619" s="29"/>
      <c r="C619" s="29"/>
      <c r="D619" s="29"/>
      <c r="E619" s="29"/>
      <c r="F619" s="29"/>
      <c r="G619" s="29"/>
      <c r="H619" s="29"/>
      <c r="J619" s="29"/>
      <c r="K619" s="29"/>
      <c r="L619" s="19"/>
      <c r="M619" s="19"/>
      <c r="N619" s="30"/>
      <c r="O619" s="30"/>
      <c r="P619" s="32"/>
      <c r="Q619" s="32"/>
      <c r="R619" s="32"/>
      <c r="S619" s="32"/>
      <c r="T619" s="32"/>
      <c r="U619" s="30"/>
    </row>
    <row r="620" spans="1:21">
      <c r="A620" s="29"/>
      <c r="B620" s="29"/>
      <c r="C620" s="29"/>
      <c r="D620" s="29"/>
      <c r="E620" s="29"/>
      <c r="F620" s="29"/>
      <c r="G620" s="29"/>
      <c r="H620" s="29"/>
      <c r="J620" s="29"/>
      <c r="K620" s="29"/>
      <c r="L620" s="19"/>
      <c r="M620" s="19"/>
      <c r="N620" s="30"/>
      <c r="O620" s="30"/>
      <c r="P620" s="32"/>
      <c r="Q620" s="32"/>
      <c r="R620" s="32"/>
      <c r="S620" s="32"/>
      <c r="T620" s="32"/>
      <c r="U620" s="30"/>
    </row>
    <row r="621" spans="1:21">
      <c r="A621" s="29"/>
      <c r="B621" s="29"/>
      <c r="C621" s="29"/>
      <c r="D621" s="29"/>
      <c r="E621" s="29"/>
      <c r="F621" s="29"/>
      <c r="G621" s="29"/>
      <c r="H621" s="29"/>
      <c r="J621" s="29"/>
      <c r="K621" s="29"/>
      <c r="L621" s="19"/>
      <c r="M621" s="19"/>
      <c r="N621" s="30"/>
      <c r="O621" s="30"/>
      <c r="P621" s="32"/>
      <c r="Q621" s="32"/>
      <c r="R621" s="32"/>
      <c r="S621" s="32"/>
      <c r="T621" s="32"/>
      <c r="U621" s="30"/>
    </row>
    <row r="622" spans="1:21">
      <c r="A622" s="29"/>
      <c r="B622" s="29"/>
      <c r="C622" s="29"/>
      <c r="D622" s="29"/>
      <c r="E622" s="29"/>
      <c r="F622" s="29"/>
      <c r="G622" s="29"/>
      <c r="H622" s="29"/>
      <c r="J622" s="29"/>
      <c r="K622" s="29"/>
      <c r="L622" s="19"/>
      <c r="M622" s="19"/>
      <c r="N622" s="30"/>
      <c r="O622" s="30"/>
      <c r="P622" s="32"/>
      <c r="Q622" s="32"/>
      <c r="R622" s="32"/>
      <c r="S622" s="32"/>
      <c r="T622" s="32"/>
      <c r="U622" s="30"/>
    </row>
    <row r="623" spans="1:21">
      <c r="A623" s="29"/>
      <c r="B623" s="29"/>
      <c r="C623" s="29"/>
      <c r="D623" s="29"/>
      <c r="E623" s="29"/>
      <c r="F623" s="29"/>
      <c r="G623" s="29"/>
      <c r="H623" s="29"/>
      <c r="J623" s="29"/>
      <c r="K623" s="29"/>
      <c r="L623" s="19"/>
      <c r="M623" s="19"/>
      <c r="N623" s="30"/>
      <c r="O623" s="30"/>
      <c r="P623" s="32"/>
      <c r="Q623" s="32"/>
      <c r="R623" s="32"/>
      <c r="S623" s="32"/>
      <c r="T623" s="32"/>
      <c r="U623" s="30"/>
    </row>
    <row r="624" spans="1:21">
      <c r="A624" s="29"/>
      <c r="B624" s="29"/>
      <c r="C624" s="29"/>
      <c r="D624" s="29"/>
      <c r="E624" s="29"/>
      <c r="F624" s="29"/>
      <c r="G624" s="29"/>
      <c r="H624" s="29"/>
      <c r="J624" s="29"/>
      <c r="K624" s="29"/>
      <c r="L624" s="19"/>
      <c r="M624" s="19"/>
      <c r="N624" s="30"/>
      <c r="O624" s="30"/>
      <c r="P624" s="32"/>
      <c r="Q624" s="32"/>
      <c r="R624" s="32"/>
      <c r="S624" s="32"/>
      <c r="T624" s="32"/>
      <c r="U624" s="30"/>
    </row>
    <row r="625" spans="1:21">
      <c r="A625" s="29"/>
      <c r="B625" s="29"/>
      <c r="C625" s="29"/>
      <c r="D625" s="29"/>
      <c r="E625" s="29"/>
      <c r="F625" s="29"/>
      <c r="G625" s="29"/>
      <c r="H625" s="29"/>
      <c r="J625" s="29"/>
      <c r="K625" s="29"/>
      <c r="L625" s="19"/>
      <c r="M625" s="19"/>
      <c r="N625" s="30"/>
      <c r="O625" s="30"/>
      <c r="P625" s="32"/>
      <c r="Q625" s="32"/>
      <c r="R625" s="32"/>
      <c r="S625" s="32"/>
      <c r="T625" s="32"/>
      <c r="U625" s="30"/>
    </row>
    <row r="626" spans="1:21">
      <c r="A626" s="29"/>
      <c r="B626" s="29"/>
      <c r="C626" s="29"/>
      <c r="D626" s="29"/>
      <c r="E626" s="29"/>
      <c r="F626" s="29"/>
      <c r="G626" s="29"/>
      <c r="H626" s="29"/>
      <c r="J626" s="29"/>
      <c r="K626" s="29"/>
      <c r="L626" s="19"/>
      <c r="M626" s="19"/>
      <c r="N626" s="30"/>
      <c r="O626" s="30"/>
      <c r="P626" s="32"/>
      <c r="Q626" s="32"/>
      <c r="R626" s="32"/>
      <c r="S626" s="32"/>
      <c r="T626" s="32"/>
      <c r="U626" s="30"/>
    </row>
    <row r="627" spans="1:21">
      <c r="A627" s="29"/>
      <c r="B627" s="29"/>
      <c r="C627" s="29"/>
      <c r="D627" s="29"/>
      <c r="E627" s="29"/>
      <c r="F627" s="29"/>
      <c r="G627" s="29"/>
      <c r="H627" s="29"/>
      <c r="J627" s="29"/>
      <c r="K627" s="29"/>
      <c r="L627" s="19"/>
      <c r="M627" s="19"/>
      <c r="N627" s="30"/>
      <c r="O627" s="30"/>
      <c r="P627" s="32"/>
      <c r="Q627" s="32"/>
      <c r="R627" s="32"/>
      <c r="S627" s="32"/>
      <c r="T627" s="32"/>
      <c r="U627" s="30"/>
    </row>
    <row r="628" spans="1:21">
      <c r="A628" s="29"/>
      <c r="B628" s="29"/>
      <c r="C628" s="29"/>
      <c r="D628" s="29"/>
      <c r="E628" s="29"/>
      <c r="F628" s="29"/>
      <c r="G628" s="29"/>
      <c r="H628" s="29"/>
      <c r="J628" s="29"/>
      <c r="K628" s="29"/>
      <c r="L628" s="19"/>
      <c r="M628" s="19"/>
      <c r="N628" s="30"/>
      <c r="O628" s="30"/>
      <c r="P628" s="32"/>
      <c r="Q628" s="32"/>
      <c r="R628" s="32"/>
      <c r="S628" s="32"/>
      <c r="T628" s="32"/>
      <c r="U628" s="30"/>
    </row>
    <row r="629" spans="1:21">
      <c r="A629" s="29"/>
      <c r="B629" s="29"/>
      <c r="C629" s="29"/>
      <c r="D629" s="29"/>
      <c r="E629" s="29"/>
      <c r="F629" s="29"/>
      <c r="G629" s="29"/>
      <c r="H629" s="29"/>
      <c r="J629" s="29"/>
      <c r="K629" s="29"/>
      <c r="L629" s="19"/>
      <c r="M629" s="19"/>
      <c r="N629" s="30"/>
      <c r="O629" s="30"/>
      <c r="P629" s="32"/>
      <c r="Q629" s="32"/>
      <c r="R629" s="32"/>
      <c r="S629" s="32"/>
      <c r="T629" s="32"/>
      <c r="U629" s="30"/>
    </row>
    <row r="630" spans="1:21">
      <c r="A630" s="29"/>
      <c r="B630" s="29"/>
      <c r="C630" s="29"/>
      <c r="D630" s="29"/>
      <c r="E630" s="29"/>
      <c r="F630" s="29"/>
      <c r="G630" s="29"/>
      <c r="H630" s="29"/>
      <c r="J630" s="29"/>
      <c r="K630" s="29"/>
      <c r="L630" s="19"/>
      <c r="M630" s="19"/>
      <c r="N630" s="30"/>
      <c r="O630" s="30"/>
      <c r="P630" s="32"/>
      <c r="Q630" s="32"/>
      <c r="R630" s="32"/>
      <c r="S630" s="32"/>
      <c r="T630" s="32"/>
      <c r="U630" s="30"/>
    </row>
    <row r="631" spans="1:21">
      <c r="A631" s="29"/>
      <c r="B631" s="29"/>
      <c r="C631" s="29"/>
      <c r="D631" s="29"/>
      <c r="E631" s="29"/>
      <c r="F631" s="29"/>
      <c r="G631" s="29"/>
      <c r="H631" s="29"/>
      <c r="J631" s="29"/>
      <c r="K631" s="29"/>
      <c r="L631" s="19"/>
      <c r="M631" s="19"/>
      <c r="N631" s="30"/>
      <c r="O631" s="30"/>
      <c r="P631" s="32"/>
      <c r="Q631" s="32"/>
      <c r="R631" s="32"/>
      <c r="S631" s="32"/>
      <c r="T631" s="32"/>
      <c r="U631" s="30"/>
    </row>
    <row r="632" spans="1:21">
      <c r="A632" s="29"/>
      <c r="B632" s="29"/>
      <c r="C632" s="29"/>
      <c r="D632" s="29"/>
      <c r="E632" s="29"/>
      <c r="F632" s="29"/>
      <c r="G632" s="29"/>
      <c r="H632" s="29"/>
      <c r="J632" s="29"/>
      <c r="K632" s="29"/>
      <c r="L632" s="19"/>
      <c r="M632" s="19"/>
      <c r="N632" s="30"/>
      <c r="O632" s="30"/>
      <c r="P632" s="32"/>
      <c r="Q632" s="32"/>
      <c r="R632" s="32"/>
      <c r="S632" s="32"/>
      <c r="T632" s="32"/>
      <c r="U632" s="30"/>
    </row>
    <row r="633" spans="1:21">
      <c r="A633" s="29"/>
      <c r="B633" s="29"/>
      <c r="C633" s="29"/>
      <c r="D633" s="29"/>
      <c r="E633" s="29"/>
      <c r="F633" s="29"/>
      <c r="G633" s="29"/>
      <c r="H633" s="29"/>
      <c r="J633" s="29"/>
      <c r="K633" s="29"/>
      <c r="L633" s="19"/>
      <c r="M633" s="19"/>
      <c r="N633" s="30"/>
      <c r="O633" s="30"/>
      <c r="P633" s="32"/>
      <c r="Q633" s="32"/>
      <c r="R633" s="32"/>
      <c r="S633" s="32"/>
      <c r="T633" s="32"/>
      <c r="U633" s="30"/>
    </row>
    <row r="634" spans="1:21">
      <c r="A634" s="29"/>
      <c r="B634" s="29"/>
      <c r="C634" s="29"/>
      <c r="D634" s="29"/>
      <c r="E634" s="29"/>
      <c r="F634" s="29"/>
      <c r="G634" s="29"/>
      <c r="H634" s="29"/>
      <c r="J634" s="29"/>
      <c r="K634" s="29"/>
      <c r="L634" s="19"/>
      <c r="M634" s="19"/>
      <c r="N634" s="30"/>
      <c r="O634" s="30"/>
      <c r="P634" s="32"/>
      <c r="Q634" s="32"/>
      <c r="R634" s="32"/>
      <c r="S634" s="32"/>
      <c r="T634" s="32"/>
      <c r="U634" s="30"/>
    </row>
    <row r="635" spans="1:21">
      <c r="A635" s="29"/>
      <c r="B635" s="29"/>
      <c r="C635" s="29"/>
      <c r="D635" s="29"/>
      <c r="E635" s="29"/>
      <c r="F635" s="29"/>
      <c r="G635" s="29"/>
      <c r="H635" s="29"/>
      <c r="J635" s="29"/>
      <c r="K635" s="29"/>
      <c r="L635" s="19"/>
      <c r="M635" s="19"/>
      <c r="N635" s="30"/>
      <c r="O635" s="30"/>
      <c r="P635" s="32"/>
      <c r="Q635" s="32"/>
      <c r="R635" s="32"/>
      <c r="S635" s="32"/>
      <c r="T635" s="32"/>
      <c r="U635" s="30"/>
    </row>
    <row r="636" spans="1:21">
      <c r="A636" s="29"/>
      <c r="B636" s="29"/>
      <c r="C636" s="29"/>
      <c r="D636" s="29"/>
      <c r="E636" s="29"/>
      <c r="F636" s="29"/>
      <c r="G636" s="29"/>
      <c r="H636" s="29"/>
      <c r="J636" s="29"/>
      <c r="K636" s="29"/>
      <c r="L636" s="19"/>
      <c r="M636" s="19"/>
      <c r="N636" s="30"/>
      <c r="O636" s="30"/>
      <c r="P636" s="32"/>
      <c r="Q636" s="32"/>
      <c r="R636" s="32"/>
      <c r="S636" s="32"/>
      <c r="T636" s="32"/>
      <c r="U636" s="30"/>
    </row>
    <row r="637" spans="1:21">
      <c r="A637" s="29"/>
      <c r="B637" s="29"/>
      <c r="C637" s="29"/>
      <c r="D637" s="29"/>
      <c r="E637" s="29"/>
      <c r="F637" s="29"/>
      <c r="G637" s="29"/>
      <c r="H637" s="29"/>
      <c r="J637" s="29"/>
      <c r="K637" s="29"/>
      <c r="L637" s="19"/>
      <c r="M637" s="19"/>
      <c r="N637" s="30"/>
      <c r="O637" s="30"/>
      <c r="P637" s="32"/>
      <c r="Q637" s="32"/>
      <c r="R637" s="32"/>
      <c r="S637" s="32"/>
      <c r="T637" s="32"/>
      <c r="U637" s="30"/>
    </row>
    <row r="638" spans="1:21">
      <c r="A638" s="29"/>
      <c r="B638" s="29"/>
      <c r="C638" s="29"/>
      <c r="D638" s="29"/>
      <c r="E638" s="29"/>
      <c r="F638" s="29"/>
      <c r="G638" s="29"/>
      <c r="H638" s="29"/>
      <c r="J638" s="29"/>
      <c r="K638" s="29"/>
      <c r="L638" s="19"/>
      <c r="M638" s="19"/>
      <c r="N638" s="30"/>
      <c r="O638" s="30"/>
      <c r="P638" s="32"/>
      <c r="Q638" s="32"/>
      <c r="R638" s="32"/>
      <c r="S638" s="32"/>
      <c r="T638" s="32"/>
      <c r="U638" s="30"/>
    </row>
    <row r="639" spans="1:21">
      <c r="A639" s="29"/>
      <c r="B639" s="29"/>
      <c r="C639" s="29"/>
      <c r="D639" s="29"/>
      <c r="E639" s="29"/>
      <c r="F639" s="29"/>
      <c r="G639" s="29"/>
      <c r="H639" s="29"/>
      <c r="J639" s="29"/>
      <c r="K639" s="29"/>
      <c r="L639" s="19"/>
      <c r="M639" s="19"/>
      <c r="N639" s="30"/>
      <c r="O639" s="30"/>
      <c r="P639" s="32"/>
      <c r="Q639" s="32"/>
      <c r="R639" s="32"/>
      <c r="S639" s="32"/>
      <c r="T639" s="32"/>
      <c r="U639" s="30"/>
    </row>
    <row r="640" spans="1:21">
      <c r="A640" s="29"/>
      <c r="B640" s="29"/>
      <c r="C640" s="29"/>
      <c r="D640" s="29"/>
      <c r="E640" s="29"/>
      <c r="F640" s="29"/>
      <c r="G640" s="29"/>
      <c r="H640" s="29"/>
      <c r="J640" s="29"/>
      <c r="K640" s="29"/>
      <c r="L640" s="19"/>
      <c r="M640" s="19"/>
      <c r="N640" s="30"/>
      <c r="O640" s="30"/>
      <c r="P640" s="32"/>
      <c r="Q640" s="32"/>
      <c r="R640" s="32"/>
      <c r="S640" s="32"/>
      <c r="T640" s="32"/>
      <c r="U640" s="30"/>
    </row>
    <row r="641" spans="1:21">
      <c r="A641" s="29"/>
      <c r="B641" s="29"/>
      <c r="C641" s="29"/>
      <c r="D641" s="29"/>
      <c r="E641" s="29"/>
      <c r="F641" s="29"/>
      <c r="G641" s="29"/>
      <c r="H641" s="29"/>
      <c r="J641" s="29"/>
      <c r="K641" s="29"/>
      <c r="L641" s="19"/>
      <c r="M641" s="19"/>
      <c r="N641" s="30"/>
      <c r="O641" s="30"/>
      <c r="P641" s="32"/>
      <c r="Q641" s="32"/>
      <c r="R641" s="32"/>
      <c r="S641" s="32"/>
      <c r="T641" s="32"/>
      <c r="U641" s="30"/>
    </row>
    <row r="642" spans="1:21">
      <c r="A642" s="29"/>
      <c r="B642" s="29"/>
      <c r="C642" s="29"/>
      <c r="D642" s="29"/>
      <c r="E642" s="29"/>
      <c r="F642" s="29"/>
      <c r="G642" s="29"/>
      <c r="H642" s="29"/>
      <c r="J642" s="29"/>
      <c r="K642" s="29"/>
      <c r="L642" s="19"/>
      <c r="M642" s="19"/>
      <c r="N642" s="30"/>
      <c r="O642" s="30"/>
      <c r="P642" s="32"/>
      <c r="Q642" s="32"/>
      <c r="R642" s="32"/>
      <c r="S642" s="32"/>
      <c r="T642" s="32"/>
      <c r="U642" s="30"/>
    </row>
    <row r="643" spans="1:21">
      <c r="A643" s="29"/>
      <c r="B643" s="29"/>
      <c r="C643" s="29"/>
      <c r="D643" s="29"/>
      <c r="E643" s="29"/>
      <c r="F643" s="29"/>
      <c r="G643" s="29"/>
      <c r="H643" s="29"/>
      <c r="J643" s="29"/>
      <c r="K643" s="29"/>
      <c r="L643" s="19"/>
      <c r="M643" s="19"/>
      <c r="N643" s="30"/>
      <c r="O643" s="30"/>
      <c r="P643" s="32"/>
      <c r="Q643" s="32"/>
      <c r="R643" s="32"/>
      <c r="S643" s="32"/>
      <c r="T643" s="32"/>
      <c r="U643" s="30"/>
    </row>
    <row r="644" spans="1:21">
      <c r="A644" s="29"/>
      <c r="B644" s="29"/>
      <c r="C644" s="29"/>
      <c r="D644" s="29"/>
      <c r="E644" s="29"/>
      <c r="F644" s="29"/>
      <c r="G644" s="29"/>
      <c r="H644" s="29"/>
      <c r="J644" s="29"/>
      <c r="K644" s="29"/>
      <c r="L644" s="19"/>
      <c r="M644" s="19"/>
      <c r="N644" s="30"/>
      <c r="O644" s="30"/>
      <c r="P644" s="32"/>
      <c r="Q644" s="32"/>
      <c r="R644" s="32"/>
      <c r="S644" s="32"/>
      <c r="T644" s="32"/>
      <c r="U644" s="30"/>
    </row>
    <row r="645" spans="1:21">
      <c r="A645" s="29"/>
      <c r="B645" s="29"/>
      <c r="C645" s="29"/>
      <c r="D645" s="29"/>
      <c r="E645" s="29"/>
      <c r="F645" s="29"/>
      <c r="G645" s="29"/>
      <c r="H645" s="29"/>
      <c r="J645" s="29"/>
      <c r="K645" s="29"/>
      <c r="L645" s="19"/>
      <c r="M645" s="19"/>
      <c r="N645" s="30"/>
      <c r="O645" s="30"/>
      <c r="P645" s="32"/>
      <c r="Q645" s="32"/>
      <c r="R645" s="32"/>
      <c r="S645" s="32"/>
      <c r="T645" s="32"/>
      <c r="U645" s="30"/>
    </row>
    <row r="646" spans="1:21">
      <c r="A646" s="29"/>
      <c r="B646" s="29"/>
      <c r="C646" s="29"/>
      <c r="D646" s="29"/>
      <c r="E646" s="29"/>
      <c r="F646" s="29"/>
      <c r="G646" s="29"/>
      <c r="H646" s="29"/>
      <c r="J646" s="29"/>
      <c r="K646" s="29"/>
      <c r="L646" s="19"/>
      <c r="M646" s="19"/>
      <c r="N646" s="30"/>
      <c r="O646" s="30"/>
      <c r="P646" s="32"/>
      <c r="Q646" s="32"/>
      <c r="R646" s="32"/>
      <c r="S646" s="32"/>
      <c r="T646" s="32"/>
      <c r="U646" s="30"/>
    </row>
    <row r="647" spans="1:21">
      <c r="A647" s="29"/>
      <c r="B647" s="29"/>
      <c r="C647" s="29"/>
      <c r="D647" s="29"/>
      <c r="E647" s="29"/>
      <c r="F647" s="29"/>
      <c r="G647" s="29"/>
      <c r="H647" s="29"/>
      <c r="J647" s="29"/>
      <c r="K647" s="29"/>
      <c r="L647" s="19"/>
      <c r="M647" s="19"/>
      <c r="N647" s="30"/>
      <c r="O647" s="30"/>
      <c r="P647" s="32"/>
      <c r="Q647" s="32"/>
      <c r="R647" s="32"/>
      <c r="S647" s="32"/>
      <c r="T647" s="32"/>
      <c r="U647" s="30"/>
    </row>
    <row r="648" spans="1:21">
      <c r="A648" s="29"/>
      <c r="B648" s="29"/>
      <c r="C648" s="29"/>
      <c r="D648" s="29"/>
      <c r="E648" s="29"/>
      <c r="F648" s="29"/>
      <c r="G648" s="29"/>
      <c r="H648" s="29"/>
      <c r="J648" s="29"/>
      <c r="K648" s="29"/>
      <c r="L648" s="19"/>
      <c r="M648" s="19"/>
      <c r="N648" s="30"/>
      <c r="O648" s="30"/>
      <c r="P648" s="32"/>
      <c r="Q648" s="32"/>
      <c r="R648" s="32"/>
      <c r="S648" s="32"/>
      <c r="T648" s="32"/>
      <c r="U648" s="30"/>
    </row>
    <row r="649" spans="1:21">
      <c r="A649" s="29"/>
      <c r="B649" s="29"/>
      <c r="C649" s="29"/>
      <c r="D649" s="29"/>
      <c r="E649" s="29"/>
      <c r="F649" s="29"/>
      <c r="G649" s="29"/>
      <c r="H649" s="29"/>
      <c r="J649" s="29"/>
      <c r="K649" s="29"/>
      <c r="L649" s="19"/>
      <c r="M649" s="19"/>
      <c r="N649" s="30"/>
      <c r="O649" s="30"/>
      <c r="P649" s="32"/>
      <c r="Q649" s="32"/>
      <c r="R649" s="32"/>
      <c r="S649" s="32"/>
      <c r="T649" s="32"/>
      <c r="U649" s="30"/>
    </row>
    <row r="650" spans="1:21">
      <c r="A650" s="29"/>
      <c r="B650" s="29"/>
      <c r="C650" s="29"/>
      <c r="D650" s="29"/>
      <c r="E650" s="29"/>
      <c r="F650" s="29"/>
      <c r="G650" s="29"/>
      <c r="H650" s="29"/>
      <c r="J650" s="29"/>
      <c r="K650" s="29"/>
      <c r="L650" s="19"/>
      <c r="M650" s="19"/>
      <c r="N650" s="30"/>
      <c r="O650" s="30"/>
      <c r="P650" s="32"/>
      <c r="Q650" s="32"/>
      <c r="R650" s="32"/>
      <c r="S650" s="32"/>
      <c r="T650" s="32"/>
      <c r="U650" s="30"/>
    </row>
    <row r="651" spans="1:21">
      <c r="A651" s="29"/>
      <c r="B651" s="29"/>
      <c r="C651" s="29"/>
      <c r="D651" s="29"/>
      <c r="E651" s="29"/>
      <c r="F651" s="29"/>
      <c r="G651" s="29"/>
      <c r="H651" s="29"/>
      <c r="J651" s="29"/>
      <c r="K651" s="29"/>
      <c r="L651" s="19"/>
      <c r="M651" s="19"/>
      <c r="N651" s="30"/>
      <c r="O651" s="30"/>
      <c r="P651" s="32"/>
      <c r="Q651" s="32"/>
      <c r="R651" s="32"/>
      <c r="S651" s="32"/>
      <c r="T651" s="32"/>
      <c r="U651" s="30"/>
    </row>
    <row r="652" spans="1:21">
      <c r="A652" s="29"/>
      <c r="B652" s="29"/>
      <c r="C652" s="29"/>
      <c r="D652" s="29"/>
      <c r="E652" s="29"/>
      <c r="F652" s="29"/>
      <c r="G652" s="29"/>
      <c r="H652" s="29"/>
      <c r="J652" s="29"/>
      <c r="K652" s="29"/>
      <c r="L652" s="19"/>
      <c r="M652" s="19"/>
      <c r="N652" s="30"/>
      <c r="O652" s="30"/>
      <c r="P652" s="32"/>
      <c r="Q652" s="32"/>
      <c r="R652" s="32"/>
      <c r="S652" s="32"/>
      <c r="T652" s="32"/>
      <c r="U652" s="30"/>
    </row>
    <row r="653" spans="1:21">
      <c r="A653" s="29"/>
      <c r="B653" s="29"/>
      <c r="C653" s="29"/>
      <c r="D653" s="29"/>
      <c r="E653" s="29"/>
      <c r="F653" s="29"/>
      <c r="G653" s="29"/>
      <c r="H653" s="29"/>
      <c r="J653" s="29"/>
      <c r="K653" s="29"/>
      <c r="L653" s="19"/>
      <c r="M653" s="19"/>
      <c r="N653" s="30"/>
      <c r="O653" s="30"/>
      <c r="P653" s="32"/>
      <c r="Q653" s="32"/>
      <c r="R653" s="32"/>
      <c r="S653" s="32"/>
      <c r="T653" s="32"/>
      <c r="U653" s="30"/>
    </row>
    <row r="654" spans="1:21">
      <c r="A654" s="29"/>
      <c r="B654" s="29"/>
      <c r="C654" s="29"/>
      <c r="D654" s="29"/>
      <c r="E654" s="29"/>
      <c r="F654" s="29"/>
      <c r="G654" s="29"/>
      <c r="H654" s="29"/>
      <c r="J654" s="29"/>
      <c r="K654" s="29"/>
      <c r="L654" s="19"/>
      <c r="M654" s="19"/>
      <c r="N654" s="30"/>
      <c r="O654" s="30"/>
      <c r="P654" s="32"/>
      <c r="Q654" s="32"/>
      <c r="R654" s="32"/>
      <c r="S654" s="32"/>
      <c r="T654" s="32"/>
      <c r="U654" s="30"/>
    </row>
    <row r="655" spans="1:21">
      <c r="A655" s="29"/>
      <c r="B655" s="29"/>
      <c r="C655" s="29"/>
      <c r="D655" s="29"/>
      <c r="E655" s="29"/>
      <c r="F655" s="29"/>
      <c r="G655" s="29"/>
      <c r="H655" s="29"/>
      <c r="J655" s="29"/>
      <c r="K655" s="29"/>
      <c r="L655" s="19"/>
      <c r="M655" s="19"/>
      <c r="N655" s="30"/>
      <c r="O655" s="30"/>
      <c r="P655" s="32"/>
      <c r="Q655" s="32"/>
      <c r="R655" s="32"/>
      <c r="S655" s="32"/>
      <c r="T655" s="32"/>
      <c r="U655" s="30"/>
    </row>
    <row r="656" spans="1:21">
      <c r="A656" s="29"/>
      <c r="B656" s="29"/>
      <c r="C656" s="29"/>
      <c r="D656" s="29"/>
      <c r="E656" s="29"/>
      <c r="F656" s="29"/>
      <c r="G656" s="29"/>
      <c r="H656" s="29"/>
      <c r="J656" s="29"/>
      <c r="K656" s="29"/>
      <c r="L656" s="19"/>
      <c r="M656" s="19"/>
      <c r="N656" s="30"/>
      <c r="O656" s="30"/>
      <c r="P656" s="32"/>
      <c r="Q656" s="32"/>
      <c r="R656" s="32"/>
      <c r="S656" s="32"/>
      <c r="T656" s="32"/>
      <c r="U656" s="30"/>
    </row>
    <row r="657" spans="1:21">
      <c r="A657" s="29"/>
      <c r="B657" s="29"/>
      <c r="C657" s="29"/>
      <c r="D657" s="29"/>
      <c r="E657" s="29"/>
      <c r="F657" s="29"/>
      <c r="G657" s="29"/>
      <c r="H657" s="29"/>
      <c r="J657" s="29"/>
      <c r="K657" s="29"/>
      <c r="L657" s="19"/>
      <c r="M657" s="19"/>
      <c r="N657" s="30"/>
      <c r="O657" s="30"/>
      <c r="P657" s="32"/>
      <c r="Q657" s="32"/>
      <c r="R657" s="32"/>
      <c r="S657" s="32"/>
      <c r="T657" s="32"/>
      <c r="U657" s="30"/>
    </row>
    <row r="658" spans="1:21">
      <c r="A658" s="29"/>
      <c r="B658" s="29"/>
      <c r="C658" s="29"/>
      <c r="D658" s="29"/>
      <c r="E658" s="29"/>
      <c r="F658" s="29"/>
      <c r="G658" s="29"/>
      <c r="H658" s="29"/>
      <c r="J658" s="29"/>
      <c r="K658" s="29"/>
      <c r="L658" s="19"/>
      <c r="M658" s="19"/>
      <c r="N658" s="30"/>
      <c r="O658" s="30"/>
      <c r="P658" s="32"/>
      <c r="Q658" s="32"/>
      <c r="R658" s="32"/>
      <c r="S658" s="32"/>
      <c r="T658" s="32"/>
      <c r="U658" s="30"/>
    </row>
    <row r="659" spans="1:21">
      <c r="A659" s="29"/>
      <c r="B659" s="29"/>
      <c r="C659" s="29"/>
      <c r="D659" s="29"/>
      <c r="E659" s="29"/>
      <c r="F659" s="29"/>
      <c r="G659" s="29"/>
      <c r="H659" s="29"/>
      <c r="J659" s="29"/>
      <c r="K659" s="29"/>
      <c r="L659" s="19"/>
      <c r="M659" s="19"/>
      <c r="N659" s="30"/>
      <c r="O659" s="30"/>
      <c r="P659" s="32"/>
      <c r="Q659" s="32"/>
      <c r="R659" s="32"/>
      <c r="S659" s="32"/>
      <c r="T659" s="32"/>
      <c r="U659" s="30"/>
    </row>
    <row r="660" spans="1:21">
      <c r="A660" s="29"/>
      <c r="B660" s="29"/>
      <c r="C660" s="29"/>
      <c r="D660" s="29"/>
      <c r="E660" s="29"/>
      <c r="F660" s="29"/>
      <c r="G660" s="29"/>
      <c r="H660" s="29"/>
      <c r="J660" s="29"/>
      <c r="K660" s="29"/>
      <c r="L660" s="19"/>
      <c r="M660" s="19"/>
      <c r="N660" s="30"/>
      <c r="O660" s="30"/>
      <c r="P660" s="32"/>
      <c r="Q660" s="32"/>
      <c r="R660" s="32"/>
      <c r="S660" s="32"/>
      <c r="T660" s="32"/>
      <c r="U660" s="30"/>
    </row>
    <row r="661" spans="1:21">
      <c r="A661" s="29"/>
      <c r="B661" s="29"/>
      <c r="C661" s="29"/>
      <c r="D661" s="29"/>
      <c r="E661" s="29"/>
      <c r="F661" s="29"/>
      <c r="G661" s="29"/>
      <c r="H661" s="29"/>
      <c r="J661" s="29"/>
      <c r="K661" s="29"/>
      <c r="L661" s="19"/>
      <c r="M661" s="19"/>
      <c r="N661" s="30"/>
      <c r="O661" s="30"/>
      <c r="P661" s="32"/>
      <c r="Q661" s="32"/>
      <c r="R661" s="32"/>
      <c r="S661" s="32"/>
      <c r="T661" s="32"/>
      <c r="U661" s="30"/>
    </row>
    <row r="662" spans="1:21">
      <c r="A662" s="29"/>
      <c r="B662" s="29"/>
      <c r="C662" s="29"/>
      <c r="D662" s="29"/>
      <c r="E662" s="29"/>
      <c r="F662" s="29"/>
      <c r="G662" s="29"/>
      <c r="H662" s="29"/>
      <c r="J662" s="29"/>
      <c r="K662" s="29"/>
      <c r="L662" s="19"/>
      <c r="M662" s="19"/>
      <c r="N662" s="30"/>
      <c r="O662" s="30"/>
      <c r="P662" s="32"/>
      <c r="Q662" s="32"/>
      <c r="R662" s="32"/>
      <c r="S662" s="32"/>
      <c r="T662" s="32"/>
      <c r="U662" s="30"/>
    </row>
    <row r="663" spans="1:21">
      <c r="A663" s="29"/>
      <c r="B663" s="29"/>
      <c r="C663" s="29"/>
      <c r="D663" s="29"/>
      <c r="E663" s="29"/>
      <c r="F663" s="29"/>
      <c r="G663" s="29"/>
      <c r="H663" s="29"/>
      <c r="J663" s="29"/>
      <c r="K663" s="29"/>
      <c r="L663" s="19"/>
      <c r="M663" s="19"/>
      <c r="N663" s="30"/>
      <c r="O663" s="30"/>
      <c r="P663" s="32"/>
      <c r="Q663" s="32"/>
      <c r="R663" s="32"/>
      <c r="S663" s="32"/>
      <c r="T663" s="32"/>
      <c r="U663" s="30"/>
    </row>
    <row r="664" spans="1:21">
      <c r="A664" s="29"/>
      <c r="B664" s="29"/>
      <c r="C664" s="29"/>
      <c r="D664" s="29"/>
      <c r="E664" s="29"/>
      <c r="F664" s="29"/>
      <c r="G664" s="29"/>
      <c r="H664" s="29"/>
      <c r="J664" s="29"/>
      <c r="K664" s="29"/>
      <c r="L664" s="19"/>
      <c r="M664" s="19"/>
      <c r="N664" s="30"/>
      <c r="O664" s="30"/>
      <c r="P664" s="32"/>
      <c r="Q664" s="32"/>
      <c r="R664" s="32"/>
      <c r="S664" s="32"/>
      <c r="T664" s="32"/>
      <c r="U664" s="30"/>
    </row>
    <row r="665" spans="1:21">
      <c r="A665" s="29"/>
      <c r="B665" s="29"/>
      <c r="C665" s="29"/>
      <c r="D665" s="29"/>
      <c r="E665" s="29"/>
      <c r="F665" s="29"/>
      <c r="G665" s="29"/>
      <c r="H665" s="29"/>
      <c r="J665" s="29"/>
      <c r="K665" s="29"/>
      <c r="L665" s="19"/>
      <c r="M665" s="19"/>
      <c r="N665" s="30"/>
      <c r="O665" s="30"/>
      <c r="P665" s="32"/>
      <c r="Q665" s="32"/>
      <c r="R665" s="32"/>
      <c r="S665" s="32"/>
      <c r="T665" s="32"/>
      <c r="U665" s="30"/>
    </row>
    <row r="666" spans="1:21">
      <c r="A666" s="29"/>
      <c r="B666" s="29"/>
      <c r="C666" s="29"/>
      <c r="D666" s="29"/>
      <c r="E666" s="29"/>
      <c r="F666" s="29"/>
      <c r="G666" s="29"/>
      <c r="H666" s="29"/>
      <c r="J666" s="29"/>
      <c r="K666" s="29"/>
      <c r="L666" s="19"/>
      <c r="M666" s="19"/>
      <c r="N666" s="30"/>
      <c r="O666" s="30"/>
      <c r="P666" s="32"/>
      <c r="Q666" s="32"/>
      <c r="R666" s="32"/>
      <c r="S666" s="32"/>
      <c r="T666" s="32"/>
      <c r="U666" s="30"/>
    </row>
    <row r="667" spans="1:21">
      <c r="A667" s="29"/>
      <c r="B667" s="29"/>
      <c r="C667" s="29"/>
      <c r="D667" s="29"/>
      <c r="E667" s="29"/>
      <c r="F667" s="29"/>
      <c r="G667" s="29"/>
      <c r="H667" s="29"/>
      <c r="J667" s="29"/>
      <c r="K667" s="29"/>
      <c r="L667" s="19"/>
      <c r="M667" s="19"/>
      <c r="N667" s="30"/>
      <c r="O667" s="30"/>
      <c r="P667" s="32"/>
      <c r="Q667" s="32"/>
      <c r="R667" s="32"/>
      <c r="S667" s="32"/>
      <c r="T667" s="32"/>
      <c r="U667" s="30"/>
    </row>
    <row r="668" spans="1:21">
      <c r="A668" s="29"/>
      <c r="B668" s="29"/>
      <c r="C668" s="29"/>
      <c r="D668" s="29"/>
      <c r="E668" s="29"/>
      <c r="F668" s="29"/>
      <c r="G668" s="29"/>
      <c r="H668" s="29"/>
      <c r="J668" s="29"/>
      <c r="K668" s="29"/>
      <c r="L668" s="19"/>
      <c r="M668" s="19"/>
      <c r="N668" s="30"/>
      <c r="O668" s="30"/>
      <c r="P668" s="32"/>
      <c r="Q668" s="32"/>
      <c r="R668" s="32"/>
      <c r="S668" s="32"/>
      <c r="T668" s="32"/>
      <c r="U668" s="30"/>
    </row>
    <row r="669" spans="1:21">
      <c r="A669" s="29"/>
      <c r="B669" s="29"/>
      <c r="C669" s="29"/>
      <c r="D669" s="29"/>
      <c r="E669" s="29"/>
      <c r="F669" s="29"/>
      <c r="G669" s="29"/>
      <c r="H669" s="29"/>
      <c r="J669" s="29"/>
      <c r="K669" s="29"/>
      <c r="L669" s="19"/>
      <c r="M669" s="19"/>
      <c r="N669" s="30"/>
      <c r="O669" s="30"/>
      <c r="P669" s="32"/>
      <c r="Q669" s="32"/>
      <c r="R669" s="32"/>
      <c r="S669" s="32"/>
      <c r="T669" s="32"/>
      <c r="U669" s="30"/>
    </row>
    <row r="670" spans="1:21">
      <c r="A670" s="29"/>
      <c r="B670" s="29"/>
      <c r="C670" s="29"/>
      <c r="D670" s="29"/>
      <c r="E670" s="29"/>
      <c r="F670" s="29"/>
      <c r="G670" s="29"/>
      <c r="H670" s="29"/>
      <c r="J670" s="29"/>
      <c r="K670" s="29"/>
      <c r="L670" s="19"/>
      <c r="M670" s="19"/>
      <c r="N670" s="30"/>
      <c r="O670" s="30"/>
      <c r="P670" s="32"/>
      <c r="Q670" s="32"/>
      <c r="R670" s="32"/>
      <c r="S670" s="32"/>
      <c r="T670" s="32"/>
      <c r="U670" s="30"/>
    </row>
    <row r="671" spans="1:21">
      <c r="A671" s="29"/>
      <c r="B671" s="29"/>
      <c r="C671" s="29"/>
      <c r="D671" s="29"/>
      <c r="E671" s="29"/>
      <c r="F671" s="29"/>
      <c r="G671" s="29"/>
      <c r="H671" s="29"/>
      <c r="J671" s="29"/>
      <c r="K671" s="29"/>
      <c r="L671" s="19"/>
      <c r="M671" s="19"/>
      <c r="N671" s="30"/>
      <c r="O671" s="30"/>
      <c r="P671" s="32"/>
      <c r="Q671" s="32"/>
      <c r="R671" s="32"/>
      <c r="S671" s="32"/>
      <c r="T671" s="32"/>
      <c r="U671" s="30"/>
    </row>
    <row r="672" spans="1:21">
      <c r="A672" s="29"/>
      <c r="B672" s="29"/>
      <c r="C672" s="29"/>
      <c r="D672" s="29"/>
      <c r="E672" s="29"/>
      <c r="F672" s="29"/>
      <c r="G672" s="29"/>
      <c r="H672" s="29"/>
      <c r="J672" s="29"/>
      <c r="K672" s="29"/>
      <c r="L672" s="19"/>
      <c r="M672" s="19"/>
      <c r="N672" s="30"/>
      <c r="O672" s="30"/>
      <c r="P672" s="32"/>
      <c r="Q672" s="32"/>
      <c r="R672" s="32"/>
      <c r="S672" s="32"/>
      <c r="T672" s="32"/>
      <c r="U672" s="30"/>
    </row>
    <row r="673" spans="1:21">
      <c r="A673" s="29"/>
      <c r="B673" s="29"/>
      <c r="C673" s="29"/>
      <c r="D673" s="29"/>
      <c r="E673" s="29"/>
      <c r="F673" s="29"/>
      <c r="G673" s="29"/>
      <c r="H673" s="29"/>
      <c r="J673" s="29"/>
      <c r="K673" s="29"/>
      <c r="L673" s="19"/>
      <c r="M673" s="19"/>
      <c r="N673" s="30"/>
      <c r="O673" s="30"/>
      <c r="P673" s="32"/>
      <c r="Q673" s="32"/>
      <c r="R673" s="32"/>
      <c r="S673" s="32"/>
      <c r="T673" s="32"/>
      <c r="U673" s="30"/>
    </row>
    <row r="674" spans="1:21">
      <c r="A674" s="29"/>
      <c r="B674" s="29"/>
      <c r="C674" s="29"/>
      <c r="D674" s="29"/>
      <c r="E674" s="29"/>
      <c r="F674" s="29"/>
      <c r="G674" s="29"/>
      <c r="H674" s="29"/>
      <c r="J674" s="29"/>
      <c r="K674" s="29"/>
      <c r="L674" s="19"/>
      <c r="M674" s="19"/>
      <c r="N674" s="30"/>
      <c r="O674" s="30"/>
      <c r="P674" s="32"/>
      <c r="Q674" s="32"/>
      <c r="R674" s="32"/>
      <c r="S674" s="32"/>
      <c r="T674" s="32"/>
      <c r="U674" s="30"/>
    </row>
    <row r="675" spans="1:21">
      <c r="A675" s="29"/>
      <c r="B675" s="29"/>
      <c r="C675" s="29"/>
      <c r="D675" s="29"/>
      <c r="E675" s="29"/>
      <c r="F675" s="29"/>
      <c r="G675" s="29"/>
      <c r="H675" s="29"/>
      <c r="J675" s="29"/>
      <c r="K675" s="29"/>
      <c r="L675" s="19"/>
      <c r="M675" s="19"/>
      <c r="N675" s="30"/>
      <c r="O675" s="30"/>
      <c r="P675" s="32"/>
      <c r="Q675" s="32"/>
      <c r="R675" s="32"/>
      <c r="S675" s="32"/>
      <c r="T675" s="32"/>
      <c r="U675" s="30"/>
    </row>
    <row r="676" spans="1:21">
      <c r="A676" s="29"/>
      <c r="B676" s="29"/>
      <c r="C676" s="29"/>
      <c r="D676" s="29"/>
      <c r="E676" s="29"/>
      <c r="F676" s="29"/>
      <c r="G676" s="29"/>
      <c r="H676" s="29"/>
      <c r="J676" s="29"/>
      <c r="K676" s="29"/>
      <c r="L676" s="19"/>
      <c r="M676" s="19"/>
      <c r="N676" s="30"/>
      <c r="O676" s="30"/>
      <c r="P676" s="32"/>
      <c r="Q676" s="32"/>
      <c r="R676" s="32"/>
      <c r="S676" s="32"/>
      <c r="T676" s="32"/>
      <c r="U676" s="30"/>
    </row>
    <row r="677" spans="1:21">
      <c r="A677" s="29"/>
      <c r="B677" s="29"/>
      <c r="C677" s="29"/>
      <c r="D677" s="29"/>
      <c r="E677" s="29"/>
      <c r="F677" s="29"/>
      <c r="G677" s="29"/>
      <c r="H677" s="29"/>
      <c r="J677" s="29"/>
      <c r="K677" s="29"/>
      <c r="L677" s="19"/>
      <c r="M677" s="19"/>
      <c r="N677" s="30"/>
      <c r="O677" s="30"/>
      <c r="P677" s="32"/>
      <c r="Q677" s="32"/>
      <c r="R677" s="32"/>
      <c r="S677" s="32"/>
      <c r="T677" s="32"/>
      <c r="U677" s="30"/>
    </row>
    <row r="678" spans="1:21">
      <c r="A678" s="29"/>
      <c r="B678" s="29"/>
      <c r="C678" s="29"/>
      <c r="D678" s="29"/>
      <c r="E678" s="29"/>
      <c r="F678" s="29"/>
      <c r="G678" s="29"/>
      <c r="H678" s="29"/>
      <c r="J678" s="29"/>
      <c r="K678" s="29"/>
      <c r="L678" s="19"/>
      <c r="M678" s="19"/>
      <c r="N678" s="30"/>
      <c r="O678" s="30"/>
      <c r="P678" s="32"/>
      <c r="Q678" s="32"/>
      <c r="R678" s="32"/>
      <c r="S678" s="32"/>
      <c r="T678" s="32"/>
      <c r="U678" s="30"/>
    </row>
    <row r="679" spans="1:21">
      <c r="A679" s="29"/>
      <c r="B679" s="29"/>
      <c r="C679" s="29"/>
      <c r="D679" s="29"/>
      <c r="E679" s="29"/>
      <c r="F679" s="29"/>
      <c r="G679" s="29"/>
      <c r="H679" s="29"/>
      <c r="J679" s="29"/>
      <c r="K679" s="29"/>
      <c r="L679" s="19"/>
      <c r="M679" s="19"/>
      <c r="N679" s="30"/>
      <c r="O679" s="30"/>
      <c r="P679" s="32"/>
      <c r="Q679" s="32"/>
      <c r="R679" s="32"/>
      <c r="S679" s="32"/>
      <c r="T679" s="32"/>
      <c r="U679" s="30"/>
    </row>
    <row r="680" spans="1:21">
      <c r="A680" s="29"/>
      <c r="B680" s="29"/>
      <c r="C680" s="29"/>
      <c r="D680" s="29"/>
      <c r="E680" s="29"/>
      <c r="F680" s="29"/>
      <c r="G680" s="29"/>
      <c r="H680" s="29"/>
      <c r="J680" s="29"/>
      <c r="K680" s="29"/>
      <c r="L680" s="19"/>
      <c r="M680" s="19"/>
      <c r="N680" s="30"/>
      <c r="O680" s="30"/>
      <c r="P680" s="32"/>
      <c r="Q680" s="32"/>
      <c r="R680" s="32"/>
      <c r="S680" s="32"/>
      <c r="T680" s="32"/>
      <c r="U680" s="30"/>
    </row>
    <row r="681" spans="1:21">
      <c r="A681" s="29"/>
      <c r="B681" s="29"/>
      <c r="C681" s="29"/>
      <c r="D681" s="29"/>
      <c r="E681" s="29"/>
      <c r="F681" s="29"/>
      <c r="G681" s="29"/>
      <c r="H681" s="29"/>
      <c r="J681" s="29"/>
      <c r="K681" s="29"/>
      <c r="L681" s="19"/>
      <c r="M681" s="19"/>
      <c r="N681" s="30"/>
      <c r="O681" s="30"/>
      <c r="P681" s="32"/>
      <c r="Q681" s="32"/>
      <c r="R681" s="32"/>
      <c r="S681" s="32"/>
      <c r="T681" s="32"/>
      <c r="U681" s="30"/>
    </row>
    <row r="682" spans="1:21">
      <c r="A682" s="29"/>
      <c r="B682" s="29"/>
      <c r="C682" s="29"/>
      <c r="D682" s="29"/>
      <c r="E682" s="29"/>
      <c r="F682" s="29"/>
      <c r="G682" s="29"/>
      <c r="H682" s="29"/>
      <c r="J682" s="29"/>
      <c r="K682" s="29"/>
      <c r="L682" s="19"/>
      <c r="M682" s="19"/>
      <c r="N682" s="30"/>
      <c r="O682" s="30"/>
      <c r="P682" s="32"/>
      <c r="Q682" s="32"/>
      <c r="R682" s="32"/>
      <c r="S682" s="32"/>
      <c r="T682" s="32"/>
      <c r="U682" s="30"/>
    </row>
    <row r="683" spans="1:21">
      <c r="A683" s="29"/>
      <c r="B683" s="29"/>
      <c r="C683" s="29"/>
      <c r="D683" s="29"/>
      <c r="E683" s="29"/>
      <c r="F683" s="29"/>
      <c r="G683" s="29"/>
      <c r="H683" s="29"/>
      <c r="J683" s="29"/>
      <c r="K683" s="29"/>
      <c r="L683" s="19"/>
      <c r="M683" s="19"/>
      <c r="N683" s="30"/>
      <c r="O683" s="30"/>
      <c r="P683" s="32"/>
      <c r="Q683" s="32"/>
      <c r="R683" s="32"/>
      <c r="S683" s="32"/>
      <c r="T683" s="32"/>
      <c r="U683" s="30"/>
    </row>
    <row r="684" spans="1:21">
      <c r="A684" s="29"/>
      <c r="B684" s="29"/>
      <c r="C684" s="29"/>
      <c r="D684" s="29"/>
      <c r="E684" s="29"/>
      <c r="F684" s="29"/>
      <c r="G684" s="29"/>
      <c r="H684" s="29"/>
      <c r="J684" s="29"/>
      <c r="K684" s="29"/>
      <c r="L684" s="19"/>
      <c r="M684" s="19"/>
      <c r="N684" s="30"/>
      <c r="O684" s="30"/>
      <c r="P684" s="32"/>
      <c r="Q684" s="32"/>
      <c r="R684" s="32"/>
      <c r="S684" s="32"/>
      <c r="T684" s="32"/>
      <c r="U684" s="30"/>
    </row>
    <row r="685" spans="1:21">
      <c r="A685" s="29"/>
      <c r="B685" s="29"/>
      <c r="C685" s="29"/>
      <c r="D685" s="29"/>
      <c r="E685" s="29"/>
      <c r="F685" s="29"/>
      <c r="G685" s="29"/>
      <c r="H685" s="29"/>
      <c r="J685" s="29"/>
      <c r="K685" s="29"/>
      <c r="L685" s="19"/>
      <c r="M685" s="19"/>
      <c r="N685" s="30"/>
      <c r="O685" s="30"/>
      <c r="P685" s="32"/>
      <c r="Q685" s="32"/>
      <c r="R685" s="32"/>
      <c r="S685" s="32"/>
      <c r="T685" s="32"/>
      <c r="U685" s="30"/>
    </row>
    <row r="686" spans="1:21">
      <c r="A686" s="29"/>
      <c r="B686" s="29"/>
      <c r="C686" s="29"/>
      <c r="D686" s="29"/>
      <c r="E686" s="29"/>
      <c r="F686" s="29"/>
      <c r="G686" s="29"/>
      <c r="H686" s="29"/>
      <c r="J686" s="29"/>
      <c r="K686" s="29"/>
      <c r="L686" s="19"/>
      <c r="M686" s="19"/>
      <c r="N686" s="30"/>
      <c r="O686" s="30"/>
      <c r="P686" s="32"/>
      <c r="Q686" s="32"/>
      <c r="R686" s="32"/>
      <c r="S686" s="32"/>
      <c r="T686" s="32"/>
      <c r="U686" s="30"/>
    </row>
    <row r="687" spans="1:21">
      <c r="A687" s="29"/>
      <c r="B687" s="29"/>
      <c r="C687" s="29"/>
      <c r="D687" s="29"/>
      <c r="E687" s="29"/>
      <c r="F687" s="29"/>
      <c r="G687" s="29"/>
      <c r="H687" s="29"/>
      <c r="J687" s="29"/>
      <c r="K687" s="29"/>
      <c r="L687" s="19"/>
      <c r="M687" s="19"/>
      <c r="N687" s="30"/>
      <c r="O687" s="30"/>
      <c r="P687" s="32"/>
      <c r="Q687" s="32"/>
      <c r="R687" s="32"/>
      <c r="S687" s="32"/>
      <c r="T687" s="32"/>
      <c r="U687" s="30"/>
    </row>
    <row r="688" spans="1:21">
      <c r="A688" s="29"/>
      <c r="B688" s="29"/>
      <c r="C688" s="29"/>
      <c r="D688" s="29"/>
      <c r="E688" s="29"/>
      <c r="F688" s="29"/>
      <c r="G688" s="29"/>
      <c r="H688" s="29"/>
      <c r="J688" s="29"/>
      <c r="K688" s="29"/>
      <c r="L688" s="19"/>
      <c r="M688" s="19"/>
      <c r="N688" s="30"/>
      <c r="O688" s="30"/>
      <c r="P688" s="32"/>
      <c r="Q688" s="32"/>
      <c r="R688" s="32"/>
      <c r="S688" s="32"/>
      <c r="T688" s="32"/>
      <c r="U688" s="30"/>
    </row>
    <row r="689" spans="1:21">
      <c r="A689" s="29"/>
      <c r="B689" s="29"/>
      <c r="C689" s="29"/>
      <c r="D689" s="29"/>
      <c r="E689" s="29"/>
      <c r="F689" s="29"/>
      <c r="G689" s="29"/>
      <c r="H689" s="29"/>
      <c r="J689" s="29"/>
      <c r="K689" s="29"/>
      <c r="L689" s="19"/>
      <c r="M689" s="19"/>
      <c r="N689" s="30"/>
      <c r="O689" s="30"/>
      <c r="P689" s="32"/>
      <c r="Q689" s="32"/>
      <c r="R689" s="32"/>
      <c r="S689" s="32"/>
      <c r="T689" s="32"/>
      <c r="U689" s="30"/>
    </row>
    <row r="690" spans="1:21">
      <c r="A690" s="29"/>
      <c r="B690" s="29"/>
      <c r="C690" s="29"/>
      <c r="D690" s="29"/>
      <c r="E690" s="29"/>
      <c r="F690" s="29"/>
      <c r="G690" s="29"/>
      <c r="H690" s="29"/>
      <c r="J690" s="29"/>
      <c r="K690" s="29"/>
      <c r="L690" s="19"/>
      <c r="M690" s="19"/>
      <c r="N690" s="30"/>
      <c r="O690" s="30"/>
      <c r="P690" s="32"/>
      <c r="Q690" s="32"/>
      <c r="R690" s="32"/>
      <c r="S690" s="32"/>
      <c r="T690" s="32"/>
      <c r="U690" s="30"/>
    </row>
    <row r="691" spans="1:21">
      <c r="A691" s="29"/>
      <c r="B691" s="29"/>
      <c r="C691" s="29"/>
      <c r="D691" s="29"/>
      <c r="E691" s="29"/>
      <c r="F691" s="29"/>
      <c r="G691" s="29"/>
      <c r="H691" s="29"/>
      <c r="J691" s="29"/>
      <c r="K691" s="29"/>
      <c r="L691" s="19"/>
      <c r="M691" s="19"/>
      <c r="N691" s="30"/>
      <c r="O691" s="30"/>
      <c r="P691" s="32"/>
      <c r="Q691" s="32"/>
      <c r="R691" s="32"/>
      <c r="S691" s="32"/>
      <c r="T691" s="32"/>
      <c r="U691" s="30"/>
    </row>
    <row r="692" spans="1:21">
      <c r="A692" s="29"/>
      <c r="B692" s="29"/>
      <c r="C692" s="29"/>
      <c r="D692" s="29"/>
      <c r="E692" s="29"/>
      <c r="F692" s="29"/>
      <c r="G692" s="29"/>
      <c r="H692" s="29"/>
      <c r="J692" s="29"/>
      <c r="K692" s="29"/>
      <c r="L692" s="19"/>
      <c r="M692" s="19"/>
      <c r="N692" s="30"/>
      <c r="O692" s="30"/>
      <c r="P692" s="32"/>
      <c r="Q692" s="32"/>
      <c r="R692" s="32"/>
      <c r="S692" s="32"/>
      <c r="T692" s="32"/>
      <c r="U692" s="30"/>
    </row>
    <row r="693" spans="1:21">
      <c r="A693" s="29"/>
      <c r="B693" s="29"/>
      <c r="C693" s="29"/>
      <c r="D693" s="29"/>
      <c r="E693" s="29"/>
      <c r="F693" s="29"/>
      <c r="G693" s="29"/>
      <c r="H693" s="29"/>
      <c r="J693" s="29"/>
      <c r="K693" s="29"/>
      <c r="L693" s="19"/>
      <c r="M693" s="19"/>
      <c r="N693" s="30"/>
      <c r="O693" s="30"/>
      <c r="P693" s="32"/>
      <c r="Q693" s="32"/>
      <c r="R693" s="32"/>
      <c r="S693" s="32"/>
      <c r="T693" s="32"/>
      <c r="U693" s="30"/>
    </row>
    <row r="694" spans="1:21">
      <c r="A694" s="29"/>
      <c r="B694" s="29"/>
      <c r="C694" s="29"/>
      <c r="D694" s="29"/>
      <c r="E694" s="29"/>
      <c r="F694" s="29"/>
      <c r="G694" s="29"/>
      <c r="H694" s="29"/>
      <c r="J694" s="29"/>
      <c r="K694" s="29"/>
      <c r="L694" s="19"/>
      <c r="M694" s="19"/>
      <c r="N694" s="30"/>
      <c r="O694" s="30"/>
      <c r="P694" s="32"/>
      <c r="Q694" s="32"/>
      <c r="R694" s="32"/>
      <c r="S694" s="32"/>
      <c r="T694" s="32"/>
      <c r="U694" s="30"/>
    </row>
    <row r="695" spans="1:21">
      <c r="A695" s="29"/>
      <c r="B695" s="29"/>
      <c r="C695" s="29"/>
      <c r="D695" s="29"/>
      <c r="E695" s="29"/>
      <c r="F695" s="29"/>
      <c r="G695" s="29"/>
      <c r="H695" s="29"/>
      <c r="J695" s="29"/>
      <c r="K695" s="29"/>
      <c r="L695" s="19"/>
      <c r="M695" s="19"/>
      <c r="N695" s="30"/>
      <c r="O695" s="30"/>
      <c r="P695" s="32"/>
      <c r="Q695" s="32"/>
      <c r="R695" s="32"/>
      <c r="S695" s="32"/>
      <c r="T695" s="32"/>
      <c r="U695" s="30"/>
    </row>
    <row r="696" spans="1:21">
      <c r="A696" s="29"/>
      <c r="B696" s="29"/>
      <c r="C696" s="29"/>
      <c r="D696" s="29"/>
      <c r="E696" s="29"/>
      <c r="F696" s="29"/>
      <c r="G696" s="29"/>
      <c r="H696" s="29"/>
      <c r="J696" s="29"/>
      <c r="K696" s="29"/>
      <c r="L696" s="19"/>
      <c r="M696" s="19"/>
      <c r="N696" s="30"/>
      <c r="O696" s="30"/>
      <c r="P696" s="32"/>
      <c r="Q696" s="32"/>
      <c r="R696" s="32"/>
      <c r="S696" s="32"/>
      <c r="T696" s="32"/>
      <c r="U696" s="30"/>
    </row>
    <row r="697" spans="1:21">
      <c r="A697" s="29"/>
      <c r="B697" s="29"/>
      <c r="C697" s="29"/>
      <c r="D697" s="29"/>
      <c r="E697" s="29"/>
      <c r="F697" s="29"/>
      <c r="G697" s="29"/>
      <c r="H697" s="29"/>
      <c r="J697" s="29"/>
      <c r="K697" s="29"/>
      <c r="L697" s="19"/>
      <c r="M697" s="19"/>
      <c r="N697" s="30"/>
      <c r="O697" s="30"/>
      <c r="P697" s="32"/>
      <c r="Q697" s="32"/>
      <c r="R697" s="32"/>
      <c r="S697" s="32"/>
      <c r="T697" s="32"/>
      <c r="U697" s="30"/>
    </row>
    <row r="698" spans="1:21">
      <c r="A698" s="29"/>
      <c r="B698" s="29"/>
      <c r="C698" s="29"/>
      <c r="D698" s="29"/>
      <c r="E698" s="29"/>
      <c r="F698" s="29"/>
      <c r="G698" s="29"/>
      <c r="H698" s="29"/>
      <c r="J698" s="29"/>
      <c r="K698" s="29"/>
      <c r="L698" s="19"/>
      <c r="M698" s="19"/>
      <c r="N698" s="30"/>
      <c r="O698" s="30"/>
      <c r="P698" s="32"/>
      <c r="Q698" s="32"/>
      <c r="R698" s="32"/>
      <c r="S698" s="32"/>
      <c r="T698" s="32"/>
      <c r="U698" s="30"/>
    </row>
    <row r="699" spans="1:21">
      <c r="A699" s="29"/>
      <c r="B699" s="29"/>
      <c r="C699" s="29"/>
      <c r="D699" s="29"/>
      <c r="E699" s="29"/>
      <c r="F699" s="29"/>
      <c r="G699" s="29"/>
      <c r="H699" s="29"/>
      <c r="J699" s="29"/>
      <c r="K699" s="29"/>
      <c r="L699" s="19"/>
      <c r="M699" s="19"/>
      <c r="N699" s="30"/>
      <c r="O699" s="30"/>
      <c r="P699" s="32"/>
      <c r="Q699" s="32"/>
      <c r="R699" s="32"/>
      <c r="S699" s="32"/>
      <c r="T699" s="32"/>
      <c r="U699" s="30"/>
    </row>
    <row r="700" spans="1:21">
      <c r="A700" s="29"/>
      <c r="B700" s="29"/>
      <c r="C700" s="29"/>
      <c r="D700" s="29"/>
      <c r="E700" s="29"/>
      <c r="F700" s="29"/>
      <c r="G700" s="29"/>
      <c r="H700" s="29"/>
      <c r="J700" s="29"/>
      <c r="K700" s="29"/>
      <c r="L700" s="19"/>
      <c r="M700" s="19"/>
      <c r="N700" s="30"/>
      <c r="O700" s="30"/>
      <c r="P700" s="32"/>
      <c r="Q700" s="32"/>
      <c r="R700" s="32"/>
      <c r="S700" s="32"/>
      <c r="T700" s="32"/>
      <c r="U700" s="30"/>
    </row>
    <row r="701" spans="1:21">
      <c r="A701" s="29"/>
      <c r="B701" s="29"/>
      <c r="C701" s="29"/>
      <c r="D701" s="29"/>
      <c r="E701" s="29"/>
      <c r="F701" s="29"/>
      <c r="G701" s="29"/>
      <c r="H701" s="29"/>
      <c r="J701" s="29"/>
      <c r="K701" s="29"/>
      <c r="L701" s="19"/>
      <c r="M701" s="19"/>
      <c r="N701" s="30"/>
      <c r="O701" s="30"/>
      <c r="P701" s="32"/>
      <c r="Q701" s="32"/>
      <c r="R701" s="32"/>
      <c r="S701" s="32"/>
      <c r="T701" s="32"/>
      <c r="U701" s="30"/>
    </row>
    <row r="702" spans="1:21">
      <c r="A702" s="29"/>
      <c r="B702" s="29"/>
      <c r="C702" s="29"/>
      <c r="D702" s="29"/>
      <c r="E702" s="29"/>
      <c r="F702" s="29"/>
      <c r="G702" s="29"/>
      <c r="H702" s="29"/>
      <c r="J702" s="29"/>
      <c r="K702" s="29"/>
      <c r="L702" s="19"/>
      <c r="M702" s="19"/>
      <c r="N702" s="30"/>
      <c r="O702" s="30"/>
      <c r="P702" s="32"/>
      <c r="Q702" s="32"/>
      <c r="R702" s="32"/>
      <c r="S702" s="32"/>
      <c r="T702" s="32"/>
      <c r="U702" s="30"/>
    </row>
    <row r="703" spans="1:21">
      <c r="A703" s="29"/>
      <c r="B703" s="29"/>
      <c r="C703" s="29"/>
      <c r="D703" s="29"/>
      <c r="E703" s="29"/>
      <c r="F703" s="29"/>
      <c r="G703" s="29"/>
      <c r="H703" s="29"/>
      <c r="J703" s="29"/>
      <c r="K703" s="29"/>
      <c r="L703" s="19"/>
      <c r="M703" s="19"/>
      <c r="N703" s="30"/>
      <c r="O703" s="30"/>
      <c r="P703" s="32"/>
      <c r="Q703" s="32"/>
      <c r="R703" s="32"/>
      <c r="S703" s="32"/>
      <c r="T703" s="32"/>
      <c r="U703" s="30"/>
    </row>
    <row r="704" spans="1:21">
      <c r="A704" s="29"/>
      <c r="B704" s="29"/>
      <c r="C704" s="29"/>
      <c r="D704" s="29"/>
      <c r="E704" s="29"/>
      <c r="F704" s="29"/>
      <c r="G704" s="29"/>
      <c r="H704" s="29"/>
      <c r="J704" s="29"/>
      <c r="K704" s="29"/>
      <c r="L704" s="19"/>
      <c r="M704" s="19"/>
      <c r="N704" s="30"/>
      <c r="O704" s="30"/>
      <c r="P704" s="32"/>
      <c r="Q704" s="32"/>
      <c r="R704" s="32"/>
      <c r="S704" s="32"/>
      <c r="T704" s="32"/>
      <c r="U704" s="30"/>
    </row>
    <row r="705" spans="1:21">
      <c r="A705" s="29"/>
      <c r="B705" s="29"/>
      <c r="C705" s="29"/>
      <c r="D705" s="29"/>
      <c r="E705" s="29"/>
      <c r="F705" s="29"/>
      <c r="G705" s="29"/>
      <c r="H705" s="29"/>
      <c r="J705" s="29"/>
      <c r="K705" s="29"/>
      <c r="L705" s="19"/>
      <c r="M705" s="19"/>
      <c r="N705" s="30"/>
      <c r="O705" s="30"/>
      <c r="P705" s="32"/>
      <c r="Q705" s="32"/>
      <c r="R705" s="32"/>
      <c r="S705" s="32"/>
      <c r="T705" s="32"/>
      <c r="U705" s="30"/>
    </row>
    <row r="706" spans="1:21">
      <c r="A706" s="29"/>
      <c r="B706" s="29"/>
      <c r="C706" s="29"/>
      <c r="D706" s="29"/>
      <c r="E706" s="29"/>
      <c r="F706" s="29"/>
      <c r="G706" s="29"/>
      <c r="H706" s="29"/>
      <c r="J706" s="29"/>
      <c r="K706" s="29"/>
      <c r="L706" s="19"/>
      <c r="M706" s="19"/>
      <c r="N706" s="30"/>
      <c r="O706" s="30"/>
      <c r="P706" s="32"/>
      <c r="Q706" s="32"/>
      <c r="R706" s="32"/>
      <c r="S706" s="32"/>
      <c r="T706" s="32"/>
      <c r="U706" s="30"/>
    </row>
    <row r="707" spans="1:21">
      <c r="A707" s="29"/>
      <c r="B707" s="29"/>
      <c r="C707" s="29"/>
      <c r="D707" s="29"/>
      <c r="E707" s="29"/>
      <c r="F707" s="29"/>
      <c r="G707" s="29"/>
      <c r="H707" s="29"/>
      <c r="J707" s="29"/>
      <c r="K707" s="29"/>
      <c r="L707" s="19"/>
      <c r="M707" s="19"/>
      <c r="N707" s="30"/>
      <c r="O707" s="30"/>
      <c r="P707" s="32"/>
      <c r="Q707" s="32"/>
      <c r="R707" s="32"/>
      <c r="S707" s="32"/>
      <c r="T707" s="32"/>
      <c r="U707" s="30"/>
    </row>
    <row r="708" spans="1:21">
      <c r="A708" s="29"/>
      <c r="B708" s="29"/>
      <c r="C708" s="29"/>
      <c r="D708" s="29"/>
      <c r="E708" s="29"/>
      <c r="F708" s="29"/>
      <c r="G708" s="29"/>
      <c r="H708" s="29"/>
      <c r="J708" s="29"/>
      <c r="K708" s="29"/>
      <c r="L708" s="19"/>
      <c r="M708" s="19"/>
      <c r="N708" s="30"/>
      <c r="O708" s="30"/>
      <c r="P708" s="32"/>
      <c r="Q708" s="32"/>
      <c r="R708" s="32"/>
      <c r="S708" s="32"/>
      <c r="T708" s="32"/>
      <c r="U708" s="30"/>
    </row>
    <row r="709" spans="1:21">
      <c r="A709" s="29"/>
      <c r="B709" s="29"/>
      <c r="C709" s="29"/>
      <c r="D709" s="29"/>
      <c r="E709" s="29"/>
      <c r="F709" s="29"/>
      <c r="G709" s="29"/>
      <c r="H709" s="29"/>
      <c r="J709" s="29"/>
      <c r="K709" s="29"/>
      <c r="L709" s="19"/>
      <c r="M709" s="19"/>
      <c r="N709" s="30"/>
      <c r="O709" s="30"/>
      <c r="P709" s="32"/>
      <c r="Q709" s="32"/>
      <c r="R709" s="32"/>
      <c r="S709" s="32"/>
      <c r="T709" s="32"/>
      <c r="U709" s="30"/>
    </row>
    <row r="710" spans="1:21">
      <c r="A710" s="29"/>
      <c r="B710" s="29"/>
      <c r="C710" s="29"/>
      <c r="D710" s="29"/>
      <c r="E710" s="29"/>
      <c r="F710" s="29"/>
      <c r="G710" s="29"/>
      <c r="H710" s="29"/>
      <c r="J710" s="29"/>
      <c r="K710" s="29"/>
      <c r="L710" s="19"/>
      <c r="M710" s="19"/>
      <c r="N710" s="30"/>
      <c r="O710" s="30"/>
      <c r="P710" s="32"/>
      <c r="Q710" s="32"/>
      <c r="R710" s="32"/>
      <c r="S710" s="32"/>
      <c r="T710" s="32"/>
      <c r="U710" s="30"/>
    </row>
    <row r="711" spans="1:21">
      <c r="A711" s="29"/>
      <c r="B711" s="29"/>
      <c r="C711" s="29"/>
      <c r="D711" s="29"/>
      <c r="E711" s="29"/>
      <c r="F711" s="29"/>
      <c r="G711" s="29"/>
      <c r="H711" s="29"/>
      <c r="J711" s="29"/>
      <c r="K711" s="29"/>
      <c r="L711" s="19"/>
      <c r="M711" s="19"/>
      <c r="N711" s="30"/>
      <c r="O711" s="30"/>
      <c r="P711" s="32"/>
      <c r="Q711" s="32"/>
      <c r="R711" s="32"/>
      <c r="S711" s="32"/>
      <c r="T711" s="32"/>
      <c r="U711" s="30"/>
    </row>
    <row r="712" spans="1:21">
      <c r="A712" s="29"/>
      <c r="B712" s="29"/>
      <c r="C712" s="29"/>
      <c r="D712" s="29"/>
      <c r="E712" s="29"/>
      <c r="F712" s="29"/>
      <c r="G712" s="29"/>
      <c r="H712" s="29"/>
      <c r="J712" s="29"/>
      <c r="K712" s="29"/>
      <c r="L712" s="19"/>
      <c r="M712" s="19"/>
      <c r="N712" s="30"/>
      <c r="O712" s="30"/>
      <c r="P712" s="32"/>
      <c r="Q712" s="32"/>
      <c r="R712" s="32"/>
      <c r="S712" s="32"/>
      <c r="T712" s="32"/>
      <c r="U712" s="30"/>
    </row>
    <row r="713" spans="1:21">
      <c r="A713" s="29"/>
      <c r="B713" s="29"/>
      <c r="C713" s="29"/>
      <c r="D713" s="29"/>
      <c r="E713" s="29"/>
      <c r="F713" s="29"/>
      <c r="G713" s="29"/>
      <c r="H713" s="29"/>
      <c r="J713" s="29"/>
      <c r="K713" s="29"/>
      <c r="L713" s="19"/>
      <c r="M713" s="19"/>
      <c r="N713" s="30"/>
      <c r="O713" s="30"/>
      <c r="P713" s="32"/>
      <c r="Q713" s="32"/>
      <c r="R713" s="32"/>
      <c r="S713" s="32"/>
      <c r="T713" s="32"/>
      <c r="U713" s="30"/>
    </row>
    <row r="714" spans="1:21">
      <c r="A714" s="29"/>
      <c r="B714" s="29"/>
      <c r="C714" s="29"/>
      <c r="D714" s="29"/>
      <c r="E714" s="29"/>
      <c r="F714" s="29"/>
      <c r="G714" s="29"/>
      <c r="H714" s="29"/>
      <c r="J714" s="29"/>
      <c r="K714" s="29"/>
      <c r="L714" s="19"/>
      <c r="M714" s="19"/>
      <c r="N714" s="30"/>
      <c r="O714" s="30"/>
      <c r="P714" s="32"/>
      <c r="Q714" s="32"/>
      <c r="R714" s="32"/>
      <c r="S714" s="32"/>
      <c r="T714" s="32"/>
      <c r="U714" s="30"/>
    </row>
    <row r="715" spans="1:21">
      <c r="A715" s="29"/>
      <c r="B715" s="29"/>
      <c r="C715" s="29"/>
      <c r="D715" s="29"/>
      <c r="E715" s="29"/>
      <c r="F715" s="29"/>
      <c r="G715" s="29"/>
      <c r="H715" s="29"/>
      <c r="J715" s="29"/>
      <c r="K715" s="29"/>
      <c r="L715" s="19"/>
      <c r="M715" s="19"/>
      <c r="N715" s="30"/>
      <c r="O715" s="30"/>
      <c r="P715" s="32"/>
      <c r="Q715" s="32"/>
      <c r="R715" s="32"/>
      <c r="S715" s="32"/>
      <c r="T715" s="32"/>
      <c r="U715" s="30"/>
    </row>
    <row r="716" spans="1:21">
      <c r="A716" s="29"/>
      <c r="B716" s="29"/>
      <c r="C716" s="29"/>
      <c r="D716" s="29"/>
      <c r="E716" s="29"/>
      <c r="F716" s="29"/>
      <c r="G716" s="29"/>
      <c r="H716" s="29"/>
      <c r="J716" s="29"/>
      <c r="K716" s="29"/>
      <c r="L716" s="19"/>
      <c r="M716" s="19"/>
      <c r="N716" s="30"/>
      <c r="O716" s="30"/>
      <c r="P716" s="32"/>
      <c r="Q716" s="32"/>
      <c r="R716" s="32"/>
      <c r="S716" s="32"/>
      <c r="T716" s="32"/>
      <c r="U716" s="30"/>
    </row>
    <row r="717" spans="1:21">
      <c r="A717" s="29"/>
      <c r="B717" s="29"/>
      <c r="C717" s="29"/>
      <c r="D717" s="29"/>
      <c r="E717" s="29"/>
      <c r="F717" s="29"/>
      <c r="G717" s="29"/>
      <c r="H717" s="29"/>
      <c r="J717" s="29"/>
      <c r="K717" s="29"/>
      <c r="L717" s="19"/>
      <c r="M717" s="19"/>
      <c r="N717" s="30"/>
      <c r="O717" s="30"/>
      <c r="P717" s="32"/>
      <c r="Q717" s="32"/>
      <c r="R717" s="32"/>
      <c r="S717" s="32"/>
      <c r="T717" s="32"/>
      <c r="U717" s="30"/>
    </row>
    <row r="718" spans="1:21">
      <c r="A718" s="29"/>
      <c r="B718" s="29"/>
      <c r="C718" s="29"/>
      <c r="D718" s="29"/>
      <c r="E718" s="29"/>
      <c r="F718" s="29"/>
      <c r="G718" s="29"/>
      <c r="H718" s="29"/>
      <c r="J718" s="29"/>
      <c r="K718" s="29"/>
      <c r="L718" s="19"/>
      <c r="M718" s="19"/>
      <c r="N718" s="30"/>
      <c r="O718" s="30"/>
      <c r="P718" s="32"/>
      <c r="Q718" s="32"/>
      <c r="R718" s="32"/>
      <c r="S718" s="32"/>
      <c r="T718" s="32"/>
      <c r="U718" s="30"/>
    </row>
    <row r="719" spans="1:21">
      <c r="A719" s="29"/>
      <c r="B719" s="29"/>
      <c r="C719" s="29"/>
      <c r="D719" s="29"/>
      <c r="E719" s="29"/>
      <c r="F719" s="29"/>
      <c r="G719" s="29"/>
      <c r="H719" s="29"/>
      <c r="J719" s="29"/>
      <c r="K719" s="29"/>
      <c r="L719" s="19"/>
      <c r="M719" s="19"/>
      <c r="N719" s="30"/>
      <c r="O719" s="30"/>
      <c r="P719" s="32"/>
      <c r="Q719" s="32"/>
      <c r="R719" s="32"/>
      <c r="S719" s="32"/>
      <c r="T719" s="32"/>
      <c r="U719" s="30"/>
    </row>
    <row r="720" spans="1:21">
      <c r="A720" s="29"/>
      <c r="B720" s="29"/>
      <c r="C720" s="29"/>
      <c r="D720" s="29"/>
      <c r="E720" s="29"/>
      <c r="F720" s="29"/>
      <c r="G720" s="29"/>
      <c r="H720" s="29"/>
      <c r="J720" s="29"/>
      <c r="K720" s="29"/>
      <c r="L720" s="19"/>
      <c r="M720" s="19"/>
      <c r="N720" s="30"/>
      <c r="O720" s="30"/>
      <c r="P720" s="32"/>
      <c r="Q720" s="32"/>
      <c r="R720" s="32"/>
      <c r="S720" s="32"/>
      <c r="T720" s="32"/>
      <c r="U720" s="30"/>
    </row>
    <row r="721" spans="1:21">
      <c r="A721" s="29"/>
      <c r="B721" s="29"/>
      <c r="C721" s="29"/>
      <c r="D721" s="29"/>
      <c r="E721" s="29"/>
      <c r="F721" s="29"/>
      <c r="G721" s="29"/>
      <c r="H721" s="29"/>
      <c r="J721" s="29"/>
      <c r="K721" s="29"/>
      <c r="L721" s="19"/>
      <c r="M721" s="19"/>
      <c r="N721" s="30"/>
      <c r="O721" s="30"/>
      <c r="P721" s="32"/>
      <c r="Q721" s="32"/>
      <c r="R721" s="32"/>
      <c r="S721" s="32"/>
      <c r="T721" s="32"/>
      <c r="U721" s="30"/>
    </row>
    <row r="722" spans="1:21">
      <c r="A722" s="29"/>
      <c r="B722" s="29"/>
      <c r="C722" s="29"/>
      <c r="D722" s="29"/>
      <c r="E722" s="29"/>
      <c r="F722" s="29"/>
      <c r="G722" s="29"/>
      <c r="H722" s="29"/>
      <c r="J722" s="29"/>
      <c r="K722" s="29"/>
      <c r="L722" s="19"/>
      <c r="M722" s="19"/>
      <c r="N722" s="30"/>
      <c r="O722" s="30"/>
      <c r="P722" s="32"/>
      <c r="Q722" s="32"/>
      <c r="R722" s="32"/>
      <c r="S722" s="32"/>
      <c r="T722" s="32"/>
      <c r="U722" s="30"/>
    </row>
    <row r="723" spans="1:21">
      <c r="A723" s="29"/>
      <c r="B723" s="29"/>
      <c r="C723" s="29"/>
      <c r="D723" s="29"/>
      <c r="E723" s="29"/>
      <c r="F723" s="29"/>
      <c r="G723" s="29"/>
      <c r="H723" s="29"/>
      <c r="J723" s="29"/>
      <c r="K723" s="29"/>
      <c r="L723" s="19"/>
      <c r="M723" s="19"/>
      <c r="N723" s="30"/>
      <c r="O723" s="30"/>
      <c r="P723" s="32"/>
      <c r="Q723" s="32"/>
      <c r="R723" s="32"/>
      <c r="S723" s="32"/>
      <c r="T723" s="32"/>
      <c r="U723" s="30"/>
    </row>
    <row r="724" spans="1:21">
      <c r="A724" s="29"/>
      <c r="B724" s="29"/>
      <c r="C724" s="29"/>
      <c r="D724" s="29"/>
      <c r="E724" s="29"/>
      <c r="F724" s="29"/>
      <c r="G724" s="29"/>
      <c r="H724" s="29"/>
      <c r="J724" s="29"/>
      <c r="K724" s="29"/>
      <c r="L724" s="19"/>
      <c r="M724" s="19"/>
      <c r="N724" s="30"/>
      <c r="O724" s="30"/>
      <c r="P724" s="32"/>
      <c r="Q724" s="32"/>
      <c r="R724" s="32"/>
      <c r="S724" s="32"/>
      <c r="T724" s="32"/>
      <c r="U724" s="30"/>
    </row>
    <row r="725" spans="1:21">
      <c r="A725" s="29"/>
      <c r="B725" s="29"/>
      <c r="C725" s="29"/>
      <c r="D725" s="29"/>
      <c r="E725" s="29"/>
      <c r="F725" s="29"/>
      <c r="G725" s="29"/>
      <c r="H725" s="29"/>
      <c r="J725" s="29"/>
      <c r="K725" s="29"/>
      <c r="L725" s="19"/>
      <c r="M725" s="19"/>
      <c r="N725" s="30"/>
      <c r="O725" s="30"/>
      <c r="P725" s="32"/>
      <c r="Q725" s="32"/>
      <c r="R725" s="32"/>
      <c r="S725" s="32"/>
      <c r="T725" s="32"/>
      <c r="U725" s="30"/>
    </row>
    <row r="726" spans="1:21">
      <c r="A726" s="29"/>
      <c r="B726" s="29"/>
      <c r="C726" s="29"/>
      <c r="D726" s="29"/>
      <c r="E726" s="29"/>
      <c r="F726" s="29"/>
      <c r="G726" s="29"/>
      <c r="H726" s="29"/>
      <c r="J726" s="29"/>
      <c r="K726" s="29"/>
      <c r="L726" s="19"/>
      <c r="M726" s="19"/>
      <c r="N726" s="30"/>
      <c r="O726" s="30"/>
      <c r="P726" s="32"/>
      <c r="Q726" s="32"/>
      <c r="R726" s="32"/>
      <c r="S726" s="32"/>
      <c r="T726" s="32"/>
      <c r="U726" s="30"/>
    </row>
    <row r="727" spans="1:21">
      <c r="A727" s="29"/>
      <c r="B727" s="29"/>
      <c r="C727" s="29"/>
      <c r="D727" s="29"/>
      <c r="E727" s="29"/>
      <c r="F727" s="29"/>
      <c r="G727" s="29"/>
      <c r="H727" s="29"/>
      <c r="J727" s="29"/>
      <c r="K727" s="29"/>
      <c r="L727" s="19"/>
      <c r="M727" s="19"/>
      <c r="N727" s="30"/>
      <c r="O727" s="30"/>
      <c r="P727" s="32"/>
      <c r="Q727" s="32"/>
      <c r="R727" s="32"/>
      <c r="S727" s="32"/>
      <c r="T727" s="32"/>
      <c r="U727" s="30"/>
    </row>
    <row r="728" spans="1:21">
      <c r="A728" s="29"/>
      <c r="B728" s="29"/>
      <c r="C728" s="29"/>
      <c r="D728" s="29"/>
      <c r="E728" s="29"/>
      <c r="F728" s="29"/>
      <c r="G728" s="29"/>
      <c r="H728" s="29"/>
      <c r="J728" s="29"/>
      <c r="K728" s="29"/>
      <c r="L728" s="19"/>
      <c r="M728" s="19"/>
      <c r="N728" s="30"/>
      <c r="O728" s="30"/>
      <c r="P728" s="32"/>
      <c r="Q728" s="32"/>
      <c r="R728" s="32"/>
      <c r="S728" s="32"/>
      <c r="T728" s="32"/>
      <c r="U728" s="30"/>
    </row>
    <row r="729" spans="1:21">
      <c r="A729" s="29"/>
      <c r="B729" s="29"/>
      <c r="C729" s="29"/>
      <c r="D729" s="29"/>
      <c r="E729" s="29"/>
      <c r="F729" s="29"/>
      <c r="G729" s="29"/>
      <c r="H729" s="29"/>
      <c r="J729" s="29"/>
      <c r="K729" s="29"/>
      <c r="L729" s="19"/>
      <c r="M729" s="19"/>
      <c r="N729" s="30"/>
      <c r="O729" s="30"/>
      <c r="P729" s="32"/>
      <c r="Q729" s="32"/>
      <c r="R729" s="32"/>
      <c r="S729" s="32"/>
      <c r="T729" s="32"/>
      <c r="U729" s="30"/>
    </row>
    <row r="730" spans="1:21">
      <c r="A730" s="29"/>
      <c r="B730" s="29"/>
      <c r="C730" s="29"/>
      <c r="D730" s="29"/>
      <c r="E730" s="29"/>
      <c r="F730" s="29"/>
      <c r="G730" s="29"/>
      <c r="H730" s="29"/>
      <c r="J730" s="29"/>
      <c r="K730" s="29"/>
      <c r="L730" s="19"/>
      <c r="M730" s="19"/>
      <c r="N730" s="30"/>
      <c r="O730" s="30"/>
      <c r="P730" s="32"/>
      <c r="Q730" s="32"/>
      <c r="R730" s="32"/>
      <c r="S730" s="32"/>
      <c r="T730" s="32"/>
      <c r="U730" s="30"/>
    </row>
    <row r="731" spans="1:21">
      <c r="A731" s="29"/>
      <c r="B731" s="29"/>
      <c r="C731" s="29"/>
      <c r="D731" s="29"/>
      <c r="E731" s="29"/>
      <c r="F731" s="29"/>
      <c r="G731" s="29"/>
      <c r="H731" s="29"/>
      <c r="J731" s="29"/>
      <c r="K731" s="29"/>
      <c r="L731" s="19"/>
      <c r="M731" s="19"/>
      <c r="N731" s="30"/>
      <c r="O731" s="30"/>
      <c r="P731" s="32"/>
      <c r="Q731" s="32"/>
      <c r="R731" s="32"/>
      <c r="S731" s="32"/>
      <c r="T731" s="32"/>
      <c r="U731" s="30"/>
    </row>
    <row r="732" spans="1:21">
      <c r="A732" s="29"/>
      <c r="B732" s="29"/>
      <c r="C732" s="29"/>
      <c r="D732" s="29"/>
      <c r="E732" s="29"/>
      <c r="F732" s="29"/>
      <c r="G732" s="29"/>
      <c r="H732" s="29"/>
      <c r="J732" s="29"/>
      <c r="K732" s="29"/>
      <c r="L732" s="19"/>
      <c r="M732" s="19"/>
      <c r="N732" s="30"/>
      <c r="O732" s="30"/>
      <c r="P732" s="32"/>
      <c r="Q732" s="32"/>
      <c r="R732" s="32"/>
      <c r="S732" s="32"/>
      <c r="T732" s="32"/>
      <c r="U732" s="30"/>
    </row>
    <row r="733" spans="1:21">
      <c r="A733" s="29"/>
      <c r="B733" s="29"/>
      <c r="C733" s="29"/>
      <c r="D733" s="29"/>
      <c r="E733" s="29"/>
      <c r="F733" s="29"/>
      <c r="G733" s="29"/>
      <c r="H733" s="29"/>
      <c r="J733" s="29"/>
      <c r="K733" s="29"/>
      <c r="L733" s="19"/>
      <c r="M733" s="19"/>
      <c r="N733" s="30"/>
      <c r="O733" s="30"/>
      <c r="P733" s="32"/>
      <c r="Q733" s="32"/>
      <c r="R733" s="32"/>
      <c r="S733" s="32"/>
      <c r="T733" s="32"/>
      <c r="U733" s="30"/>
    </row>
    <row r="734" spans="1:21">
      <c r="A734" s="29"/>
      <c r="B734" s="29"/>
      <c r="C734" s="29"/>
      <c r="D734" s="29"/>
      <c r="E734" s="29"/>
      <c r="F734" s="29"/>
      <c r="G734" s="29"/>
      <c r="H734" s="29"/>
      <c r="J734" s="29"/>
      <c r="K734" s="29"/>
      <c r="L734" s="19"/>
      <c r="M734" s="19"/>
      <c r="N734" s="30"/>
      <c r="O734" s="30"/>
      <c r="P734" s="32"/>
      <c r="Q734" s="32"/>
      <c r="R734" s="32"/>
      <c r="S734" s="32"/>
      <c r="T734" s="32"/>
      <c r="U734" s="30"/>
    </row>
    <row r="735" spans="1:21">
      <c r="A735" s="29"/>
      <c r="B735" s="29"/>
      <c r="C735" s="29"/>
      <c r="D735" s="29"/>
      <c r="E735" s="29"/>
      <c r="F735" s="29"/>
      <c r="G735" s="29"/>
      <c r="H735" s="29"/>
      <c r="J735" s="29"/>
      <c r="K735" s="29"/>
      <c r="L735" s="19"/>
      <c r="M735" s="19"/>
      <c r="N735" s="30"/>
      <c r="O735" s="30"/>
      <c r="P735" s="32"/>
      <c r="Q735" s="32"/>
      <c r="R735" s="32"/>
      <c r="S735" s="32"/>
      <c r="T735" s="32"/>
      <c r="U735" s="30"/>
    </row>
    <row r="736" spans="1:21">
      <c r="A736" s="29"/>
      <c r="B736" s="29"/>
      <c r="C736" s="29"/>
      <c r="D736" s="29"/>
      <c r="E736" s="29"/>
      <c r="F736" s="29"/>
      <c r="G736" s="29"/>
      <c r="H736" s="29"/>
      <c r="J736" s="29"/>
      <c r="K736" s="29"/>
      <c r="L736" s="19"/>
      <c r="M736" s="19"/>
      <c r="N736" s="30"/>
      <c r="O736" s="30"/>
      <c r="P736" s="32"/>
      <c r="Q736" s="32"/>
      <c r="R736" s="32"/>
      <c r="S736" s="32"/>
      <c r="T736" s="32"/>
      <c r="U736" s="30"/>
    </row>
    <row r="737" spans="1:21">
      <c r="A737" s="29"/>
      <c r="B737" s="29"/>
      <c r="C737" s="29"/>
      <c r="D737" s="29"/>
      <c r="E737" s="29"/>
      <c r="F737" s="29"/>
      <c r="G737" s="29"/>
      <c r="H737" s="29"/>
      <c r="J737" s="29"/>
      <c r="K737" s="29"/>
      <c r="L737" s="19"/>
      <c r="M737" s="19"/>
      <c r="N737" s="30"/>
      <c r="O737" s="30"/>
      <c r="P737" s="32"/>
      <c r="Q737" s="32"/>
      <c r="R737" s="32"/>
      <c r="S737" s="32"/>
      <c r="T737" s="32"/>
      <c r="U737" s="30"/>
    </row>
    <row r="738" spans="1:21">
      <c r="A738" s="29"/>
      <c r="B738" s="29"/>
      <c r="C738" s="29"/>
      <c r="D738" s="29"/>
      <c r="E738" s="29"/>
      <c r="F738" s="29"/>
      <c r="G738" s="29"/>
      <c r="H738" s="29"/>
      <c r="J738" s="29"/>
      <c r="K738" s="29"/>
      <c r="L738" s="19"/>
      <c r="M738" s="19"/>
      <c r="N738" s="30"/>
      <c r="O738" s="30"/>
      <c r="P738" s="32"/>
      <c r="Q738" s="32"/>
      <c r="R738" s="32"/>
      <c r="S738" s="32"/>
      <c r="T738" s="32"/>
      <c r="U738" s="30"/>
    </row>
    <row r="739" spans="1:21">
      <c r="A739" s="29"/>
      <c r="B739" s="29"/>
      <c r="C739" s="29"/>
      <c r="D739" s="29"/>
      <c r="E739" s="29"/>
      <c r="F739" s="29"/>
      <c r="G739" s="29"/>
      <c r="H739" s="29"/>
      <c r="J739" s="29"/>
      <c r="K739" s="29"/>
      <c r="L739" s="19"/>
      <c r="M739" s="19"/>
      <c r="N739" s="30"/>
      <c r="O739" s="30"/>
      <c r="P739" s="32"/>
      <c r="Q739" s="32"/>
      <c r="R739" s="32"/>
      <c r="S739" s="32"/>
      <c r="T739" s="32"/>
      <c r="U739" s="30"/>
    </row>
    <row r="740" spans="1:21">
      <c r="A740" s="29"/>
      <c r="B740" s="29"/>
      <c r="C740" s="29"/>
      <c r="D740" s="29"/>
      <c r="E740" s="29"/>
      <c r="F740" s="29"/>
      <c r="G740" s="29"/>
      <c r="H740" s="29"/>
      <c r="J740" s="29"/>
      <c r="K740" s="29"/>
      <c r="L740" s="19"/>
      <c r="M740" s="19"/>
      <c r="N740" s="30"/>
      <c r="O740" s="30"/>
      <c r="P740" s="32"/>
      <c r="Q740" s="32"/>
      <c r="R740" s="32"/>
      <c r="S740" s="32"/>
      <c r="T740" s="32"/>
      <c r="U740" s="30"/>
    </row>
    <row r="741" spans="1:21">
      <c r="A741" s="29"/>
      <c r="B741" s="29"/>
      <c r="C741" s="29"/>
      <c r="D741" s="29"/>
      <c r="E741" s="29"/>
      <c r="F741" s="29"/>
      <c r="G741" s="29"/>
      <c r="H741" s="29"/>
      <c r="J741" s="29"/>
      <c r="K741" s="29"/>
      <c r="L741" s="19"/>
      <c r="M741" s="19"/>
      <c r="N741" s="30"/>
      <c r="O741" s="30"/>
      <c r="P741" s="32"/>
      <c r="Q741" s="32"/>
      <c r="R741" s="32"/>
      <c r="S741" s="32"/>
      <c r="T741" s="32"/>
      <c r="U741" s="30"/>
    </row>
    <row r="742" spans="1:21">
      <c r="A742" s="29"/>
      <c r="B742" s="29"/>
      <c r="C742" s="29"/>
      <c r="D742" s="29"/>
      <c r="E742" s="29"/>
      <c r="F742" s="29"/>
      <c r="G742" s="29"/>
      <c r="H742" s="29"/>
      <c r="J742" s="29"/>
      <c r="K742" s="29"/>
      <c r="L742" s="19"/>
      <c r="M742" s="19"/>
      <c r="N742" s="30"/>
      <c r="O742" s="30"/>
      <c r="P742" s="32"/>
      <c r="Q742" s="32"/>
      <c r="R742" s="32"/>
      <c r="S742" s="32"/>
      <c r="T742" s="32"/>
      <c r="U742" s="30"/>
    </row>
    <row r="743" spans="1:21">
      <c r="A743" s="29"/>
      <c r="B743" s="29"/>
      <c r="C743" s="29"/>
      <c r="D743" s="29"/>
      <c r="E743" s="29"/>
      <c r="F743" s="29"/>
      <c r="G743" s="29"/>
      <c r="H743" s="29"/>
      <c r="J743" s="29"/>
      <c r="K743" s="29"/>
      <c r="L743" s="19"/>
      <c r="M743" s="19"/>
      <c r="N743" s="30"/>
      <c r="O743" s="30"/>
      <c r="P743" s="32"/>
      <c r="Q743" s="32"/>
      <c r="R743" s="32"/>
      <c r="S743" s="32"/>
      <c r="T743" s="32"/>
      <c r="U743" s="30"/>
    </row>
    <row r="744" spans="1:21">
      <c r="A744" s="29"/>
      <c r="B744" s="29"/>
      <c r="C744" s="29"/>
      <c r="D744" s="29"/>
      <c r="E744" s="29"/>
      <c r="F744" s="29"/>
      <c r="G744" s="29"/>
      <c r="H744" s="29"/>
      <c r="J744" s="29"/>
      <c r="K744" s="29"/>
      <c r="L744" s="19"/>
      <c r="M744" s="19"/>
      <c r="N744" s="30"/>
      <c r="O744" s="30"/>
      <c r="P744" s="32"/>
      <c r="Q744" s="32"/>
      <c r="R744" s="32"/>
      <c r="S744" s="32"/>
      <c r="T744" s="32"/>
      <c r="U744" s="30"/>
    </row>
    <row r="745" spans="1:21">
      <c r="A745" s="29"/>
      <c r="B745" s="29"/>
      <c r="C745" s="29"/>
      <c r="D745" s="29"/>
      <c r="E745" s="29"/>
      <c r="F745" s="29"/>
      <c r="G745" s="29"/>
      <c r="H745" s="29"/>
      <c r="J745" s="29"/>
      <c r="K745" s="29"/>
      <c r="L745" s="19"/>
      <c r="M745" s="19"/>
      <c r="N745" s="30"/>
      <c r="O745" s="30"/>
      <c r="P745" s="32"/>
      <c r="Q745" s="32"/>
      <c r="R745" s="32"/>
      <c r="S745" s="32"/>
      <c r="T745" s="32"/>
      <c r="U745" s="30"/>
    </row>
    <row r="746" spans="1:21">
      <c r="A746" s="29"/>
      <c r="B746" s="29"/>
      <c r="C746" s="29"/>
      <c r="D746" s="29"/>
      <c r="E746" s="29"/>
      <c r="F746" s="29"/>
      <c r="G746" s="29"/>
      <c r="H746" s="29"/>
      <c r="J746" s="29"/>
      <c r="K746" s="29"/>
      <c r="L746" s="19"/>
      <c r="M746" s="19"/>
      <c r="N746" s="30"/>
      <c r="O746" s="30"/>
      <c r="P746" s="32"/>
      <c r="Q746" s="32"/>
      <c r="R746" s="32"/>
      <c r="S746" s="32"/>
      <c r="T746" s="32"/>
      <c r="U746" s="30"/>
    </row>
    <row r="747" spans="1:21">
      <c r="A747" s="29"/>
      <c r="B747" s="29"/>
      <c r="C747" s="29"/>
      <c r="D747" s="29"/>
      <c r="E747" s="29"/>
      <c r="F747" s="29"/>
      <c r="G747" s="29"/>
      <c r="H747" s="29"/>
      <c r="J747" s="29"/>
      <c r="K747" s="29"/>
      <c r="L747" s="19"/>
      <c r="M747" s="19"/>
      <c r="N747" s="30"/>
      <c r="O747" s="30"/>
      <c r="P747" s="32"/>
      <c r="Q747" s="32"/>
      <c r="R747" s="32"/>
      <c r="S747" s="32"/>
      <c r="T747" s="32"/>
      <c r="U747" s="30"/>
    </row>
    <row r="748" spans="1:21">
      <c r="A748" s="29"/>
      <c r="B748" s="29"/>
      <c r="C748" s="29"/>
      <c r="D748" s="29"/>
      <c r="E748" s="29"/>
      <c r="F748" s="29"/>
      <c r="G748" s="29"/>
      <c r="H748" s="29"/>
      <c r="J748" s="29"/>
      <c r="K748" s="29"/>
      <c r="L748" s="19"/>
      <c r="M748" s="19"/>
      <c r="N748" s="30"/>
      <c r="O748" s="30"/>
      <c r="P748" s="32"/>
      <c r="Q748" s="32"/>
      <c r="R748" s="32"/>
      <c r="S748" s="32"/>
      <c r="T748" s="32"/>
      <c r="U748" s="30"/>
    </row>
    <row r="749" spans="1:21">
      <c r="A749" s="29"/>
      <c r="B749" s="29"/>
      <c r="C749" s="29"/>
      <c r="D749" s="29"/>
      <c r="E749" s="29"/>
      <c r="F749" s="29"/>
      <c r="G749" s="29"/>
      <c r="H749" s="29"/>
      <c r="J749" s="29"/>
      <c r="K749" s="29"/>
      <c r="L749" s="19"/>
      <c r="M749" s="19"/>
      <c r="N749" s="30"/>
      <c r="O749" s="30"/>
      <c r="P749" s="32"/>
      <c r="Q749" s="32"/>
      <c r="R749" s="32"/>
      <c r="S749" s="32"/>
      <c r="T749" s="32"/>
      <c r="U749" s="30"/>
    </row>
    <row r="750" spans="1:21">
      <c r="A750" s="29"/>
      <c r="B750" s="29"/>
      <c r="C750" s="29"/>
      <c r="D750" s="29"/>
      <c r="E750" s="29"/>
      <c r="F750" s="29"/>
      <c r="G750" s="29"/>
      <c r="H750" s="29"/>
      <c r="J750" s="29"/>
      <c r="K750" s="29"/>
      <c r="L750" s="19"/>
      <c r="M750" s="19"/>
      <c r="N750" s="30"/>
      <c r="O750" s="30"/>
      <c r="P750" s="32"/>
      <c r="Q750" s="32"/>
      <c r="R750" s="32"/>
      <c r="S750" s="32"/>
      <c r="T750" s="32"/>
      <c r="U750" s="30"/>
    </row>
    <row r="751" spans="1:21">
      <c r="A751" s="29"/>
      <c r="B751" s="29"/>
      <c r="C751" s="29"/>
      <c r="D751" s="29"/>
      <c r="E751" s="29"/>
      <c r="F751" s="29"/>
      <c r="G751" s="29"/>
      <c r="H751" s="29"/>
      <c r="J751" s="29"/>
      <c r="K751" s="29"/>
      <c r="L751" s="19"/>
      <c r="M751" s="19"/>
      <c r="N751" s="30"/>
      <c r="O751" s="30"/>
      <c r="P751" s="32"/>
      <c r="Q751" s="32"/>
      <c r="R751" s="32"/>
      <c r="S751" s="32"/>
      <c r="T751" s="32"/>
      <c r="U751" s="30"/>
    </row>
    <row r="752" spans="1:21">
      <c r="A752" s="29"/>
      <c r="B752" s="29"/>
      <c r="C752" s="29"/>
      <c r="D752" s="29"/>
      <c r="E752" s="29"/>
      <c r="F752" s="29"/>
      <c r="G752" s="29"/>
      <c r="H752" s="29"/>
      <c r="J752" s="29"/>
      <c r="K752" s="29"/>
      <c r="L752" s="19"/>
      <c r="M752" s="19"/>
      <c r="N752" s="30"/>
      <c r="O752" s="30"/>
      <c r="P752" s="32"/>
      <c r="Q752" s="32"/>
      <c r="R752" s="32"/>
      <c r="S752" s="32"/>
      <c r="T752" s="32"/>
      <c r="U752" s="30"/>
    </row>
    <row r="753" spans="1:21">
      <c r="A753" s="29"/>
      <c r="B753" s="29"/>
      <c r="C753" s="29"/>
      <c r="D753" s="29"/>
      <c r="E753" s="29"/>
      <c r="F753" s="29"/>
      <c r="G753" s="29"/>
      <c r="H753" s="29"/>
      <c r="J753" s="29"/>
      <c r="K753" s="29"/>
      <c r="L753" s="19"/>
      <c r="M753" s="19"/>
      <c r="N753" s="30"/>
      <c r="O753" s="30"/>
      <c r="P753" s="32"/>
      <c r="Q753" s="32"/>
      <c r="R753" s="32"/>
      <c r="S753" s="32"/>
      <c r="T753" s="32"/>
      <c r="U753" s="30"/>
    </row>
    <row r="754" spans="1:21">
      <c r="A754" s="29"/>
      <c r="B754" s="29"/>
      <c r="C754" s="29"/>
      <c r="D754" s="29"/>
      <c r="E754" s="29"/>
      <c r="F754" s="29"/>
      <c r="G754" s="29"/>
      <c r="H754" s="29"/>
      <c r="J754" s="29"/>
      <c r="K754" s="29"/>
      <c r="L754" s="19"/>
      <c r="M754" s="19"/>
      <c r="N754" s="30"/>
      <c r="O754" s="30"/>
      <c r="P754" s="32"/>
      <c r="Q754" s="32"/>
      <c r="R754" s="32"/>
      <c r="S754" s="32"/>
      <c r="T754" s="32"/>
      <c r="U754" s="30"/>
    </row>
    <row r="755" spans="1:21">
      <c r="A755" s="29"/>
      <c r="B755" s="29"/>
      <c r="C755" s="29"/>
      <c r="D755" s="29"/>
      <c r="E755" s="29"/>
      <c r="F755" s="29"/>
      <c r="G755" s="29"/>
      <c r="H755" s="29"/>
      <c r="J755" s="29"/>
      <c r="K755" s="29"/>
      <c r="L755" s="19"/>
      <c r="M755" s="19"/>
      <c r="N755" s="30"/>
      <c r="O755" s="30"/>
      <c r="P755" s="32"/>
      <c r="Q755" s="32"/>
      <c r="R755" s="32"/>
      <c r="S755" s="32"/>
      <c r="T755" s="32"/>
      <c r="U755" s="30"/>
    </row>
    <row r="756" spans="1:21">
      <c r="A756" s="29"/>
      <c r="B756" s="29"/>
      <c r="C756" s="29"/>
      <c r="D756" s="29"/>
      <c r="E756" s="29"/>
      <c r="F756" s="29"/>
      <c r="G756" s="29"/>
      <c r="H756" s="29"/>
      <c r="J756" s="29"/>
      <c r="K756" s="29"/>
      <c r="L756" s="19"/>
      <c r="M756" s="19"/>
      <c r="N756" s="30"/>
      <c r="O756" s="30"/>
      <c r="P756" s="32"/>
      <c r="Q756" s="32"/>
      <c r="R756" s="32"/>
      <c r="S756" s="32"/>
      <c r="T756" s="32"/>
      <c r="U756" s="30"/>
    </row>
    <row r="757" spans="1:21">
      <c r="A757" s="29"/>
      <c r="B757" s="29"/>
      <c r="C757" s="29"/>
      <c r="D757" s="29"/>
      <c r="E757" s="29"/>
      <c r="F757" s="29"/>
      <c r="G757" s="29"/>
      <c r="H757" s="29"/>
      <c r="J757" s="29"/>
      <c r="K757" s="29"/>
      <c r="L757" s="19"/>
      <c r="M757" s="19"/>
      <c r="N757" s="30"/>
      <c r="O757" s="30"/>
      <c r="P757" s="32"/>
      <c r="Q757" s="32"/>
      <c r="R757" s="32"/>
      <c r="S757" s="32"/>
      <c r="T757" s="32"/>
      <c r="U757" s="30"/>
    </row>
    <row r="758" spans="1:21">
      <c r="A758" s="29"/>
      <c r="B758" s="29"/>
      <c r="C758" s="29"/>
      <c r="D758" s="29"/>
      <c r="E758" s="29"/>
      <c r="F758" s="29"/>
      <c r="G758" s="29"/>
      <c r="H758" s="29"/>
      <c r="J758" s="29"/>
      <c r="K758" s="29"/>
      <c r="L758" s="19"/>
      <c r="M758" s="19"/>
      <c r="N758" s="30"/>
      <c r="O758" s="30"/>
      <c r="P758" s="32"/>
      <c r="Q758" s="32"/>
      <c r="R758" s="32"/>
      <c r="S758" s="32"/>
      <c r="T758" s="32"/>
      <c r="U758" s="30"/>
    </row>
    <row r="759" spans="1:21">
      <c r="A759" s="29"/>
      <c r="B759" s="29"/>
      <c r="C759" s="29"/>
      <c r="D759" s="29"/>
      <c r="E759" s="29"/>
      <c r="F759" s="29"/>
      <c r="G759" s="29"/>
      <c r="H759" s="29"/>
      <c r="J759" s="29"/>
      <c r="K759" s="29"/>
      <c r="L759" s="19"/>
      <c r="M759" s="19"/>
      <c r="N759" s="30"/>
      <c r="O759" s="30"/>
      <c r="P759" s="32"/>
      <c r="Q759" s="32"/>
      <c r="R759" s="32"/>
      <c r="S759" s="32"/>
      <c r="T759" s="32"/>
      <c r="U759" s="30"/>
    </row>
    <row r="760" spans="1:21">
      <c r="A760" s="29"/>
      <c r="B760" s="29"/>
      <c r="C760" s="29"/>
      <c r="D760" s="29"/>
      <c r="E760" s="29"/>
      <c r="F760" s="29"/>
      <c r="G760" s="29"/>
      <c r="H760" s="29"/>
      <c r="J760" s="29"/>
      <c r="K760" s="29"/>
      <c r="L760" s="19"/>
      <c r="M760" s="19"/>
      <c r="N760" s="30"/>
      <c r="O760" s="30"/>
      <c r="P760" s="32"/>
      <c r="Q760" s="32"/>
      <c r="R760" s="32"/>
      <c r="S760" s="32"/>
      <c r="T760" s="32"/>
      <c r="U760" s="30"/>
    </row>
    <row r="761" spans="1:21">
      <c r="A761" s="29"/>
      <c r="B761" s="29"/>
      <c r="C761" s="29"/>
      <c r="D761" s="29"/>
      <c r="E761" s="29"/>
      <c r="F761" s="29"/>
      <c r="G761" s="29"/>
      <c r="H761" s="29"/>
      <c r="J761" s="29"/>
      <c r="K761" s="29"/>
      <c r="L761" s="19"/>
      <c r="M761" s="19"/>
      <c r="N761" s="30"/>
      <c r="O761" s="30"/>
      <c r="P761" s="32"/>
      <c r="Q761" s="32"/>
      <c r="R761" s="32"/>
      <c r="S761" s="32"/>
      <c r="T761" s="32"/>
      <c r="U761" s="30"/>
    </row>
    <row r="762" spans="1:21">
      <c r="A762" s="29"/>
      <c r="B762" s="29"/>
      <c r="C762" s="29"/>
      <c r="D762" s="29"/>
      <c r="E762" s="29"/>
      <c r="F762" s="29"/>
      <c r="G762" s="29"/>
      <c r="H762" s="29"/>
      <c r="J762" s="29"/>
      <c r="K762" s="29"/>
      <c r="L762" s="19"/>
      <c r="M762" s="19"/>
      <c r="N762" s="30"/>
      <c r="O762" s="30"/>
      <c r="P762" s="32"/>
      <c r="Q762" s="32"/>
      <c r="R762" s="32"/>
      <c r="S762" s="32"/>
      <c r="T762" s="32"/>
      <c r="U762" s="30"/>
    </row>
    <row r="763" spans="1:21">
      <c r="A763" s="29"/>
      <c r="B763" s="29"/>
      <c r="C763" s="29"/>
      <c r="D763" s="29"/>
      <c r="E763" s="29"/>
      <c r="F763" s="29"/>
      <c r="G763" s="29"/>
      <c r="H763" s="29"/>
      <c r="J763" s="29"/>
      <c r="K763" s="29"/>
      <c r="L763" s="19"/>
      <c r="M763" s="19"/>
      <c r="N763" s="30"/>
      <c r="O763" s="30"/>
      <c r="P763" s="32"/>
      <c r="Q763" s="32"/>
      <c r="R763" s="32"/>
      <c r="S763" s="32"/>
      <c r="T763" s="32"/>
      <c r="U763" s="30"/>
    </row>
    <row r="764" spans="1:21">
      <c r="A764" s="29"/>
      <c r="B764" s="29"/>
      <c r="C764" s="29"/>
      <c r="D764" s="29"/>
      <c r="E764" s="29"/>
      <c r="F764" s="29"/>
      <c r="G764" s="29"/>
      <c r="H764" s="29"/>
      <c r="J764" s="29"/>
      <c r="K764" s="29"/>
      <c r="L764" s="19"/>
      <c r="M764" s="19"/>
      <c r="N764" s="30"/>
      <c r="O764" s="30"/>
      <c r="P764" s="32"/>
      <c r="Q764" s="32"/>
      <c r="R764" s="32"/>
      <c r="S764" s="32"/>
      <c r="T764" s="32"/>
      <c r="U764" s="30"/>
    </row>
    <row r="765" spans="1:21">
      <c r="A765" s="29"/>
      <c r="B765" s="29"/>
      <c r="C765" s="29"/>
      <c r="D765" s="29"/>
      <c r="E765" s="29"/>
      <c r="F765" s="29"/>
      <c r="G765" s="29"/>
      <c r="H765" s="29"/>
      <c r="J765" s="29"/>
      <c r="K765" s="29"/>
      <c r="L765" s="19"/>
      <c r="M765" s="19"/>
      <c r="N765" s="30"/>
      <c r="O765" s="30"/>
      <c r="P765" s="32"/>
      <c r="Q765" s="32"/>
      <c r="R765" s="32"/>
      <c r="S765" s="32"/>
      <c r="T765" s="32"/>
      <c r="U765" s="30"/>
    </row>
    <row r="766" spans="1:21">
      <c r="A766" s="29"/>
      <c r="B766" s="29"/>
      <c r="C766" s="29"/>
      <c r="D766" s="29"/>
      <c r="E766" s="29"/>
      <c r="F766" s="29"/>
      <c r="G766" s="29"/>
      <c r="H766" s="29"/>
      <c r="J766" s="29"/>
      <c r="K766" s="29"/>
      <c r="L766" s="19"/>
      <c r="M766" s="19"/>
      <c r="N766" s="30"/>
      <c r="O766" s="30"/>
      <c r="P766" s="32"/>
      <c r="Q766" s="32"/>
      <c r="R766" s="32"/>
      <c r="S766" s="32"/>
      <c r="T766" s="32"/>
      <c r="U766" s="30"/>
    </row>
    <row r="767" spans="1:21">
      <c r="A767" s="29"/>
      <c r="B767" s="29"/>
      <c r="C767" s="29"/>
      <c r="D767" s="29"/>
      <c r="E767" s="29"/>
      <c r="F767" s="29"/>
      <c r="G767" s="29"/>
      <c r="H767" s="29"/>
      <c r="J767" s="29"/>
      <c r="K767" s="29"/>
      <c r="L767" s="19"/>
      <c r="M767" s="19"/>
      <c r="N767" s="30"/>
      <c r="O767" s="30"/>
      <c r="P767" s="32"/>
      <c r="Q767" s="32"/>
      <c r="R767" s="32"/>
      <c r="S767" s="32"/>
      <c r="T767" s="32"/>
      <c r="U767" s="30"/>
    </row>
    <row r="768" spans="1:21">
      <c r="A768" s="29"/>
      <c r="B768" s="29"/>
      <c r="C768" s="29"/>
      <c r="D768" s="29"/>
      <c r="E768" s="29"/>
      <c r="F768" s="29"/>
      <c r="G768" s="29"/>
      <c r="H768" s="29"/>
      <c r="J768" s="29"/>
      <c r="K768" s="29"/>
      <c r="L768" s="19"/>
      <c r="M768" s="19"/>
      <c r="N768" s="30"/>
      <c r="O768" s="30"/>
      <c r="P768" s="32"/>
      <c r="Q768" s="32"/>
      <c r="R768" s="32"/>
      <c r="S768" s="32"/>
      <c r="T768" s="32"/>
      <c r="U768" s="30"/>
    </row>
    <row r="769" spans="1:21">
      <c r="A769" s="29"/>
      <c r="B769" s="29"/>
      <c r="C769" s="29"/>
      <c r="D769" s="29"/>
      <c r="E769" s="29"/>
      <c r="F769" s="29"/>
      <c r="G769" s="29"/>
      <c r="H769" s="29"/>
      <c r="J769" s="29"/>
      <c r="K769" s="29"/>
      <c r="L769" s="19"/>
      <c r="M769" s="19"/>
      <c r="N769" s="30"/>
      <c r="O769" s="30"/>
      <c r="P769" s="32"/>
      <c r="Q769" s="32"/>
      <c r="R769" s="32"/>
      <c r="S769" s="32"/>
      <c r="T769" s="32"/>
      <c r="U769" s="30"/>
    </row>
    <row r="770" spans="1:21">
      <c r="A770" s="29"/>
      <c r="B770" s="29"/>
      <c r="C770" s="29"/>
      <c r="D770" s="29"/>
      <c r="E770" s="29"/>
      <c r="F770" s="29"/>
      <c r="G770" s="29"/>
      <c r="H770" s="29"/>
      <c r="J770" s="29"/>
      <c r="K770" s="29"/>
      <c r="L770" s="19"/>
      <c r="M770" s="19"/>
      <c r="N770" s="30"/>
      <c r="O770" s="30"/>
      <c r="P770" s="32"/>
      <c r="Q770" s="32"/>
      <c r="R770" s="32"/>
      <c r="S770" s="32"/>
      <c r="T770" s="32"/>
      <c r="U770" s="30"/>
    </row>
    <row r="771" spans="1:21">
      <c r="A771" s="29"/>
      <c r="B771" s="29"/>
      <c r="C771" s="29"/>
      <c r="D771" s="29"/>
      <c r="E771" s="29"/>
      <c r="F771" s="29"/>
      <c r="G771" s="29"/>
      <c r="H771" s="29"/>
      <c r="J771" s="29"/>
      <c r="K771" s="29"/>
      <c r="L771" s="19"/>
      <c r="M771" s="19"/>
      <c r="N771" s="30"/>
      <c r="O771" s="30"/>
      <c r="P771" s="32"/>
      <c r="Q771" s="32"/>
      <c r="R771" s="32"/>
      <c r="S771" s="32"/>
      <c r="T771" s="32"/>
      <c r="U771" s="30"/>
    </row>
    <row r="772" spans="1:21">
      <c r="A772" s="29"/>
      <c r="B772" s="29"/>
      <c r="C772" s="29"/>
      <c r="D772" s="29"/>
      <c r="E772" s="29"/>
      <c r="F772" s="29"/>
      <c r="G772" s="29"/>
      <c r="H772" s="29"/>
      <c r="J772" s="29"/>
      <c r="K772" s="29"/>
      <c r="L772" s="19"/>
      <c r="M772" s="19"/>
      <c r="N772" s="30"/>
      <c r="O772" s="30"/>
      <c r="P772" s="32"/>
      <c r="Q772" s="32"/>
      <c r="R772" s="32"/>
      <c r="S772" s="32"/>
      <c r="T772" s="32"/>
      <c r="U772" s="30"/>
    </row>
    <row r="773" spans="1:21">
      <c r="A773" s="29"/>
      <c r="B773" s="29"/>
      <c r="C773" s="29"/>
      <c r="D773" s="29"/>
      <c r="E773" s="29"/>
      <c r="F773" s="29"/>
      <c r="G773" s="29"/>
      <c r="H773" s="29"/>
      <c r="J773" s="29"/>
      <c r="K773" s="29"/>
      <c r="L773" s="19"/>
      <c r="M773" s="19"/>
      <c r="N773" s="30"/>
      <c r="O773" s="30"/>
      <c r="P773" s="32"/>
      <c r="Q773" s="32"/>
      <c r="R773" s="32"/>
      <c r="S773" s="32"/>
      <c r="T773" s="32"/>
      <c r="U773" s="30"/>
    </row>
    <row r="774" spans="1:21">
      <c r="A774" s="29"/>
      <c r="B774" s="29"/>
      <c r="C774" s="29"/>
      <c r="D774" s="29"/>
      <c r="E774" s="29"/>
      <c r="F774" s="29"/>
      <c r="G774" s="29"/>
      <c r="H774" s="29"/>
      <c r="J774" s="29"/>
      <c r="K774" s="29"/>
      <c r="L774" s="19"/>
      <c r="M774" s="19"/>
      <c r="N774" s="30"/>
      <c r="O774" s="30"/>
      <c r="P774" s="32"/>
      <c r="Q774" s="32"/>
      <c r="R774" s="32"/>
      <c r="S774" s="32"/>
      <c r="T774" s="32"/>
      <c r="U774" s="30"/>
    </row>
    <row r="775" spans="1:21">
      <c r="A775" s="29"/>
      <c r="B775" s="29"/>
      <c r="C775" s="29"/>
      <c r="D775" s="29"/>
      <c r="E775" s="29"/>
      <c r="F775" s="29"/>
      <c r="G775" s="29"/>
      <c r="H775" s="29"/>
      <c r="J775" s="29"/>
      <c r="K775" s="29"/>
      <c r="L775" s="19"/>
      <c r="M775" s="19"/>
      <c r="N775" s="30"/>
      <c r="O775" s="30"/>
      <c r="P775" s="32"/>
      <c r="Q775" s="32"/>
      <c r="R775" s="32"/>
      <c r="S775" s="32"/>
      <c r="T775" s="32"/>
      <c r="U775" s="30"/>
    </row>
    <row r="776" spans="1:21">
      <c r="A776" s="29"/>
      <c r="B776" s="29"/>
      <c r="C776" s="29"/>
      <c r="D776" s="29"/>
      <c r="E776" s="29"/>
      <c r="F776" s="29"/>
      <c r="G776" s="29"/>
      <c r="H776" s="29"/>
      <c r="J776" s="29"/>
      <c r="K776" s="29"/>
      <c r="L776" s="19"/>
      <c r="M776" s="19"/>
      <c r="N776" s="30"/>
      <c r="O776" s="30"/>
      <c r="P776" s="32"/>
      <c r="Q776" s="32"/>
      <c r="R776" s="32"/>
      <c r="S776" s="32"/>
      <c r="T776" s="32"/>
      <c r="U776" s="30"/>
    </row>
    <row r="777" spans="1:21">
      <c r="A777" s="29"/>
      <c r="B777" s="29"/>
      <c r="C777" s="29"/>
      <c r="D777" s="29"/>
      <c r="E777" s="29"/>
      <c r="F777" s="29"/>
      <c r="G777" s="29"/>
      <c r="H777" s="29"/>
      <c r="J777" s="29"/>
      <c r="K777" s="29"/>
      <c r="L777" s="19"/>
      <c r="M777" s="19"/>
      <c r="N777" s="30"/>
      <c r="O777" s="30"/>
      <c r="P777" s="32"/>
      <c r="Q777" s="32"/>
      <c r="R777" s="32"/>
      <c r="S777" s="32"/>
      <c r="T777" s="32"/>
      <c r="U777" s="30"/>
    </row>
    <row r="778" spans="1:21">
      <c r="A778" s="29"/>
      <c r="B778" s="29"/>
      <c r="C778" s="29"/>
      <c r="D778" s="29"/>
      <c r="E778" s="29"/>
      <c r="F778" s="29"/>
      <c r="G778" s="29"/>
      <c r="H778" s="29"/>
      <c r="J778" s="29"/>
      <c r="K778" s="29"/>
      <c r="L778" s="19"/>
      <c r="M778" s="19"/>
      <c r="N778" s="30"/>
      <c r="O778" s="30"/>
      <c r="P778" s="32"/>
      <c r="Q778" s="32"/>
      <c r="R778" s="32"/>
      <c r="S778" s="32"/>
      <c r="T778" s="32"/>
      <c r="U778" s="30"/>
    </row>
    <row r="779" spans="1:21">
      <c r="A779" s="29"/>
      <c r="B779" s="29"/>
      <c r="C779" s="29"/>
      <c r="D779" s="29"/>
      <c r="E779" s="29"/>
      <c r="F779" s="29"/>
      <c r="G779" s="29"/>
      <c r="H779" s="29"/>
      <c r="J779" s="29"/>
      <c r="K779" s="29"/>
      <c r="L779" s="19"/>
      <c r="M779" s="19"/>
      <c r="N779" s="30"/>
      <c r="O779" s="30"/>
      <c r="P779" s="32"/>
      <c r="Q779" s="32"/>
      <c r="R779" s="32"/>
      <c r="S779" s="32"/>
      <c r="T779" s="32"/>
      <c r="U779" s="30"/>
    </row>
    <row r="780" spans="1:21">
      <c r="A780" s="29"/>
      <c r="B780" s="29"/>
      <c r="C780" s="29"/>
      <c r="D780" s="29"/>
      <c r="E780" s="29"/>
      <c r="F780" s="29"/>
      <c r="G780" s="29"/>
      <c r="H780" s="29"/>
      <c r="J780" s="29"/>
      <c r="K780" s="29"/>
      <c r="L780" s="19"/>
      <c r="M780" s="19"/>
      <c r="N780" s="30"/>
      <c r="O780" s="30"/>
      <c r="P780" s="32"/>
      <c r="Q780" s="32"/>
      <c r="R780" s="32"/>
      <c r="S780" s="32"/>
      <c r="T780" s="32"/>
      <c r="U780" s="30"/>
    </row>
    <row r="781" spans="1:21">
      <c r="A781" s="29"/>
      <c r="B781" s="29"/>
      <c r="C781" s="29"/>
      <c r="D781" s="29"/>
      <c r="E781" s="29"/>
      <c r="F781" s="29"/>
      <c r="G781" s="29"/>
      <c r="H781" s="29"/>
      <c r="J781" s="29"/>
      <c r="K781" s="29"/>
      <c r="L781" s="19"/>
      <c r="M781" s="19"/>
      <c r="N781" s="30"/>
      <c r="O781" s="30"/>
      <c r="P781" s="32"/>
      <c r="Q781" s="32"/>
      <c r="R781" s="32"/>
      <c r="S781" s="32"/>
      <c r="T781" s="32"/>
      <c r="U781" s="30"/>
    </row>
    <row r="782" spans="1:21">
      <c r="A782" s="29"/>
      <c r="B782" s="29"/>
      <c r="C782" s="29"/>
      <c r="D782" s="29"/>
      <c r="E782" s="29"/>
      <c r="F782" s="29"/>
      <c r="G782" s="29"/>
      <c r="H782" s="29"/>
      <c r="J782" s="29"/>
      <c r="K782" s="29"/>
      <c r="L782" s="19"/>
      <c r="M782" s="19"/>
      <c r="N782" s="30"/>
      <c r="O782" s="30"/>
      <c r="P782" s="32"/>
      <c r="Q782" s="32"/>
      <c r="R782" s="32"/>
      <c r="S782" s="32"/>
      <c r="T782" s="32"/>
      <c r="U782" s="30"/>
    </row>
    <row r="783" spans="1:21">
      <c r="A783" s="29"/>
      <c r="B783" s="29"/>
      <c r="C783" s="29"/>
      <c r="D783" s="29"/>
      <c r="E783" s="29"/>
      <c r="F783" s="29"/>
      <c r="G783" s="29"/>
      <c r="H783" s="29"/>
      <c r="J783" s="29"/>
      <c r="K783" s="29"/>
      <c r="L783" s="19"/>
      <c r="M783" s="19"/>
      <c r="N783" s="30"/>
      <c r="O783" s="30"/>
      <c r="P783" s="32"/>
      <c r="Q783" s="32"/>
      <c r="R783" s="32"/>
      <c r="S783" s="32"/>
      <c r="T783" s="32"/>
      <c r="U783" s="30"/>
    </row>
    <row r="784" spans="1:21">
      <c r="A784" s="29"/>
      <c r="B784" s="29"/>
      <c r="C784" s="29"/>
      <c r="D784" s="29"/>
      <c r="E784" s="29"/>
      <c r="F784" s="29"/>
      <c r="G784" s="29"/>
      <c r="H784" s="29"/>
      <c r="J784" s="29"/>
      <c r="K784" s="29"/>
      <c r="L784" s="19"/>
      <c r="M784" s="19"/>
      <c r="N784" s="30"/>
      <c r="O784" s="30"/>
      <c r="P784" s="32"/>
      <c r="Q784" s="32"/>
      <c r="R784" s="32"/>
      <c r="S784" s="32"/>
      <c r="T784" s="32"/>
      <c r="U784" s="30"/>
    </row>
    <row r="785" spans="1:21">
      <c r="A785" s="29"/>
      <c r="B785" s="29"/>
      <c r="C785" s="29"/>
      <c r="D785" s="29"/>
      <c r="E785" s="29"/>
      <c r="F785" s="29"/>
      <c r="G785" s="29"/>
      <c r="H785" s="29"/>
      <c r="J785" s="29"/>
      <c r="K785" s="29"/>
      <c r="L785" s="19"/>
      <c r="M785" s="19"/>
      <c r="N785" s="30"/>
      <c r="O785" s="30"/>
      <c r="P785" s="32"/>
      <c r="Q785" s="32"/>
      <c r="R785" s="32"/>
      <c r="S785" s="32"/>
      <c r="T785" s="32"/>
      <c r="U785" s="30"/>
    </row>
    <row r="786" spans="1:21">
      <c r="A786" s="29"/>
      <c r="B786" s="29"/>
      <c r="C786" s="29"/>
      <c r="D786" s="29"/>
      <c r="E786" s="29"/>
      <c r="F786" s="29"/>
      <c r="G786" s="29"/>
      <c r="H786" s="29"/>
      <c r="J786" s="29"/>
      <c r="K786" s="29"/>
      <c r="L786" s="19"/>
      <c r="M786" s="19"/>
      <c r="N786" s="30"/>
      <c r="O786" s="30"/>
      <c r="P786" s="32"/>
      <c r="Q786" s="32"/>
      <c r="R786" s="32"/>
      <c r="S786" s="32"/>
      <c r="T786" s="32"/>
      <c r="U786" s="30"/>
    </row>
    <row r="787" spans="1:21">
      <c r="A787" s="29"/>
      <c r="B787" s="29"/>
      <c r="C787" s="29"/>
      <c r="D787" s="29"/>
      <c r="E787" s="29"/>
      <c r="F787" s="29"/>
      <c r="G787" s="29"/>
      <c r="H787" s="29"/>
      <c r="J787" s="29"/>
      <c r="K787" s="29"/>
      <c r="L787" s="19"/>
      <c r="M787" s="19"/>
      <c r="N787" s="30"/>
      <c r="O787" s="30"/>
      <c r="P787" s="32"/>
      <c r="Q787" s="32"/>
      <c r="R787" s="32"/>
      <c r="S787" s="32"/>
      <c r="T787" s="32"/>
      <c r="U787" s="30"/>
    </row>
    <row r="788" spans="1:21">
      <c r="A788" s="29"/>
      <c r="B788" s="29"/>
      <c r="C788" s="29"/>
      <c r="D788" s="29"/>
      <c r="E788" s="29"/>
      <c r="F788" s="29"/>
      <c r="G788" s="29"/>
      <c r="H788" s="29"/>
      <c r="J788" s="29"/>
      <c r="K788" s="29"/>
      <c r="L788" s="19"/>
      <c r="M788" s="19"/>
      <c r="N788" s="30"/>
      <c r="O788" s="30"/>
      <c r="P788" s="32"/>
      <c r="Q788" s="32"/>
      <c r="R788" s="32"/>
      <c r="S788" s="32"/>
      <c r="T788" s="32"/>
      <c r="U788" s="30"/>
    </row>
    <row r="789" spans="1:21">
      <c r="A789" s="29"/>
      <c r="B789" s="29"/>
      <c r="C789" s="29"/>
      <c r="D789" s="29"/>
      <c r="E789" s="29"/>
      <c r="F789" s="29"/>
      <c r="G789" s="29"/>
      <c r="H789" s="29"/>
      <c r="J789" s="29"/>
      <c r="K789" s="29"/>
      <c r="L789" s="19"/>
      <c r="M789" s="19"/>
      <c r="N789" s="30"/>
      <c r="O789" s="30"/>
      <c r="P789" s="32"/>
      <c r="Q789" s="32"/>
      <c r="R789" s="32"/>
      <c r="S789" s="32"/>
      <c r="T789" s="32"/>
      <c r="U789" s="30"/>
    </row>
    <row r="790" spans="1:21">
      <c r="A790" s="29"/>
      <c r="B790" s="29"/>
      <c r="C790" s="29"/>
      <c r="D790" s="29"/>
      <c r="E790" s="29"/>
      <c r="F790" s="29"/>
      <c r="G790" s="29"/>
      <c r="H790" s="29"/>
      <c r="J790" s="29"/>
      <c r="K790" s="29"/>
      <c r="L790" s="19"/>
      <c r="M790" s="19"/>
      <c r="N790" s="30"/>
      <c r="O790" s="30"/>
      <c r="P790" s="32"/>
      <c r="Q790" s="32"/>
      <c r="R790" s="32"/>
      <c r="S790" s="32"/>
      <c r="T790" s="32"/>
      <c r="U790" s="30"/>
    </row>
    <row r="791" spans="1:21">
      <c r="A791" s="29"/>
      <c r="B791" s="29"/>
      <c r="C791" s="29"/>
      <c r="D791" s="29"/>
      <c r="E791" s="29"/>
      <c r="F791" s="29"/>
      <c r="G791" s="29"/>
      <c r="H791" s="29"/>
      <c r="J791" s="29"/>
      <c r="K791" s="29"/>
      <c r="L791" s="19"/>
      <c r="M791" s="19"/>
      <c r="N791" s="30"/>
      <c r="O791" s="30"/>
      <c r="P791" s="32"/>
      <c r="Q791" s="32"/>
      <c r="R791" s="32"/>
      <c r="S791" s="32"/>
      <c r="T791" s="32"/>
      <c r="U791" s="30"/>
    </row>
    <row r="792" spans="1:21">
      <c r="A792" s="29"/>
      <c r="B792" s="29"/>
      <c r="C792" s="29"/>
      <c r="D792" s="29"/>
      <c r="E792" s="29"/>
      <c r="F792" s="29"/>
      <c r="G792" s="29"/>
      <c r="H792" s="29"/>
      <c r="J792" s="29"/>
      <c r="K792" s="29"/>
      <c r="L792" s="19"/>
      <c r="M792" s="19"/>
      <c r="N792" s="30"/>
      <c r="O792" s="30"/>
      <c r="P792" s="32"/>
      <c r="Q792" s="32"/>
      <c r="R792" s="32"/>
      <c r="S792" s="32"/>
      <c r="T792" s="32"/>
      <c r="U792" s="30"/>
    </row>
    <row r="793" spans="1:21">
      <c r="A793" s="29"/>
      <c r="B793" s="29"/>
      <c r="C793" s="29"/>
      <c r="D793" s="29"/>
      <c r="E793" s="29"/>
      <c r="F793" s="29"/>
      <c r="G793" s="29"/>
      <c r="H793" s="29"/>
      <c r="J793" s="29"/>
      <c r="K793" s="29"/>
      <c r="L793" s="19"/>
      <c r="M793" s="19"/>
      <c r="N793" s="30"/>
      <c r="O793" s="30"/>
      <c r="P793" s="32"/>
      <c r="Q793" s="32"/>
      <c r="R793" s="32"/>
      <c r="S793" s="32"/>
      <c r="T793" s="32"/>
      <c r="U793" s="30"/>
    </row>
    <row r="794" spans="1:21">
      <c r="A794" s="29"/>
      <c r="B794" s="29"/>
      <c r="C794" s="29"/>
      <c r="D794" s="29"/>
      <c r="E794" s="29"/>
      <c r="F794" s="29"/>
      <c r="G794" s="29"/>
      <c r="H794" s="29"/>
      <c r="J794" s="29"/>
      <c r="K794" s="29"/>
      <c r="L794" s="19"/>
      <c r="M794" s="19"/>
      <c r="N794" s="30"/>
      <c r="O794" s="30"/>
      <c r="P794" s="32"/>
      <c r="Q794" s="32"/>
      <c r="R794" s="32"/>
      <c r="S794" s="32"/>
      <c r="T794" s="32"/>
      <c r="U794" s="30"/>
    </row>
    <row r="795" spans="1:21">
      <c r="A795" s="29"/>
      <c r="B795" s="29"/>
      <c r="C795" s="29"/>
      <c r="D795" s="29"/>
      <c r="E795" s="29"/>
      <c r="F795" s="29"/>
      <c r="G795" s="29"/>
      <c r="H795" s="29"/>
      <c r="J795" s="29"/>
      <c r="K795" s="29"/>
      <c r="L795" s="19"/>
      <c r="M795" s="19"/>
      <c r="N795" s="30"/>
      <c r="O795" s="30"/>
      <c r="P795" s="32"/>
      <c r="Q795" s="32"/>
      <c r="R795" s="32"/>
      <c r="S795" s="32"/>
      <c r="T795" s="32"/>
      <c r="U795" s="30"/>
    </row>
    <row r="796" spans="1:21">
      <c r="A796" s="29"/>
      <c r="B796" s="29"/>
      <c r="C796" s="29"/>
      <c r="D796" s="29"/>
      <c r="E796" s="29"/>
      <c r="F796" s="29"/>
      <c r="G796" s="29"/>
      <c r="H796" s="29"/>
      <c r="J796" s="29"/>
      <c r="K796" s="29"/>
      <c r="L796" s="19"/>
      <c r="M796" s="19"/>
      <c r="N796" s="30"/>
      <c r="O796" s="30"/>
      <c r="P796" s="32"/>
      <c r="Q796" s="32"/>
      <c r="R796" s="32"/>
      <c r="S796" s="32"/>
      <c r="T796" s="32"/>
      <c r="U796" s="30"/>
    </row>
    <row r="797" spans="1:21">
      <c r="A797" s="29"/>
      <c r="B797" s="29"/>
      <c r="C797" s="29"/>
      <c r="D797" s="29"/>
      <c r="E797" s="29"/>
      <c r="F797" s="29"/>
      <c r="G797" s="29"/>
      <c r="H797" s="29"/>
      <c r="J797" s="29"/>
      <c r="K797" s="29"/>
      <c r="L797" s="19"/>
      <c r="M797" s="19"/>
      <c r="N797" s="30"/>
      <c r="O797" s="30"/>
      <c r="P797" s="32"/>
      <c r="Q797" s="32"/>
      <c r="R797" s="32"/>
      <c r="S797" s="32"/>
      <c r="T797" s="32"/>
      <c r="U797" s="30"/>
    </row>
    <row r="798" spans="1:21">
      <c r="A798" s="29"/>
      <c r="B798" s="29"/>
      <c r="C798" s="29"/>
      <c r="D798" s="29"/>
      <c r="E798" s="29"/>
      <c r="F798" s="29"/>
      <c r="G798" s="29"/>
      <c r="H798" s="29"/>
      <c r="J798" s="29"/>
      <c r="K798" s="29"/>
      <c r="L798" s="19"/>
      <c r="M798" s="19"/>
      <c r="N798" s="30"/>
      <c r="O798" s="30"/>
      <c r="P798" s="32"/>
      <c r="Q798" s="32"/>
      <c r="R798" s="32"/>
      <c r="S798" s="32"/>
      <c r="T798" s="32"/>
      <c r="U798" s="30"/>
    </row>
    <row r="799" spans="1:21">
      <c r="A799" s="29"/>
      <c r="B799" s="29"/>
      <c r="C799" s="29"/>
      <c r="D799" s="29"/>
      <c r="E799" s="29"/>
      <c r="F799" s="29"/>
      <c r="G799" s="29"/>
      <c r="H799" s="29"/>
      <c r="J799" s="29"/>
      <c r="K799" s="29"/>
      <c r="L799" s="19"/>
      <c r="M799" s="19"/>
      <c r="N799" s="30"/>
      <c r="O799" s="30"/>
      <c r="P799" s="32"/>
      <c r="Q799" s="32"/>
      <c r="R799" s="32"/>
      <c r="S799" s="32"/>
      <c r="T799" s="32"/>
      <c r="U799" s="30"/>
    </row>
    <row r="800" spans="1:21">
      <c r="A800" s="29"/>
      <c r="B800" s="29"/>
      <c r="C800" s="29"/>
      <c r="D800" s="29"/>
      <c r="E800" s="29"/>
      <c r="F800" s="29"/>
      <c r="G800" s="29"/>
      <c r="H800" s="29"/>
      <c r="J800" s="29"/>
      <c r="K800" s="29"/>
      <c r="L800" s="19"/>
      <c r="M800" s="19"/>
      <c r="N800" s="30"/>
      <c r="O800" s="30"/>
      <c r="P800" s="32"/>
      <c r="Q800" s="32"/>
      <c r="R800" s="32"/>
      <c r="S800" s="32"/>
      <c r="T800" s="32"/>
      <c r="U800" s="30"/>
    </row>
    <row r="801" spans="1:21">
      <c r="A801" s="29"/>
      <c r="B801" s="29"/>
      <c r="C801" s="29"/>
      <c r="D801" s="29"/>
      <c r="E801" s="29"/>
      <c r="F801" s="29"/>
      <c r="G801" s="29"/>
      <c r="H801" s="29"/>
      <c r="J801" s="29"/>
      <c r="K801" s="29"/>
      <c r="L801" s="19"/>
      <c r="M801" s="19"/>
      <c r="N801" s="30"/>
      <c r="O801" s="30"/>
      <c r="P801" s="32"/>
      <c r="Q801" s="32"/>
      <c r="R801" s="32"/>
      <c r="S801" s="32"/>
      <c r="T801" s="32"/>
      <c r="U801" s="30"/>
    </row>
    <row r="802" spans="1:21">
      <c r="A802" s="29"/>
      <c r="B802" s="29"/>
      <c r="C802" s="29"/>
      <c r="D802" s="29"/>
      <c r="E802" s="29"/>
      <c r="F802" s="29"/>
      <c r="G802" s="29"/>
      <c r="H802" s="29"/>
      <c r="J802" s="29"/>
      <c r="K802" s="29"/>
      <c r="L802" s="19"/>
      <c r="M802" s="19"/>
      <c r="N802" s="30"/>
      <c r="O802" s="30"/>
      <c r="P802" s="32"/>
      <c r="Q802" s="32"/>
      <c r="R802" s="32"/>
      <c r="S802" s="32"/>
      <c r="T802" s="32"/>
      <c r="U802" s="30"/>
    </row>
    <row r="803" spans="1:21">
      <c r="A803" s="29"/>
      <c r="B803" s="29"/>
      <c r="C803" s="29"/>
      <c r="D803" s="29"/>
      <c r="E803" s="29"/>
      <c r="F803" s="29"/>
      <c r="G803" s="29"/>
      <c r="H803" s="29"/>
      <c r="J803" s="29"/>
      <c r="K803" s="29"/>
      <c r="L803" s="19"/>
      <c r="M803" s="19"/>
      <c r="N803" s="30"/>
      <c r="O803" s="30"/>
      <c r="P803" s="32"/>
      <c r="Q803" s="32"/>
      <c r="R803" s="32"/>
      <c r="S803" s="32"/>
      <c r="T803" s="32"/>
      <c r="U803" s="30"/>
    </row>
    <row r="804" spans="1:21">
      <c r="A804" s="29"/>
      <c r="B804" s="29"/>
      <c r="C804" s="29"/>
      <c r="D804" s="29"/>
      <c r="E804" s="29"/>
      <c r="F804" s="29"/>
      <c r="G804" s="29"/>
      <c r="H804" s="29"/>
      <c r="J804" s="29"/>
      <c r="K804" s="29"/>
      <c r="L804" s="19"/>
      <c r="M804" s="19"/>
      <c r="N804" s="30"/>
      <c r="O804" s="30"/>
      <c r="P804" s="32"/>
      <c r="Q804" s="32"/>
      <c r="R804" s="32"/>
      <c r="S804" s="32"/>
      <c r="T804" s="32"/>
      <c r="U804" s="30"/>
    </row>
    <row r="805" spans="1:21">
      <c r="A805" s="29"/>
      <c r="B805" s="29"/>
      <c r="C805" s="29"/>
      <c r="D805" s="29"/>
      <c r="E805" s="29"/>
      <c r="F805" s="29"/>
      <c r="G805" s="29"/>
      <c r="H805" s="29"/>
      <c r="J805" s="29"/>
      <c r="K805" s="29"/>
      <c r="L805" s="19"/>
      <c r="M805" s="19"/>
      <c r="N805" s="30"/>
      <c r="O805" s="30"/>
      <c r="P805" s="32"/>
      <c r="Q805" s="32"/>
      <c r="R805" s="32"/>
      <c r="S805" s="32"/>
      <c r="T805" s="32"/>
      <c r="U805" s="30"/>
    </row>
    <row r="806" spans="1:21">
      <c r="A806" s="29"/>
      <c r="B806" s="29"/>
      <c r="C806" s="29"/>
      <c r="D806" s="29"/>
      <c r="E806" s="29"/>
      <c r="F806" s="29"/>
      <c r="G806" s="29"/>
      <c r="H806" s="29"/>
      <c r="J806" s="29"/>
      <c r="K806" s="29"/>
      <c r="L806" s="19"/>
      <c r="M806" s="19"/>
      <c r="N806" s="30"/>
      <c r="O806" s="30"/>
      <c r="P806" s="32"/>
      <c r="Q806" s="32"/>
      <c r="R806" s="32"/>
      <c r="S806" s="32"/>
      <c r="T806" s="32"/>
      <c r="U806" s="30"/>
    </row>
    <row r="807" spans="1:21">
      <c r="A807" s="29"/>
      <c r="B807" s="29"/>
      <c r="C807" s="29"/>
      <c r="D807" s="29"/>
      <c r="E807" s="29"/>
      <c r="F807" s="29"/>
      <c r="G807" s="29"/>
      <c r="H807" s="29"/>
      <c r="J807" s="29"/>
      <c r="K807" s="29"/>
      <c r="L807" s="19"/>
      <c r="M807" s="19"/>
      <c r="N807" s="30"/>
      <c r="O807" s="30"/>
      <c r="P807" s="32"/>
      <c r="Q807" s="32"/>
      <c r="R807" s="32"/>
      <c r="S807" s="32"/>
      <c r="T807" s="32"/>
      <c r="U807" s="30"/>
    </row>
    <row r="808" spans="1:21">
      <c r="A808" s="29"/>
      <c r="B808" s="29"/>
      <c r="C808" s="29"/>
      <c r="D808" s="29"/>
      <c r="E808" s="29"/>
      <c r="F808" s="29"/>
      <c r="G808" s="29"/>
      <c r="H808" s="29"/>
      <c r="J808" s="29"/>
      <c r="K808" s="29"/>
      <c r="L808" s="19"/>
      <c r="M808" s="19"/>
      <c r="N808" s="30"/>
      <c r="O808" s="30"/>
      <c r="P808" s="32"/>
      <c r="Q808" s="32"/>
      <c r="R808" s="32"/>
      <c r="S808" s="32"/>
      <c r="T808" s="32"/>
      <c r="U808" s="30"/>
    </row>
    <row r="809" spans="1:21">
      <c r="A809" s="29"/>
      <c r="B809" s="29"/>
      <c r="C809" s="29"/>
      <c r="D809" s="29"/>
      <c r="E809" s="29"/>
      <c r="F809" s="29"/>
      <c r="G809" s="29"/>
      <c r="H809" s="29"/>
      <c r="J809" s="29"/>
      <c r="K809" s="29"/>
      <c r="L809" s="19"/>
      <c r="M809" s="19"/>
      <c r="N809" s="30"/>
      <c r="O809" s="30"/>
      <c r="P809" s="32"/>
      <c r="Q809" s="32"/>
      <c r="R809" s="32"/>
      <c r="S809" s="32"/>
      <c r="T809" s="32"/>
      <c r="U809" s="30"/>
    </row>
    <row r="810" spans="1:21">
      <c r="A810" s="29"/>
      <c r="B810" s="29"/>
      <c r="C810" s="29"/>
      <c r="D810" s="29"/>
      <c r="E810" s="29"/>
      <c r="F810" s="29"/>
      <c r="G810" s="29"/>
      <c r="H810" s="29"/>
      <c r="J810" s="29"/>
      <c r="K810" s="29"/>
      <c r="L810" s="19"/>
      <c r="M810" s="19"/>
      <c r="N810" s="30"/>
      <c r="O810" s="30"/>
      <c r="P810" s="32"/>
      <c r="Q810" s="32"/>
      <c r="R810" s="32"/>
      <c r="S810" s="32"/>
      <c r="T810" s="32"/>
      <c r="U810" s="30"/>
    </row>
    <row r="811" spans="1:21">
      <c r="A811" s="29"/>
      <c r="B811" s="29"/>
      <c r="C811" s="29"/>
      <c r="D811" s="29"/>
      <c r="E811" s="29"/>
      <c r="F811" s="29"/>
      <c r="G811" s="29"/>
      <c r="H811" s="29"/>
      <c r="J811" s="29"/>
      <c r="K811" s="29"/>
      <c r="L811" s="19"/>
      <c r="M811" s="19"/>
      <c r="N811" s="30"/>
      <c r="O811" s="30"/>
      <c r="P811" s="32"/>
      <c r="Q811" s="32"/>
      <c r="R811" s="32"/>
      <c r="S811" s="32"/>
      <c r="T811" s="32"/>
      <c r="U811" s="30"/>
    </row>
    <row r="812" spans="1:21">
      <c r="A812" s="29"/>
      <c r="B812" s="29"/>
      <c r="C812" s="29"/>
      <c r="D812" s="29"/>
      <c r="E812" s="29"/>
      <c r="F812" s="29"/>
      <c r="G812" s="29"/>
      <c r="H812" s="29"/>
      <c r="J812" s="29"/>
      <c r="K812" s="29"/>
      <c r="L812" s="19"/>
      <c r="M812" s="19"/>
      <c r="N812" s="30"/>
      <c r="O812" s="30"/>
      <c r="P812" s="32"/>
      <c r="Q812" s="32"/>
      <c r="R812" s="32"/>
      <c r="S812" s="32"/>
      <c r="T812" s="32"/>
      <c r="U812" s="30"/>
    </row>
    <row r="813" spans="1:21">
      <c r="A813" s="29"/>
      <c r="B813" s="29"/>
      <c r="C813" s="29"/>
      <c r="D813" s="29"/>
      <c r="E813" s="29"/>
      <c r="F813" s="29"/>
      <c r="G813" s="29"/>
      <c r="H813" s="29"/>
      <c r="J813" s="29"/>
      <c r="K813" s="29"/>
      <c r="L813" s="19"/>
      <c r="M813" s="19"/>
      <c r="N813" s="30"/>
      <c r="O813" s="30"/>
      <c r="P813" s="32"/>
      <c r="Q813" s="32"/>
      <c r="R813" s="32"/>
      <c r="S813" s="32"/>
      <c r="T813" s="32"/>
      <c r="U813" s="30"/>
    </row>
    <row r="814" spans="1:21">
      <c r="A814" s="29"/>
      <c r="B814" s="29"/>
      <c r="C814" s="29"/>
      <c r="D814" s="29"/>
      <c r="E814" s="29"/>
      <c r="F814" s="29"/>
      <c r="G814" s="29"/>
      <c r="H814" s="29"/>
      <c r="J814" s="29"/>
      <c r="K814" s="29"/>
      <c r="L814" s="19"/>
      <c r="M814" s="19"/>
      <c r="N814" s="30"/>
      <c r="O814" s="30"/>
      <c r="P814" s="32"/>
      <c r="Q814" s="32"/>
      <c r="R814" s="32"/>
      <c r="S814" s="32"/>
      <c r="T814" s="32"/>
      <c r="U814" s="30"/>
    </row>
    <row r="815" spans="1:21">
      <c r="A815" s="29"/>
      <c r="B815" s="29"/>
      <c r="C815" s="29"/>
      <c r="D815" s="29"/>
      <c r="E815" s="29"/>
      <c r="F815" s="29"/>
      <c r="G815" s="29"/>
      <c r="H815" s="29"/>
      <c r="J815" s="29"/>
      <c r="K815" s="29"/>
      <c r="L815" s="19"/>
      <c r="M815" s="19"/>
      <c r="N815" s="30"/>
      <c r="O815" s="30"/>
      <c r="P815" s="32"/>
      <c r="Q815" s="32"/>
      <c r="R815" s="32"/>
      <c r="S815" s="32"/>
      <c r="T815" s="32"/>
      <c r="U815" s="30"/>
    </row>
    <row r="816" spans="1:21">
      <c r="A816" s="29"/>
      <c r="B816" s="29"/>
      <c r="C816" s="29"/>
      <c r="D816" s="29"/>
      <c r="E816" s="29"/>
      <c r="F816" s="29"/>
      <c r="G816" s="29"/>
      <c r="H816" s="29"/>
      <c r="J816" s="29"/>
      <c r="K816" s="29"/>
      <c r="L816" s="19"/>
      <c r="M816" s="19"/>
      <c r="N816" s="30"/>
      <c r="O816" s="30"/>
      <c r="P816" s="32"/>
      <c r="Q816" s="32"/>
      <c r="R816" s="32"/>
      <c r="S816" s="32"/>
      <c r="T816" s="32"/>
      <c r="U816" s="30"/>
    </row>
    <row r="817" spans="1:21">
      <c r="A817" s="29"/>
      <c r="B817" s="29"/>
      <c r="C817" s="29"/>
      <c r="D817" s="29"/>
      <c r="E817" s="29"/>
      <c r="F817" s="29"/>
      <c r="G817" s="29"/>
      <c r="H817" s="29"/>
      <c r="J817" s="29"/>
      <c r="K817" s="29"/>
      <c r="L817" s="19"/>
      <c r="M817" s="19"/>
      <c r="N817" s="30"/>
      <c r="O817" s="30"/>
      <c r="P817" s="32"/>
      <c r="Q817" s="32"/>
      <c r="R817" s="32"/>
      <c r="S817" s="32"/>
      <c r="T817" s="32"/>
      <c r="U817" s="30"/>
    </row>
    <row r="818" spans="1:21">
      <c r="A818" s="29"/>
      <c r="B818" s="29"/>
      <c r="C818" s="29"/>
      <c r="D818" s="29"/>
      <c r="E818" s="29"/>
      <c r="F818" s="29"/>
      <c r="G818" s="29"/>
      <c r="H818" s="29"/>
      <c r="J818" s="29"/>
      <c r="K818" s="29"/>
      <c r="L818" s="19"/>
      <c r="M818" s="19"/>
      <c r="N818" s="30"/>
      <c r="O818" s="30"/>
      <c r="P818" s="32"/>
      <c r="Q818" s="32"/>
      <c r="R818" s="32"/>
      <c r="S818" s="32"/>
      <c r="T818" s="32"/>
      <c r="U818" s="30"/>
    </row>
    <row r="819" spans="1:21">
      <c r="A819" s="29"/>
      <c r="B819" s="29"/>
      <c r="C819" s="29"/>
      <c r="D819" s="29"/>
      <c r="E819" s="29"/>
      <c r="F819" s="29"/>
      <c r="G819" s="29"/>
      <c r="H819" s="29"/>
      <c r="J819" s="29"/>
      <c r="K819" s="29"/>
      <c r="L819" s="19"/>
      <c r="M819" s="19"/>
      <c r="N819" s="30"/>
      <c r="O819" s="30"/>
      <c r="P819" s="32"/>
      <c r="Q819" s="32"/>
      <c r="R819" s="32"/>
      <c r="S819" s="32"/>
      <c r="T819" s="32"/>
      <c r="U819" s="30"/>
    </row>
    <row r="820" spans="1:21">
      <c r="A820" s="29"/>
      <c r="B820" s="29"/>
      <c r="C820" s="29"/>
      <c r="D820" s="29"/>
      <c r="E820" s="29"/>
      <c r="F820" s="29"/>
      <c r="G820" s="29"/>
      <c r="H820" s="29"/>
      <c r="J820" s="29"/>
      <c r="K820" s="29"/>
      <c r="L820" s="19"/>
      <c r="M820" s="19"/>
      <c r="N820" s="30"/>
      <c r="O820" s="30"/>
      <c r="P820" s="32"/>
      <c r="Q820" s="32"/>
      <c r="R820" s="32"/>
      <c r="S820" s="32"/>
      <c r="T820" s="32"/>
      <c r="U820" s="30"/>
    </row>
    <row r="821" spans="1:21">
      <c r="A821" s="29"/>
      <c r="B821" s="29"/>
      <c r="C821" s="29"/>
      <c r="D821" s="29"/>
      <c r="E821" s="29"/>
      <c r="F821" s="29"/>
      <c r="G821" s="29"/>
      <c r="H821" s="29"/>
      <c r="J821" s="29"/>
      <c r="K821" s="29"/>
      <c r="L821" s="19"/>
      <c r="M821" s="19"/>
      <c r="N821" s="30"/>
      <c r="O821" s="30"/>
      <c r="P821" s="32"/>
      <c r="Q821" s="32"/>
      <c r="R821" s="32"/>
      <c r="S821" s="32"/>
      <c r="T821" s="32"/>
      <c r="U821" s="30"/>
    </row>
    <row r="822" spans="1:21">
      <c r="A822" s="29"/>
      <c r="B822" s="29"/>
      <c r="C822" s="29"/>
      <c r="D822" s="29"/>
      <c r="E822" s="29"/>
      <c r="F822" s="29"/>
      <c r="G822" s="29"/>
      <c r="H822" s="29"/>
      <c r="J822" s="29"/>
      <c r="K822" s="29"/>
      <c r="L822" s="19"/>
      <c r="M822" s="19"/>
      <c r="N822" s="30"/>
      <c r="O822" s="30"/>
      <c r="P822" s="32"/>
      <c r="Q822" s="32"/>
      <c r="R822" s="32"/>
      <c r="S822" s="32"/>
      <c r="T822" s="32"/>
      <c r="U822" s="30"/>
    </row>
    <row r="823" spans="1:21">
      <c r="A823" s="29"/>
      <c r="B823" s="29"/>
      <c r="C823" s="29"/>
      <c r="D823" s="29"/>
      <c r="E823" s="29"/>
      <c r="F823" s="29"/>
      <c r="G823" s="29"/>
      <c r="H823" s="29"/>
      <c r="J823" s="29"/>
      <c r="K823" s="29"/>
      <c r="L823" s="19"/>
      <c r="M823" s="19"/>
      <c r="N823" s="30"/>
      <c r="O823" s="30"/>
      <c r="P823" s="32"/>
      <c r="Q823" s="32"/>
      <c r="R823" s="32"/>
      <c r="S823" s="32"/>
      <c r="T823" s="32"/>
      <c r="U823" s="30"/>
    </row>
    <row r="824" spans="1:21">
      <c r="A824" s="29"/>
      <c r="B824" s="29"/>
      <c r="C824" s="29"/>
      <c r="D824" s="29"/>
      <c r="E824" s="29"/>
      <c r="F824" s="29"/>
      <c r="G824" s="29"/>
      <c r="H824" s="29"/>
      <c r="J824" s="29"/>
      <c r="K824" s="29"/>
      <c r="L824" s="19"/>
      <c r="M824" s="19"/>
      <c r="N824" s="30"/>
      <c r="O824" s="30"/>
      <c r="P824" s="32"/>
      <c r="Q824" s="32"/>
      <c r="R824" s="32"/>
      <c r="S824" s="32"/>
      <c r="T824" s="32"/>
      <c r="U824" s="30"/>
    </row>
    <row r="825" spans="1:21">
      <c r="A825" s="29"/>
      <c r="B825" s="29"/>
      <c r="C825" s="29"/>
      <c r="D825" s="29"/>
      <c r="E825" s="29"/>
      <c r="F825" s="29"/>
      <c r="G825" s="29"/>
      <c r="H825" s="29"/>
      <c r="J825" s="29"/>
      <c r="K825" s="29"/>
      <c r="L825" s="19"/>
      <c r="M825" s="19"/>
      <c r="N825" s="30"/>
      <c r="O825" s="30"/>
      <c r="P825" s="32"/>
      <c r="Q825" s="32"/>
      <c r="R825" s="32"/>
      <c r="S825" s="32"/>
      <c r="T825" s="32"/>
      <c r="U825" s="30"/>
    </row>
    <row r="826" spans="1:21">
      <c r="A826" s="29"/>
      <c r="B826" s="29"/>
      <c r="C826" s="29"/>
      <c r="D826" s="29"/>
      <c r="E826" s="29"/>
      <c r="F826" s="29"/>
      <c r="G826" s="29"/>
      <c r="H826" s="29"/>
      <c r="J826" s="29"/>
      <c r="K826" s="29"/>
      <c r="L826" s="19"/>
      <c r="M826" s="19"/>
      <c r="N826" s="30"/>
      <c r="O826" s="30"/>
      <c r="P826" s="32"/>
      <c r="Q826" s="32"/>
      <c r="R826" s="32"/>
      <c r="S826" s="32"/>
      <c r="T826" s="32"/>
      <c r="U826" s="30"/>
    </row>
    <row r="827" spans="1:21">
      <c r="A827" s="29"/>
      <c r="B827" s="29"/>
      <c r="C827" s="29"/>
      <c r="D827" s="29"/>
      <c r="E827" s="29"/>
      <c r="F827" s="29"/>
      <c r="G827" s="29"/>
      <c r="H827" s="29"/>
      <c r="J827" s="29"/>
      <c r="K827" s="29"/>
      <c r="L827" s="19"/>
      <c r="M827" s="19"/>
      <c r="N827" s="30"/>
      <c r="O827" s="30"/>
      <c r="P827" s="32"/>
      <c r="Q827" s="32"/>
      <c r="R827" s="32"/>
      <c r="S827" s="32"/>
      <c r="T827" s="32"/>
      <c r="U827" s="30"/>
    </row>
    <row r="828" spans="1:21">
      <c r="A828" s="29"/>
      <c r="B828" s="29"/>
      <c r="C828" s="29"/>
      <c r="D828" s="29"/>
      <c r="E828" s="29"/>
      <c r="F828" s="29"/>
      <c r="G828" s="29"/>
      <c r="H828" s="29"/>
      <c r="J828" s="29"/>
      <c r="K828" s="29"/>
      <c r="L828" s="19"/>
      <c r="M828" s="19"/>
      <c r="N828" s="30"/>
      <c r="O828" s="30"/>
      <c r="P828" s="32"/>
      <c r="Q828" s="32"/>
      <c r="R828" s="32"/>
      <c r="S828" s="32"/>
      <c r="T828" s="32"/>
      <c r="U828" s="30"/>
    </row>
    <row r="829" spans="1:21">
      <c r="A829" s="29"/>
      <c r="B829" s="29"/>
      <c r="C829" s="29"/>
      <c r="D829" s="29"/>
      <c r="E829" s="29"/>
      <c r="F829" s="29"/>
      <c r="G829" s="29"/>
      <c r="H829" s="29"/>
      <c r="J829" s="29"/>
      <c r="K829" s="29"/>
      <c r="L829" s="19"/>
      <c r="M829" s="19"/>
      <c r="N829" s="30"/>
      <c r="O829" s="30"/>
      <c r="P829" s="32"/>
      <c r="Q829" s="32"/>
      <c r="R829" s="32"/>
      <c r="S829" s="32"/>
      <c r="T829" s="32"/>
      <c r="U829" s="30"/>
    </row>
    <row r="830" spans="1:21">
      <c r="A830" s="29"/>
      <c r="B830" s="29"/>
      <c r="C830" s="29"/>
      <c r="D830" s="29"/>
      <c r="E830" s="29"/>
      <c r="F830" s="29"/>
      <c r="G830" s="29"/>
      <c r="H830" s="29"/>
      <c r="J830" s="29"/>
      <c r="K830" s="29"/>
      <c r="L830" s="19"/>
      <c r="M830" s="19"/>
      <c r="N830" s="30"/>
      <c r="O830" s="30"/>
      <c r="P830" s="32"/>
      <c r="Q830" s="32"/>
      <c r="R830" s="32"/>
      <c r="S830" s="32"/>
      <c r="T830" s="32"/>
      <c r="U830" s="30"/>
    </row>
    <row r="831" spans="1:21">
      <c r="A831" s="29"/>
      <c r="B831" s="29"/>
      <c r="C831" s="29"/>
      <c r="D831" s="29"/>
      <c r="E831" s="29"/>
      <c r="F831" s="29"/>
      <c r="G831" s="29"/>
      <c r="H831" s="29"/>
      <c r="J831" s="29"/>
      <c r="K831" s="29"/>
      <c r="L831" s="19"/>
      <c r="M831" s="19"/>
      <c r="N831" s="30"/>
      <c r="O831" s="30"/>
      <c r="P831" s="32"/>
      <c r="Q831" s="32"/>
      <c r="R831" s="32"/>
      <c r="S831" s="32"/>
      <c r="T831" s="32"/>
      <c r="U831" s="30"/>
    </row>
    <row r="832" spans="1:21">
      <c r="A832" s="29"/>
      <c r="B832" s="29"/>
      <c r="C832" s="29"/>
      <c r="D832" s="29"/>
      <c r="E832" s="29"/>
      <c r="F832" s="29"/>
      <c r="G832" s="29"/>
      <c r="H832" s="29"/>
      <c r="J832" s="29"/>
      <c r="K832" s="29"/>
      <c r="L832" s="19"/>
      <c r="M832" s="19"/>
      <c r="N832" s="30"/>
      <c r="O832" s="30"/>
      <c r="P832" s="32"/>
      <c r="Q832" s="32"/>
      <c r="R832" s="32"/>
      <c r="S832" s="32"/>
      <c r="T832" s="32"/>
      <c r="U832" s="30"/>
    </row>
    <row r="833" spans="1:21">
      <c r="A833" s="29"/>
      <c r="B833" s="29"/>
      <c r="C833" s="29"/>
      <c r="D833" s="29"/>
      <c r="E833" s="29"/>
      <c r="F833" s="29"/>
      <c r="G833" s="29"/>
      <c r="H833" s="29"/>
      <c r="J833" s="29"/>
      <c r="K833" s="29"/>
      <c r="L833" s="19"/>
      <c r="M833" s="19"/>
      <c r="N833" s="30"/>
      <c r="O833" s="30"/>
      <c r="P833" s="32"/>
      <c r="Q833" s="32"/>
      <c r="R833" s="32"/>
      <c r="S833" s="32"/>
      <c r="T833" s="32"/>
      <c r="U833" s="30"/>
    </row>
    <row r="834" spans="1:21">
      <c r="A834" s="29"/>
      <c r="B834" s="29"/>
      <c r="C834" s="29"/>
      <c r="D834" s="29"/>
      <c r="E834" s="29"/>
      <c r="F834" s="29"/>
      <c r="G834" s="29"/>
      <c r="H834" s="29"/>
      <c r="J834" s="29"/>
      <c r="K834" s="29"/>
      <c r="L834" s="19"/>
      <c r="M834" s="19"/>
      <c r="N834" s="30"/>
      <c r="O834" s="30"/>
      <c r="P834" s="32"/>
      <c r="Q834" s="32"/>
      <c r="R834" s="32"/>
      <c r="S834" s="32"/>
      <c r="T834" s="32"/>
      <c r="U834" s="30"/>
    </row>
    <row r="835" spans="1:21">
      <c r="A835" s="29"/>
      <c r="B835" s="29"/>
      <c r="C835" s="29"/>
      <c r="D835" s="29"/>
      <c r="E835" s="29"/>
      <c r="F835" s="29"/>
      <c r="G835" s="29"/>
      <c r="H835" s="29"/>
      <c r="J835" s="29"/>
      <c r="K835" s="29"/>
      <c r="L835" s="19"/>
      <c r="M835" s="19"/>
      <c r="N835" s="30"/>
      <c r="O835" s="30"/>
      <c r="P835" s="32"/>
      <c r="Q835" s="32"/>
      <c r="R835" s="32"/>
      <c r="S835" s="32"/>
      <c r="T835" s="32"/>
      <c r="U835" s="30"/>
    </row>
    <row r="836" spans="1:21">
      <c r="A836" s="29"/>
      <c r="B836" s="29"/>
      <c r="C836" s="29"/>
      <c r="D836" s="29"/>
      <c r="E836" s="29"/>
      <c r="F836" s="29"/>
      <c r="G836" s="29"/>
      <c r="H836" s="29"/>
      <c r="J836" s="29"/>
      <c r="K836" s="29"/>
      <c r="L836" s="19"/>
      <c r="M836" s="19"/>
      <c r="N836" s="30"/>
      <c r="O836" s="30"/>
      <c r="P836" s="32"/>
      <c r="Q836" s="32"/>
      <c r="R836" s="32"/>
      <c r="S836" s="32"/>
      <c r="T836" s="32"/>
      <c r="U836" s="30"/>
    </row>
    <row r="837" spans="1:21">
      <c r="A837" s="29"/>
      <c r="B837" s="29"/>
      <c r="C837" s="29"/>
      <c r="D837" s="29"/>
      <c r="E837" s="29"/>
      <c r="F837" s="29"/>
      <c r="G837" s="29"/>
      <c r="H837" s="29"/>
      <c r="J837" s="29"/>
      <c r="K837" s="29"/>
      <c r="L837" s="19"/>
      <c r="M837" s="19"/>
      <c r="N837" s="30"/>
      <c r="O837" s="30"/>
      <c r="P837" s="32"/>
      <c r="Q837" s="32"/>
      <c r="R837" s="32"/>
      <c r="S837" s="32"/>
      <c r="T837" s="32"/>
      <c r="U837" s="30"/>
    </row>
    <row r="838" spans="1:21">
      <c r="A838" s="29"/>
      <c r="B838" s="29"/>
      <c r="C838" s="29"/>
      <c r="D838" s="29"/>
      <c r="E838" s="29"/>
      <c r="F838" s="29"/>
      <c r="G838" s="29"/>
      <c r="H838" s="29"/>
      <c r="J838" s="29"/>
      <c r="K838" s="29"/>
      <c r="L838" s="19"/>
      <c r="M838" s="19"/>
      <c r="N838" s="30"/>
      <c r="O838" s="30"/>
      <c r="P838" s="32"/>
      <c r="Q838" s="32"/>
      <c r="R838" s="32"/>
      <c r="S838" s="32"/>
      <c r="T838" s="32"/>
      <c r="U838" s="30"/>
    </row>
    <row r="839" spans="1:21">
      <c r="A839" s="29"/>
      <c r="B839" s="29"/>
      <c r="C839" s="29"/>
      <c r="D839" s="29"/>
      <c r="E839" s="29"/>
      <c r="F839" s="29"/>
      <c r="G839" s="29"/>
      <c r="H839" s="29"/>
      <c r="J839" s="29"/>
      <c r="K839" s="29"/>
      <c r="L839" s="19"/>
      <c r="M839" s="19"/>
      <c r="N839" s="30"/>
      <c r="O839" s="30"/>
      <c r="P839" s="32"/>
      <c r="Q839" s="32"/>
      <c r="R839" s="32"/>
      <c r="S839" s="32"/>
      <c r="T839" s="32"/>
      <c r="U839" s="30"/>
    </row>
    <row r="840" spans="1:21">
      <c r="A840" s="29"/>
      <c r="B840" s="29"/>
      <c r="C840" s="29"/>
      <c r="D840" s="29"/>
      <c r="E840" s="29"/>
      <c r="F840" s="29"/>
      <c r="G840" s="29"/>
      <c r="H840" s="29"/>
      <c r="J840" s="29"/>
      <c r="K840" s="29"/>
      <c r="L840" s="19"/>
      <c r="M840" s="19"/>
      <c r="N840" s="30"/>
      <c r="O840" s="30"/>
      <c r="P840" s="32"/>
      <c r="Q840" s="32"/>
      <c r="R840" s="32"/>
      <c r="S840" s="32"/>
      <c r="T840" s="32"/>
      <c r="U840" s="30"/>
    </row>
    <row r="841" spans="1:21">
      <c r="A841" s="29"/>
      <c r="B841" s="29"/>
      <c r="C841" s="29"/>
      <c r="D841" s="29"/>
      <c r="E841" s="29"/>
      <c r="F841" s="29"/>
      <c r="G841" s="29"/>
      <c r="H841" s="29"/>
      <c r="J841" s="29"/>
      <c r="K841" s="29"/>
      <c r="L841" s="19"/>
      <c r="M841" s="19"/>
      <c r="N841" s="30"/>
      <c r="O841" s="30"/>
      <c r="P841" s="32"/>
      <c r="Q841" s="32"/>
      <c r="R841" s="32"/>
      <c r="S841" s="32"/>
      <c r="T841" s="32"/>
      <c r="U841" s="30"/>
    </row>
    <row r="842" spans="1:21">
      <c r="A842" s="29"/>
      <c r="B842" s="29"/>
      <c r="C842" s="29"/>
      <c r="D842" s="29"/>
      <c r="E842" s="29"/>
      <c r="F842" s="29"/>
      <c r="G842" s="29"/>
      <c r="H842" s="29"/>
      <c r="J842" s="29"/>
      <c r="K842" s="29"/>
      <c r="L842" s="19"/>
      <c r="M842" s="19"/>
      <c r="N842" s="30"/>
      <c r="O842" s="30"/>
      <c r="P842" s="32"/>
      <c r="Q842" s="32"/>
      <c r="R842" s="32"/>
      <c r="S842" s="32"/>
      <c r="T842" s="32"/>
      <c r="U842" s="30"/>
    </row>
    <row r="843" spans="1:21">
      <c r="A843" s="29"/>
      <c r="B843" s="29"/>
      <c r="C843" s="29"/>
      <c r="D843" s="29"/>
      <c r="E843" s="29"/>
      <c r="F843" s="29"/>
      <c r="G843" s="29"/>
      <c r="H843" s="29"/>
      <c r="J843" s="29"/>
      <c r="K843" s="29"/>
      <c r="L843" s="19"/>
      <c r="M843" s="19"/>
      <c r="N843" s="30"/>
      <c r="O843" s="30"/>
      <c r="P843" s="32"/>
      <c r="Q843" s="32"/>
      <c r="R843" s="32"/>
      <c r="S843" s="32"/>
      <c r="T843" s="32"/>
      <c r="U843" s="30"/>
    </row>
    <row r="844" spans="1:21">
      <c r="A844" s="29"/>
      <c r="B844" s="29"/>
      <c r="C844" s="29"/>
      <c r="D844" s="29"/>
      <c r="E844" s="29"/>
      <c r="F844" s="29"/>
      <c r="G844" s="29"/>
      <c r="H844" s="29"/>
      <c r="J844" s="29"/>
      <c r="K844" s="29"/>
      <c r="L844" s="19"/>
      <c r="M844" s="19"/>
      <c r="N844" s="30"/>
      <c r="O844" s="30"/>
      <c r="P844" s="32"/>
      <c r="Q844" s="32"/>
      <c r="R844" s="32"/>
      <c r="S844" s="32"/>
      <c r="T844" s="32"/>
      <c r="U844" s="30"/>
    </row>
    <row r="845" spans="1:21">
      <c r="A845" s="29"/>
      <c r="B845" s="29"/>
      <c r="C845" s="29"/>
      <c r="D845" s="29"/>
      <c r="E845" s="29"/>
      <c r="F845" s="29"/>
      <c r="G845" s="29"/>
      <c r="H845" s="29"/>
      <c r="J845" s="29"/>
      <c r="K845" s="29"/>
      <c r="L845" s="19"/>
      <c r="M845" s="19"/>
      <c r="N845" s="30"/>
      <c r="O845" s="30"/>
      <c r="P845" s="32"/>
      <c r="Q845" s="32"/>
      <c r="R845" s="32"/>
      <c r="S845" s="32"/>
      <c r="T845" s="32"/>
      <c r="U845" s="30"/>
    </row>
    <row r="846" spans="1:21">
      <c r="A846" s="29"/>
      <c r="B846" s="29"/>
      <c r="C846" s="29"/>
      <c r="D846" s="29"/>
      <c r="E846" s="29"/>
      <c r="F846" s="29"/>
      <c r="G846" s="29"/>
      <c r="H846" s="29"/>
      <c r="J846" s="29"/>
      <c r="K846" s="29"/>
      <c r="L846" s="19"/>
      <c r="M846" s="19"/>
      <c r="N846" s="30"/>
      <c r="O846" s="30"/>
      <c r="P846" s="32"/>
      <c r="Q846" s="32"/>
      <c r="R846" s="32"/>
      <c r="S846" s="32"/>
      <c r="T846" s="32"/>
      <c r="U846" s="30"/>
    </row>
    <row r="847" spans="1:21">
      <c r="A847" s="29"/>
      <c r="B847" s="29"/>
      <c r="C847" s="29"/>
      <c r="D847" s="29"/>
      <c r="E847" s="29"/>
      <c r="F847" s="29"/>
      <c r="G847" s="29"/>
      <c r="H847" s="29"/>
      <c r="J847" s="29"/>
      <c r="K847" s="29"/>
      <c r="L847" s="19"/>
      <c r="M847" s="19"/>
      <c r="N847" s="30"/>
      <c r="O847" s="30"/>
      <c r="P847" s="32"/>
      <c r="Q847" s="32"/>
      <c r="R847" s="32"/>
      <c r="S847" s="32"/>
      <c r="T847" s="32"/>
      <c r="U847" s="30"/>
    </row>
    <row r="848" spans="1:21">
      <c r="A848" s="29"/>
      <c r="B848" s="29"/>
      <c r="C848" s="29"/>
      <c r="D848" s="29"/>
      <c r="E848" s="29"/>
      <c r="F848" s="29"/>
      <c r="G848" s="29"/>
      <c r="H848" s="29"/>
      <c r="J848" s="29"/>
      <c r="K848" s="29"/>
      <c r="L848" s="19"/>
      <c r="M848" s="19"/>
      <c r="N848" s="30"/>
      <c r="O848" s="30"/>
      <c r="P848" s="32"/>
      <c r="Q848" s="32"/>
      <c r="R848" s="32"/>
      <c r="S848" s="32"/>
      <c r="T848" s="32"/>
      <c r="U848" s="30"/>
    </row>
    <row r="849" spans="1:21">
      <c r="A849" s="29"/>
      <c r="B849" s="29"/>
      <c r="C849" s="29"/>
      <c r="D849" s="29"/>
      <c r="E849" s="29"/>
      <c r="F849" s="29"/>
      <c r="G849" s="29"/>
      <c r="H849" s="29"/>
      <c r="J849" s="29"/>
      <c r="K849" s="29"/>
      <c r="L849" s="19"/>
      <c r="M849" s="19"/>
      <c r="N849" s="30"/>
      <c r="O849" s="30"/>
      <c r="P849" s="32"/>
      <c r="Q849" s="32"/>
      <c r="R849" s="32"/>
      <c r="S849" s="32"/>
      <c r="T849" s="32"/>
      <c r="U849" s="30"/>
    </row>
    <row r="850" spans="1:21">
      <c r="A850" s="29"/>
      <c r="B850" s="29"/>
      <c r="C850" s="29"/>
      <c r="D850" s="29"/>
      <c r="E850" s="29"/>
      <c r="F850" s="29"/>
      <c r="G850" s="29"/>
      <c r="H850" s="29"/>
      <c r="J850" s="29"/>
      <c r="K850" s="29"/>
      <c r="L850" s="19"/>
      <c r="M850" s="19"/>
      <c r="N850" s="30"/>
      <c r="O850" s="30"/>
      <c r="P850" s="32"/>
      <c r="Q850" s="32"/>
      <c r="R850" s="32"/>
      <c r="S850" s="32"/>
      <c r="T850" s="32"/>
      <c r="U850" s="30"/>
    </row>
    <row r="851" spans="1:21">
      <c r="A851" s="29"/>
      <c r="B851" s="29"/>
      <c r="C851" s="29"/>
      <c r="D851" s="29"/>
      <c r="E851" s="29"/>
      <c r="F851" s="29"/>
      <c r="G851" s="29"/>
      <c r="H851" s="29"/>
      <c r="J851" s="29"/>
      <c r="K851" s="29"/>
      <c r="L851" s="19"/>
      <c r="M851" s="19"/>
      <c r="N851" s="30"/>
      <c r="O851" s="30"/>
      <c r="P851" s="32"/>
      <c r="Q851" s="32"/>
      <c r="R851" s="32"/>
      <c r="S851" s="32"/>
      <c r="T851" s="32"/>
      <c r="U851" s="30"/>
    </row>
    <row r="852" spans="1:21">
      <c r="A852" s="29"/>
      <c r="B852" s="29"/>
      <c r="C852" s="29"/>
      <c r="D852" s="29"/>
      <c r="E852" s="29"/>
      <c r="F852" s="29"/>
      <c r="G852" s="29"/>
      <c r="H852" s="29"/>
      <c r="J852" s="29"/>
      <c r="K852" s="29"/>
      <c r="L852" s="19"/>
      <c r="M852" s="19"/>
      <c r="N852" s="30"/>
      <c r="O852" s="30"/>
      <c r="P852" s="32"/>
      <c r="Q852" s="32"/>
      <c r="R852" s="32"/>
      <c r="S852" s="32"/>
      <c r="T852" s="32"/>
      <c r="U852" s="30"/>
    </row>
    <row r="853" spans="1:21">
      <c r="A853" s="29"/>
      <c r="B853" s="29"/>
      <c r="C853" s="29"/>
      <c r="D853" s="29"/>
      <c r="E853" s="29"/>
      <c r="F853" s="29"/>
      <c r="G853" s="29"/>
      <c r="H853" s="29"/>
      <c r="J853" s="29"/>
      <c r="K853" s="29"/>
      <c r="L853" s="19"/>
      <c r="M853" s="19"/>
      <c r="N853" s="30"/>
      <c r="O853" s="30"/>
      <c r="P853" s="32"/>
      <c r="Q853" s="32"/>
      <c r="R853" s="32"/>
      <c r="S853" s="32"/>
      <c r="T853" s="32"/>
      <c r="U853" s="30"/>
    </row>
    <row r="854" spans="1:21">
      <c r="A854" s="29"/>
      <c r="B854" s="29"/>
      <c r="C854" s="29"/>
      <c r="D854" s="29"/>
      <c r="E854" s="29"/>
      <c r="F854" s="29"/>
      <c r="G854" s="29"/>
      <c r="H854" s="29"/>
      <c r="J854" s="29"/>
      <c r="K854" s="29"/>
      <c r="L854" s="19"/>
      <c r="M854" s="19"/>
      <c r="N854" s="30"/>
      <c r="O854" s="30"/>
      <c r="P854" s="32"/>
      <c r="Q854" s="32"/>
      <c r="R854" s="32"/>
      <c r="S854" s="32"/>
      <c r="T854" s="32"/>
      <c r="U854" s="30"/>
    </row>
    <row r="855" spans="1:21">
      <c r="A855" s="29"/>
      <c r="B855" s="29"/>
      <c r="C855" s="29"/>
      <c r="D855" s="29"/>
      <c r="E855" s="29"/>
      <c r="F855" s="29"/>
      <c r="G855" s="29"/>
      <c r="H855" s="29"/>
      <c r="J855" s="29"/>
      <c r="K855" s="29"/>
      <c r="L855" s="19"/>
      <c r="M855" s="19"/>
      <c r="N855" s="30"/>
      <c r="O855" s="30"/>
      <c r="P855" s="32"/>
      <c r="Q855" s="32"/>
      <c r="R855" s="32"/>
      <c r="S855" s="32"/>
      <c r="T855" s="32"/>
      <c r="U855" s="30"/>
    </row>
    <row r="856" spans="1:21">
      <c r="A856" s="29"/>
      <c r="B856" s="29"/>
      <c r="C856" s="29"/>
      <c r="D856" s="29"/>
      <c r="E856" s="29"/>
      <c r="F856" s="29"/>
      <c r="G856" s="29"/>
      <c r="H856" s="29"/>
      <c r="J856" s="29"/>
      <c r="K856" s="29"/>
      <c r="L856" s="19"/>
      <c r="M856" s="19"/>
      <c r="N856" s="30"/>
      <c r="O856" s="30"/>
      <c r="P856" s="32"/>
      <c r="Q856" s="32"/>
      <c r="R856" s="32"/>
      <c r="S856" s="32"/>
      <c r="T856" s="32"/>
      <c r="U856" s="30"/>
    </row>
    <row r="857" spans="1:21">
      <c r="A857" s="29"/>
      <c r="B857" s="29"/>
      <c r="C857" s="29"/>
      <c r="D857" s="29"/>
      <c r="E857" s="29"/>
      <c r="F857" s="29"/>
      <c r="G857" s="29"/>
      <c r="H857" s="29"/>
      <c r="J857" s="29"/>
      <c r="K857" s="29"/>
      <c r="L857" s="19"/>
      <c r="M857" s="19"/>
      <c r="N857" s="30"/>
      <c r="O857" s="30"/>
      <c r="P857" s="32"/>
      <c r="Q857" s="32"/>
      <c r="R857" s="32"/>
      <c r="S857" s="32"/>
      <c r="T857" s="32"/>
      <c r="U857" s="30"/>
    </row>
    <row r="858" spans="1:21">
      <c r="A858" s="29"/>
      <c r="B858" s="29"/>
      <c r="C858" s="29"/>
      <c r="D858" s="29"/>
      <c r="E858" s="29"/>
      <c r="F858" s="29"/>
      <c r="G858" s="29"/>
      <c r="H858" s="29"/>
      <c r="J858" s="29"/>
      <c r="K858" s="29"/>
      <c r="L858" s="19"/>
      <c r="M858" s="19"/>
      <c r="N858" s="30"/>
      <c r="O858" s="30"/>
      <c r="P858" s="32"/>
      <c r="Q858" s="32"/>
      <c r="R858" s="32"/>
      <c r="S858" s="32"/>
      <c r="T858" s="32"/>
      <c r="U858" s="30"/>
    </row>
    <row r="859" spans="1:21">
      <c r="A859" s="29"/>
      <c r="B859" s="29"/>
      <c r="C859" s="29"/>
      <c r="D859" s="29"/>
      <c r="E859" s="29"/>
      <c r="F859" s="29"/>
      <c r="G859" s="29"/>
      <c r="H859" s="29"/>
      <c r="J859" s="29"/>
      <c r="K859" s="29"/>
      <c r="L859" s="19"/>
      <c r="M859" s="19"/>
      <c r="N859" s="30"/>
      <c r="O859" s="30"/>
      <c r="P859" s="32"/>
      <c r="Q859" s="32"/>
      <c r="R859" s="32"/>
      <c r="S859" s="32"/>
      <c r="T859" s="32"/>
      <c r="U859" s="30"/>
    </row>
    <row r="860" spans="1:21">
      <c r="A860" s="29"/>
      <c r="B860" s="29"/>
      <c r="C860" s="29"/>
      <c r="D860" s="29"/>
      <c r="E860" s="29"/>
      <c r="F860" s="29"/>
      <c r="G860" s="29"/>
      <c r="H860" s="29"/>
      <c r="J860" s="29"/>
      <c r="K860" s="29"/>
      <c r="L860" s="19"/>
      <c r="M860" s="19"/>
      <c r="N860" s="30"/>
      <c r="O860" s="30"/>
      <c r="P860" s="32"/>
      <c r="Q860" s="32"/>
      <c r="R860" s="32"/>
      <c r="S860" s="32"/>
      <c r="T860" s="32"/>
      <c r="U860" s="30"/>
    </row>
    <row r="861" spans="1:21">
      <c r="A861" s="29"/>
      <c r="B861" s="29"/>
      <c r="C861" s="29"/>
      <c r="D861" s="29"/>
      <c r="E861" s="29"/>
      <c r="F861" s="29"/>
      <c r="G861" s="29"/>
      <c r="H861" s="29"/>
      <c r="J861" s="29"/>
      <c r="K861" s="29"/>
      <c r="L861" s="19"/>
      <c r="M861" s="19"/>
      <c r="N861" s="30"/>
      <c r="O861" s="30"/>
      <c r="P861" s="32"/>
      <c r="Q861" s="32"/>
      <c r="R861" s="32"/>
      <c r="S861" s="32"/>
      <c r="T861" s="32"/>
      <c r="U861" s="30"/>
    </row>
    <row r="862" spans="1:21">
      <c r="A862" s="29"/>
      <c r="B862" s="29"/>
      <c r="C862" s="29"/>
      <c r="D862" s="29"/>
      <c r="E862" s="29"/>
      <c r="F862" s="29"/>
      <c r="G862" s="29"/>
      <c r="H862" s="29"/>
      <c r="J862" s="29"/>
      <c r="K862" s="29"/>
      <c r="L862" s="19"/>
      <c r="M862" s="19"/>
      <c r="N862" s="30"/>
      <c r="O862" s="30"/>
      <c r="P862" s="32"/>
      <c r="Q862" s="32"/>
      <c r="R862" s="32"/>
      <c r="S862" s="32"/>
      <c r="T862" s="32"/>
      <c r="U862" s="30"/>
    </row>
    <row r="863" spans="1:21">
      <c r="A863" s="29"/>
      <c r="B863" s="29"/>
      <c r="C863" s="29"/>
      <c r="D863" s="29"/>
      <c r="E863" s="29"/>
      <c r="F863" s="29"/>
      <c r="G863" s="29"/>
      <c r="H863" s="29"/>
      <c r="J863" s="29"/>
      <c r="K863" s="29"/>
      <c r="L863" s="19"/>
      <c r="M863" s="19"/>
      <c r="N863" s="30"/>
      <c r="O863" s="30"/>
      <c r="P863" s="32"/>
      <c r="Q863" s="32"/>
      <c r="R863" s="32"/>
      <c r="S863" s="32"/>
      <c r="T863" s="32"/>
      <c r="U863" s="30"/>
    </row>
    <row r="864" spans="1:21">
      <c r="A864" s="29"/>
      <c r="B864" s="29"/>
      <c r="C864" s="29"/>
      <c r="D864" s="29"/>
      <c r="E864" s="29"/>
      <c r="F864" s="29"/>
      <c r="G864" s="29"/>
      <c r="H864" s="29"/>
      <c r="J864" s="29"/>
      <c r="K864" s="29"/>
      <c r="L864" s="19"/>
      <c r="M864" s="19"/>
      <c r="N864" s="30"/>
      <c r="O864" s="30"/>
      <c r="P864" s="32"/>
      <c r="Q864" s="32"/>
      <c r="R864" s="32"/>
      <c r="S864" s="32"/>
      <c r="T864" s="32"/>
      <c r="U864" s="30"/>
    </row>
    <row r="865" spans="1:21">
      <c r="A865" s="29"/>
      <c r="B865" s="29"/>
      <c r="C865" s="29"/>
      <c r="D865" s="29"/>
      <c r="E865" s="29"/>
      <c r="F865" s="29"/>
      <c r="G865" s="29"/>
      <c r="H865" s="29"/>
      <c r="J865" s="29"/>
      <c r="K865" s="29"/>
      <c r="L865" s="19"/>
      <c r="M865" s="19"/>
      <c r="N865" s="30"/>
      <c r="O865" s="30"/>
      <c r="P865" s="32"/>
      <c r="Q865" s="32"/>
      <c r="R865" s="32"/>
      <c r="S865" s="32"/>
      <c r="T865" s="32"/>
      <c r="U865" s="30"/>
    </row>
    <row r="866" spans="1:21">
      <c r="A866" s="29"/>
      <c r="B866" s="29"/>
      <c r="C866" s="29"/>
      <c r="D866" s="29"/>
      <c r="E866" s="29"/>
      <c r="F866" s="29"/>
      <c r="G866" s="29"/>
      <c r="H866" s="29"/>
      <c r="J866" s="29"/>
      <c r="K866" s="29"/>
      <c r="L866" s="19"/>
      <c r="M866" s="19"/>
      <c r="N866" s="30"/>
      <c r="O866" s="30"/>
      <c r="P866" s="32"/>
      <c r="Q866" s="32"/>
      <c r="R866" s="32"/>
      <c r="S866" s="32"/>
      <c r="T866" s="32"/>
      <c r="U866" s="30"/>
    </row>
    <row r="867" spans="1:21">
      <c r="A867" s="29"/>
      <c r="B867" s="29"/>
      <c r="C867" s="29"/>
      <c r="D867" s="29"/>
      <c r="E867" s="29"/>
      <c r="F867" s="29"/>
      <c r="G867" s="29"/>
      <c r="H867" s="29"/>
      <c r="J867" s="29"/>
      <c r="K867" s="29"/>
      <c r="L867" s="19"/>
      <c r="M867" s="19"/>
      <c r="N867" s="30"/>
      <c r="O867" s="30"/>
      <c r="P867" s="32"/>
      <c r="Q867" s="32"/>
      <c r="R867" s="32"/>
      <c r="S867" s="32"/>
      <c r="T867" s="32"/>
      <c r="U867" s="30"/>
    </row>
    <row r="868" spans="1:21">
      <c r="A868" s="29"/>
      <c r="B868" s="29"/>
      <c r="C868" s="29"/>
      <c r="D868" s="29"/>
      <c r="E868" s="29"/>
      <c r="F868" s="29"/>
      <c r="G868" s="29"/>
      <c r="H868" s="29"/>
      <c r="J868" s="29"/>
      <c r="K868" s="29"/>
      <c r="L868" s="19"/>
      <c r="M868" s="19"/>
      <c r="N868" s="30"/>
      <c r="O868" s="30"/>
      <c r="P868" s="32"/>
      <c r="Q868" s="32"/>
      <c r="R868" s="32"/>
      <c r="S868" s="32"/>
      <c r="T868" s="32"/>
      <c r="U868" s="30"/>
    </row>
    <row r="869" spans="1:21">
      <c r="A869" s="29"/>
      <c r="B869" s="29"/>
      <c r="C869" s="29"/>
      <c r="D869" s="29"/>
      <c r="E869" s="29"/>
      <c r="F869" s="29"/>
      <c r="G869" s="29"/>
      <c r="H869" s="29"/>
      <c r="J869" s="29"/>
      <c r="K869" s="29"/>
      <c r="L869" s="19"/>
      <c r="M869" s="19"/>
      <c r="N869" s="30"/>
      <c r="O869" s="30"/>
      <c r="P869" s="32"/>
      <c r="Q869" s="32"/>
      <c r="R869" s="32"/>
      <c r="S869" s="32"/>
      <c r="T869" s="32"/>
      <c r="U869" s="30"/>
    </row>
    <row r="870" spans="1:21">
      <c r="A870" s="29"/>
      <c r="B870" s="29"/>
      <c r="C870" s="29"/>
      <c r="D870" s="29"/>
      <c r="E870" s="29"/>
      <c r="F870" s="29"/>
      <c r="G870" s="29"/>
      <c r="H870" s="29"/>
      <c r="J870" s="29"/>
      <c r="K870" s="29"/>
      <c r="L870" s="19"/>
      <c r="M870" s="19"/>
      <c r="N870" s="30"/>
      <c r="O870" s="30"/>
      <c r="P870" s="32"/>
      <c r="Q870" s="32"/>
      <c r="R870" s="32"/>
      <c r="S870" s="32"/>
      <c r="T870" s="32"/>
      <c r="U870" s="30"/>
    </row>
    <row r="871" spans="1:21">
      <c r="A871" s="29"/>
      <c r="B871" s="29"/>
      <c r="C871" s="29"/>
      <c r="D871" s="29"/>
      <c r="E871" s="29"/>
      <c r="F871" s="29"/>
      <c r="G871" s="29"/>
      <c r="H871" s="29"/>
      <c r="J871" s="29"/>
      <c r="K871" s="29"/>
      <c r="L871" s="19"/>
      <c r="M871" s="19"/>
      <c r="N871" s="30"/>
      <c r="O871" s="30"/>
      <c r="P871" s="32"/>
      <c r="Q871" s="32"/>
      <c r="R871" s="32"/>
      <c r="S871" s="32"/>
      <c r="T871" s="32"/>
      <c r="U871" s="30"/>
    </row>
    <row r="872" spans="1:21">
      <c r="A872" s="29"/>
      <c r="B872" s="29"/>
      <c r="C872" s="29"/>
      <c r="D872" s="29"/>
      <c r="E872" s="29"/>
      <c r="F872" s="29"/>
      <c r="G872" s="29"/>
      <c r="H872" s="29"/>
      <c r="J872" s="29"/>
      <c r="K872" s="29"/>
      <c r="L872" s="19"/>
      <c r="M872" s="19"/>
      <c r="N872" s="30"/>
      <c r="O872" s="30"/>
      <c r="P872" s="32"/>
      <c r="Q872" s="32"/>
      <c r="R872" s="32"/>
      <c r="S872" s="32"/>
      <c r="T872" s="32"/>
      <c r="U872" s="30"/>
    </row>
    <row r="873" spans="1:21">
      <c r="A873" s="29"/>
      <c r="B873" s="29"/>
      <c r="C873" s="29"/>
      <c r="D873" s="29"/>
      <c r="E873" s="29"/>
      <c r="F873" s="29"/>
      <c r="G873" s="29"/>
      <c r="H873" s="29"/>
      <c r="J873" s="29"/>
      <c r="K873" s="29"/>
      <c r="L873" s="19"/>
      <c r="M873" s="19"/>
      <c r="N873" s="30"/>
      <c r="O873" s="30"/>
      <c r="P873" s="32"/>
      <c r="Q873" s="32"/>
      <c r="R873" s="32"/>
      <c r="S873" s="32"/>
      <c r="T873" s="32"/>
      <c r="U873" s="30"/>
    </row>
    <row r="874" spans="1:21">
      <c r="A874" s="29"/>
      <c r="B874" s="29"/>
      <c r="C874" s="29"/>
      <c r="D874" s="29"/>
      <c r="E874" s="29"/>
      <c r="F874" s="29"/>
      <c r="G874" s="29"/>
      <c r="H874" s="29"/>
      <c r="J874" s="29"/>
      <c r="K874" s="29"/>
      <c r="L874" s="19"/>
      <c r="M874" s="19"/>
      <c r="N874" s="30"/>
      <c r="O874" s="30"/>
      <c r="P874" s="32"/>
      <c r="Q874" s="32"/>
      <c r="R874" s="32"/>
      <c r="S874" s="32"/>
      <c r="T874" s="32"/>
      <c r="U874" s="30"/>
    </row>
    <row r="875" spans="1:21">
      <c r="A875" s="29"/>
      <c r="B875" s="29"/>
      <c r="C875" s="29"/>
      <c r="D875" s="29"/>
      <c r="E875" s="29"/>
      <c r="F875" s="29"/>
      <c r="G875" s="29"/>
      <c r="H875" s="29"/>
      <c r="J875" s="29"/>
      <c r="K875" s="29"/>
      <c r="L875" s="19"/>
      <c r="M875" s="19"/>
      <c r="N875" s="30"/>
      <c r="O875" s="30"/>
      <c r="P875" s="32"/>
      <c r="Q875" s="32"/>
      <c r="R875" s="32"/>
      <c r="S875" s="32"/>
      <c r="T875" s="32"/>
      <c r="U875" s="30"/>
    </row>
    <row r="876" spans="1:21">
      <c r="A876" s="29"/>
      <c r="B876" s="29"/>
      <c r="C876" s="29"/>
      <c r="D876" s="29"/>
      <c r="E876" s="29"/>
      <c r="F876" s="29"/>
      <c r="G876" s="29"/>
      <c r="H876" s="29"/>
      <c r="J876" s="29"/>
      <c r="K876" s="29"/>
      <c r="L876" s="19"/>
      <c r="M876" s="19"/>
      <c r="N876" s="30"/>
      <c r="O876" s="30"/>
      <c r="P876" s="32"/>
      <c r="Q876" s="32"/>
      <c r="R876" s="32"/>
      <c r="S876" s="32"/>
      <c r="T876" s="32"/>
      <c r="U876" s="30"/>
    </row>
    <row r="877" spans="1:21">
      <c r="A877" s="29"/>
      <c r="B877" s="29"/>
      <c r="C877" s="29"/>
      <c r="D877" s="29"/>
      <c r="E877" s="29"/>
      <c r="F877" s="29"/>
      <c r="G877" s="29"/>
      <c r="H877" s="29"/>
      <c r="J877" s="29"/>
      <c r="K877" s="29"/>
      <c r="L877" s="19"/>
      <c r="M877" s="19"/>
      <c r="N877" s="30"/>
      <c r="O877" s="30"/>
      <c r="P877" s="32"/>
      <c r="Q877" s="32"/>
      <c r="R877" s="32"/>
      <c r="S877" s="32"/>
      <c r="T877" s="32"/>
      <c r="U877" s="30"/>
    </row>
    <row r="878" spans="1:21">
      <c r="A878" s="29"/>
      <c r="B878" s="29"/>
      <c r="C878" s="29"/>
      <c r="D878" s="29"/>
      <c r="E878" s="29"/>
      <c r="F878" s="29"/>
      <c r="G878" s="29"/>
      <c r="H878" s="29"/>
      <c r="J878" s="29"/>
      <c r="K878" s="29"/>
      <c r="L878" s="19"/>
      <c r="M878" s="19"/>
      <c r="N878" s="30"/>
      <c r="O878" s="30"/>
      <c r="P878" s="32"/>
      <c r="Q878" s="32"/>
      <c r="R878" s="32"/>
      <c r="S878" s="32"/>
      <c r="T878" s="32"/>
      <c r="U878" s="30"/>
    </row>
    <row r="879" spans="1:21">
      <c r="A879" s="29"/>
      <c r="B879" s="29"/>
      <c r="C879" s="29"/>
      <c r="D879" s="29"/>
      <c r="E879" s="29"/>
      <c r="F879" s="29"/>
      <c r="G879" s="29"/>
      <c r="H879" s="29"/>
      <c r="J879" s="29"/>
      <c r="K879" s="29"/>
      <c r="L879" s="19"/>
      <c r="M879" s="19"/>
      <c r="N879" s="30"/>
      <c r="O879" s="30"/>
      <c r="P879" s="32"/>
      <c r="Q879" s="32"/>
      <c r="R879" s="32"/>
      <c r="S879" s="32"/>
      <c r="T879" s="32"/>
      <c r="U879" s="30"/>
    </row>
    <row r="880" spans="1:21">
      <c r="A880" s="29"/>
      <c r="B880" s="29"/>
      <c r="C880" s="29"/>
      <c r="D880" s="29"/>
      <c r="E880" s="29"/>
      <c r="F880" s="29"/>
      <c r="G880" s="29"/>
      <c r="H880" s="29"/>
      <c r="J880" s="29"/>
      <c r="K880" s="29"/>
      <c r="L880" s="19"/>
      <c r="M880" s="19"/>
      <c r="N880" s="30"/>
      <c r="O880" s="30"/>
      <c r="P880" s="32"/>
      <c r="Q880" s="32"/>
      <c r="R880" s="32"/>
      <c r="S880" s="32"/>
      <c r="T880" s="32"/>
      <c r="U880" s="30"/>
    </row>
    <row r="881" spans="1:21">
      <c r="A881" s="29"/>
      <c r="B881" s="29"/>
      <c r="C881" s="29"/>
      <c r="D881" s="29"/>
      <c r="E881" s="29"/>
      <c r="F881" s="29"/>
      <c r="G881" s="29"/>
      <c r="H881" s="29"/>
      <c r="J881" s="29"/>
      <c r="K881" s="29"/>
      <c r="L881" s="19"/>
      <c r="M881" s="19"/>
      <c r="N881" s="30"/>
      <c r="O881" s="30"/>
      <c r="P881" s="32"/>
      <c r="Q881" s="32"/>
      <c r="R881" s="32"/>
      <c r="S881" s="32"/>
      <c r="T881" s="32"/>
      <c r="U881" s="30"/>
    </row>
    <row r="882" spans="1:21">
      <c r="A882" s="29"/>
      <c r="B882" s="29"/>
      <c r="C882" s="29"/>
      <c r="D882" s="29"/>
      <c r="E882" s="29"/>
      <c r="F882" s="29"/>
      <c r="G882" s="29"/>
      <c r="H882" s="29"/>
      <c r="J882" s="29"/>
      <c r="K882" s="29"/>
      <c r="L882" s="19"/>
      <c r="M882" s="19"/>
      <c r="N882" s="30"/>
      <c r="O882" s="30"/>
      <c r="P882" s="32"/>
      <c r="Q882" s="32"/>
      <c r="R882" s="32"/>
      <c r="S882" s="32"/>
      <c r="T882" s="32"/>
      <c r="U882" s="30"/>
    </row>
    <row r="883" spans="1:21">
      <c r="A883" s="29"/>
      <c r="B883" s="29"/>
      <c r="C883" s="29"/>
      <c r="D883" s="29"/>
      <c r="E883" s="29"/>
      <c r="F883" s="29"/>
      <c r="G883" s="29"/>
      <c r="H883" s="29"/>
      <c r="J883" s="29"/>
      <c r="K883" s="29"/>
      <c r="L883" s="19"/>
      <c r="M883" s="19"/>
      <c r="N883" s="30"/>
      <c r="O883" s="30"/>
      <c r="P883" s="32"/>
      <c r="Q883" s="32"/>
      <c r="R883" s="32"/>
      <c r="S883" s="32"/>
      <c r="T883" s="32"/>
      <c r="U883" s="30"/>
    </row>
    <row r="884" spans="1:21">
      <c r="A884" s="29"/>
      <c r="B884" s="29"/>
      <c r="C884" s="29"/>
      <c r="D884" s="29"/>
      <c r="E884" s="29"/>
      <c r="F884" s="29"/>
      <c r="G884" s="29"/>
      <c r="H884" s="29"/>
      <c r="J884" s="29"/>
      <c r="K884" s="29"/>
      <c r="L884" s="19"/>
      <c r="M884" s="19"/>
      <c r="N884" s="30"/>
      <c r="O884" s="30"/>
      <c r="P884" s="32"/>
      <c r="Q884" s="32"/>
      <c r="R884" s="32"/>
      <c r="S884" s="32"/>
      <c r="T884" s="32"/>
      <c r="U884" s="30"/>
    </row>
    <row r="885" spans="1:21">
      <c r="A885" s="29"/>
      <c r="B885" s="29"/>
      <c r="C885" s="29"/>
      <c r="D885" s="29"/>
      <c r="E885" s="29"/>
      <c r="F885" s="29"/>
      <c r="G885" s="29"/>
      <c r="H885" s="29"/>
      <c r="J885" s="29"/>
      <c r="K885" s="29"/>
      <c r="L885" s="19"/>
      <c r="M885" s="19"/>
      <c r="N885" s="30"/>
      <c r="O885" s="30"/>
      <c r="P885" s="32"/>
      <c r="Q885" s="32"/>
      <c r="R885" s="32"/>
      <c r="S885" s="32"/>
      <c r="T885" s="32"/>
      <c r="U885" s="30"/>
    </row>
    <row r="886" spans="1:21">
      <c r="A886" s="29"/>
      <c r="B886" s="29"/>
      <c r="C886" s="29"/>
      <c r="D886" s="29"/>
      <c r="E886" s="29"/>
      <c r="F886" s="29"/>
      <c r="G886" s="29"/>
      <c r="H886" s="29"/>
      <c r="J886" s="29"/>
      <c r="K886" s="29"/>
      <c r="L886" s="19"/>
      <c r="M886" s="19"/>
      <c r="N886" s="30"/>
      <c r="O886" s="30"/>
      <c r="P886" s="32"/>
      <c r="Q886" s="32"/>
      <c r="R886" s="32"/>
      <c r="S886" s="32"/>
      <c r="T886" s="32"/>
      <c r="U886" s="30"/>
    </row>
    <row r="887" spans="1:21">
      <c r="A887" s="29"/>
      <c r="B887" s="29"/>
      <c r="C887" s="29"/>
      <c r="D887" s="29"/>
      <c r="E887" s="29"/>
      <c r="F887" s="29"/>
      <c r="G887" s="29"/>
      <c r="H887" s="29"/>
      <c r="J887" s="29"/>
      <c r="K887" s="29"/>
      <c r="L887" s="19"/>
      <c r="M887" s="19"/>
      <c r="N887" s="30"/>
      <c r="O887" s="30"/>
      <c r="P887" s="32"/>
      <c r="Q887" s="32"/>
      <c r="R887" s="32"/>
      <c r="S887" s="32"/>
      <c r="T887" s="32"/>
      <c r="U887" s="30"/>
    </row>
    <row r="888" spans="1:21">
      <c r="A888" s="29"/>
      <c r="B888" s="29"/>
      <c r="C888" s="29"/>
      <c r="D888" s="29"/>
      <c r="E888" s="29"/>
      <c r="F888" s="29"/>
      <c r="G888" s="29"/>
      <c r="H888" s="29"/>
      <c r="J888" s="29"/>
      <c r="K888" s="29"/>
      <c r="L888" s="19"/>
      <c r="M888" s="19"/>
      <c r="N888" s="30"/>
      <c r="O888" s="30"/>
      <c r="P888" s="32"/>
      <c r="Q888" s="32"/>
      <c r="R888" s="32"/>
      <c r="S888" s="32"/>
      <c r="T888" s="32"/>
      <c r="U888" s="30"/>
    </row>
    <row r="889" spans="1:21">
      <c r="A889" s="29"/>
      <c r="B889" s="29"/>
      <c r="C889" s="29"/>
      <c r="D889" s="29"/>
      <c r="E889" s="29"/>
      <c r="F889" s="29"/>
      <c r="G889" s="29"/>
      <c r="H889" s="29"/>
      <c r="J889" s="29"/>
      <c r="K889" s="29"/>
      <c r="L889" s="19"/>
      <c r="M889" s="19"/>
      <c r="N889" s="30"/>
      <c r="O889" s="30"/>
      <c r="P889" s="32"/>
      <c r="Q889" s="32"/>
      <c r="R889" s="32"/>
      <c r="S889" s="32"/>
      <c r="T889" s="32"/>
      <c r="U889" s="30"/>
    </row>
    <row r="890" spans="1:21">
      <c r="A890" s="29"/>
      <c r="B890" s="29"/>
      <c r="C890" s="29"/>
      <c r="D890" s="29"/>
      <c r="E890" s="29"/>
      <c r="F890" s="29"/>
      <c r="G890" s="29"/>
      <c r="H890" s="29"/>
      <c r="J890" s="29"/>
      <c r="K890" s="29"/>
      <c r="L890" s="19"/>
      <c r="M890" s="19"/>
      <c r="N890" s="30"/>
      <c r="O890" s="30"/>
      <c r="P890" s="32"/>
      <c r="Q890" s="32"/>
      <c r="R890" s="32"/>
      <c r="S890" s="32"/>
      <c r="T890" s="32"/>
      <c r="U890" s="30"/>
    </row>
    <row r="891" spans="1:21">
      <c r="A891" s="29"/>
      <c r="B891" s="29"/>
      <c r="C891" s="29"/>
      <c r="D891" s="29"/>
      <c r="E891" s="29"/>
      <c r="F891" s="29"/>
      <c r="G891" s="29"/>
      <c r="H891" s="29"/>
      <c r="J891" s="29"/>
      <c r="K891" s="29"/>
      <c r="L891" s="19"/>
      <c r="M891" s="19"/>
      <c r="N891" s="30"/>
      <c r="O891" s="30"/>
      <c r="P891" s="32"/>
      <c r="Q891" s="32"/>
      <c r="R891" s="32"/>
      <c r="S891" s="32"/>
      <c r="T891" s="32"/>
      <c r="U891" s="30"/>
    </row>
    <row r="892" spans="1:21">
      <c r="A892" s="29"/>
      <c r="B892" s="29"/>
      <c r="C892" s="29"/>
      <c r="D892" s="29"/>
      <c r="E892" s="29"/>
      <c r="F892" s="29"/>
      <c r="G892" s="29"/>
      <c r="H892" s="29"/>
      <c r="J892" s="29"/>
      <c r="K892" s="29"/>
      <c r="L892" s="19"/>
      <c r="M892" s="19"/>
      <c r="N892" s="30"/>
      <c r="O892" s="30"/>
      <c r="P892" s="32"/>
      <c r="Q892" s="32"/>
      <c r="R892" s="32"/>
      <c r="S892" s="32"/>
      <c r="T892" s="32"/>
      <c r="U892" s="30"/>
    </row>
    <row r="893" spans="1:21">
      <c r="A893" s="29"/>
      <c r="B893" s="29"/>
      <c r="C893" s="29"/>
      <c r="D893" s="29"/>
      <c r="E893" s="29"/>
      <c r="F893" s="29"/>
      <c r="G893" s="29"/>
      <c r="H893" s="29"/>
      <c r="J893" s="29"/>
      <c r="K893" s="29"/>
      <c r="L893" s="19"/>
      <c r="M893" s="19"/>
      <c r="N893" s="30"/>
      <c r="O893" s="30"/>
      <c r="P893" s="32"/>
      <c r="Q893" s="32"/>
      <c r="R893" s="32"/>
      <c r="S893" s="32"/>
      <c r="T893" s="32"/>
      <c r="U893" s="30"/>
    </row>
    <row r="894" spans="1:21">
      <c r="A894" s="29"/>
      <c r="B894" s="29"/>
      <c r="C894" s="29"/>
      <c r="D894" s="29"/>
      <c r="E894" s="29"/>
      <c r="F894" s="29"/>
      <c r="G894" s="29"/>
      <c r="H894" s="29"/>
      <c r="J894" s="29"/>
      <c r="K894" s="29"/>
      <c r="L894" s="19"/>
      <c r="M894" s="19"/>
      <c r="N894" s="30"/>
      <c r="O894" s="30"/>
      <c r="P894" s="32"/>
      <c r="Q894" s="32"/>
      <c r="R894" s="32"/>
      <c r="S894" s="32"/>
      <c r="T894" s="32"/>
      <c r="U894" s="30"/>
    </row>
    <row r="895" spans="1:21">
      <c r="A895" s="29"/>
      <c r="B895" s="29"/>
      <c r="C895" s="29"/>
      <c r="D895" s="29"/>
      <c r="E895" s="29"/>
      <c r="F895" s="29"/>
      <c r="G895" s="29"/>
      <c r="H895" s="29"/>
      <c r="J895" s="29"/>
      <c r="K895" s="29"/>
      <c r="L895" s="19"/>
      <c r="M895" s="19"/>
      <c r="N895" s="30"/>
      <c r="O895" s="30"/>
      <c r="P895" s="32"/>
      <c r="Q895" s="32"/>
      <c r="R895" s="32"/>
      <c r="S895" s="32"/>
      <c r="T895" s="32"/>
      <c r="U895" s="30"/>
    </row>
    <row r="896" spans="1:21">
      <c r="A896" s="29"/>
      <c r="B896" s="29"/>
      <c r="C896" s="29"/>
      <c r="D896" s="29"/>
      <c r="E896" s="29"/>
      <c r="F896" s="29"/>
      <c r="G896" s="29"/>
      <c r="H896" s="29"/>
      <c r="J896" s="29"/>
      <c r="K896" s="29"/>
      <c r="L896" s="19"/>
      <c r="M896" s="19"/>
      <c r="N896" s="30"/>
      <c r="O896" s="30"/>
      <c r="P896" s="32"/>
      <c r="Q896" s="32"/>
      <c r="R896" s="32"/>
      <c r="S896" s="32"/>
      <c r="T896" s="32"/>
      <c r="U896" s="30"/>
    </row>
    <row r="897" spans="1:21">
      <c r="A897" s="29"/>
      <c r="B897" s="29"/>
      <c r="C897" s="29"/>
      <c r="D897" s="29"/>
      <c r="E897" s="29"/>
      <c r="F897" s="29"/>
      <c r="G897" s="29"/>
      <c r="H897" s="29"/>
      <c r="J897" s="29"/>
      <c r="K897" s="29"/>
      <c r="L897" s="19"/>
      <c r="M897" s="19"/>
      <c r="N897" s="30"/>
      <c r="O897" s="30"/>
      <c r="P897" s="32"/>
      <c r="Q897" s="32"/>
      <c r="R897" s="32"/>
      <c r="S897" s="32"/>
      <c r="T897" s="32"/>
      <c r="U897" s="30"/>
    </row>
    <row r="898" spans="1:21">
      <c r="A898" s="29"/>
      <c r="B898" s="29"/>
      <c r="C898" s="29"/>
      <c r="D898" s="29"/>
      <c r="E898" s="29"/>
      <c r="F898" s="29"/>
      <c r="G898" s="29"/>
      <c r="H898" s="29"/>
      <c r="J898" s="29"/>
      <c r="K898" s="29"/>
      <c r="L898" s="19"/>
      <c r="M898" s="19"/>
      <c r="N898" s="30"/>
      <c r="O898" s="30"/>
      <c r="P898" s="32"/>
      <c r="Q898" s="32"/>
      <c r="R898" s="32"/>
      <c r="S898" s="32"/>
      <c r="T898" s="32"/>
      <c r="U898" s="30"/>
    </row>
    <row r="899" spans="1:21">
      <c r="A899" s="29"/>
      <c r="B899" s="29"/>
      <c r="C899" s="29"/>
      <c r="D899" s="29"/>
      <c r="E899" s="29"/>
      <c r="F899" s="29"/>
      <c r="G899" s="29"/>
      <c r="H899" s="29"/>
      <c r="J899" s="29"/>
      <c r="K899" s="29"/>
      <c r="L899" s="19"/>
      <c r="M899" s="19"/>
      <c r="N899" s="30"/>
      <c r="O899" s="30"/>
      <c r="P899" s="32"/>
      <c r="Q899" s="32"/>
      <c r="R899" s="32"/>
      <c r="S899" s="32"/>
      <c r="T899" s="32"/>
      <c r="U899" s="30"/>
    </row>
    <row r="900" spans="1:21">
      <c r="A900" s="29"/>
      <c r="B900" s="29"/>
      <c r="C900" s="29"/>
      <c r="D900" s="29"/>
      <c r="E900" s="29"/>
      <c r="F900" s="29"/>
      <c r="G900" s="29"/>
      <c r="H900" s="29"/>
      <c r="J900" s="29"/>
      <c r="K900" s="29"/>
      <c r="L900" s="19"/>
      <c r="M900" s="19"/>
      <c r="N900" s="30"/>
      <c r="O900" s="30"/>
      <c r="P900" s="32"/>
      <c r="Q900" s="32"/>
      <c r="R900" s="32"/>
      <c r="S900" s="32"/>
      <c r="T900" s="32"/>
      <c r="U900" s="30"/>
    </row>
    <row r="901" spans="1:21">
      <c r="A901" s="29"/>
      <c r="B901" s="29"/>
      <c r="C901" s="29"/>
      <c r="D901" s="29"/>
      <c r="E901" s="29"/>
      <c r="F901" s="29"/>
      <c r="G901" s="29"/>
      <c r="H901" s="29"/>
      <c r="J901" s="29"/>
      <c r="K901" s="29"/>
      <c r="L901" s="19"/>
      <c r="M901" s="19"/>
      <c r="N901" s="30"/>
      <c r="O901" s="30"/>
      <c r="P901" s="32"/>
      <c r="Q901" s="32"/>
      <c r="R901" s="32"/>
      <c r="S901" s="32"/>
      <c r="T901" s="32"/>
      <c r="U901" s="30"/>
    </row>
    <row r="902" spans="1:21">
      <c r="A902" s="29"/>
      <c r="B902" s="29"/>
      <c r="C902" s="29"/>
      <c r="D902" s="29"/>
      <c r="E902" s="29"/>
      <c r="F902" s="29"/>
      <c r="G902" s="29"/>
      <c r="H902" s="29"/>
      <c r="J902" s="29"/>
      <c r="K902" s="29"/>
      <c r="L902" s="19"/>
      <c r="M902" s="19"/>
      <c r="N902" s="30"/>
      <c r="O902" s="30"/>
      <c r="P902" s="32"/>
      <c r="Q902" s="32"/>
      <c r="R902" s="32"/>
      <c r="S902" s="32"/>
      <c r="T902" s="32"/>
      <c r="U902" s="30"/>
    </row>
    <row r="903" spans="1:21">
      <c r="A903" s="29"/>
      <c r="B903" s="29"/>
      <c r="C903" s="29"/>
      <c r="D903" s="29"/>
      <c r="E903" s="29"/>
      <c r="F903" s="29"/>
      <c r="G903" s="29"/>
      <c r="H903" s="29"/>
      <c r="J903" s="29"/>
      <c r="K903" s="29"/>
      <c r="L903" s="19"/>
      <c r="M903" s="19"/>
      <c r="N903" s="30"/>
      <c r="O903" s="30"/>
      <c r="P903" s="32"/>
      <c r="Q903" s="32"/>
      <c r="R903" s="32"/>
      <c r="S903" s="32"/>
      <c r="T903" s="32"/>
      <c r="U903" s="30"/>
    </row>
    <row r="904" spans="1:21">
      <c r="A904" s="29"/>
      <c r="B904" s="29"/>
      <c r="C904" s="29"/>
      <c r="D904" s="29"/>
      <c r="E904" s="29"/>
      <c r="F904" s="29"/>
      <c r="G904" s="29"/>
      <c r="H904" s="29"/>
      <c r="J904" s="29"/>
      <c r="K904" s="29"/>
      <c r="L904" s="19"/>
      <c r="M904" s="19"/>
      <c r="N904" s="30"/>
      <c r="O904" s="30"/>
      <c r="P904" s="32"/>
      <c r="Q904" s="32"/>
      <c r="R904" s="32"/>
      <c r="S904" s="32"/>
      <c r="T904" s="32"/>
      <c r="U904" s="30"/>
    </row>
    <row r="905" spans="1:21">
      <c r="A905" s="29"/>
      <c r="B905" s="29"/>
      <c r="C905" s="29"/>
      <c r="D905" s="29"/>
      <c r="E905" s="29"/>
      <c r="F905" s="29"/>
      <c r="G905" s="29"/>
      <c r="H905" s="29"/>
      <c r="J905" s="29"/>
      <c r="K905" s="29"/>
      <c r="L905" s="19"/>
      <c r="M905" s="19"/>
      <c r="N905" s="30"/>
      <c r="O905" s="30"/>
      <c r="P905" s="32"/>
      <c r="Q905" s="32"/>
      <c r="R905" s="32"/>
      <c r="S905" s="32"/>
      <c r="T905" s="32"/>
      <c r="U905" s="30"/>
    </row>
    <row r="906" spans="1:21">
      <c r="A906" s="29"/>
      <c r="B906" s="29"/>
      <c r="C906" s="29"/>
      <c r="D906" s="29"/>
      <c r="E906" s="29"/>
      <c r="F906" s="29"/>
      <c r="G906" s="29"/>
      <c r="H906" s="29"/>
      <c r="J906" s="29"/>
      <c r="K906" s="29"/>
      <c r="L906" s="19"/>
      <c r="M906" s="19"/>
      <c r="N906" s="30"/>
      <c r="O906" s="30"/>
      <c r="P906" s="32"/>
      <c r="Q906" s="32"/>
      <c r="R906" s="32"/>
      <c r="S906" s="32"/>
      <c r="T906" s="32"/>
      <c r="U906" s="30"/>
    </row>
    <row r="907" spans="1:21">
      <c r="A907" s="29"/>
      <c r="B907" s="29"/>
      <c r="C907" s="29"/>
      <c r="D907" s="29"/>
      <c r="E907" s="29"/>
      <c r="F907" s="29"/>
      <c r="G907" s="29"/>
      <c r="H907" s="29"/>
      <c r="J907" s="29"/>
      <c r="K907" s="29"/>
      <c r="L907" s="19"/>
      <c r="M907" s="19"/>
      <c r="N907" s="30"/>
      <c r="O907" s="30"/>
      <c r="P907" s="32"/>
      <c r="Q907" s="32"/>
      <c r="R907" s="32"/>
      <c r="S907" s="32"/>
      <c r="T907" s="32"/>
      <c r="U907" s="30"/>
    </row>
    <row r="908" spans="1:21">
      <c r="A908" s="29"/>
      <c r="B908" s="29"/>
      <c r="C908" s="29"/>
      <c r="D908" s="29"/>
      <c r="E908" s="29"/>
      <c r="F908" s="29"/>
      <c r="G908" s="29"/>
      <c r="H908" s="29"/>
      <c r="J908" s="29"/>
      <c r="K908" s="29"/>
      <c r="L908" s="19"/>
      <c r="M908" s="19"/>
      <c r="N908" s="30"/>
      <c r="O908" s="30"/>
      <c r="P908" s="32"/>
      <c r="Q908" s="32"/>
      <c r="R908" s="32"/>
      <c r="S908" s="32"/>
      <c r="T908" s="32"/>
      <c r="U908" s="30"/>
    </row>
    <row r="909" spans="1:21">
      <c r="A909" s="29"/>
      <c r="B909" s="29"/>
      <c r="C909" s="29"/>
      <c r="D909" s="29"/>
      <c r="E909" s="29"/>
      <c r="F909" s="29"/>
      <c r="G909" s="29"/>
      <c r="H909" s="29"/>
      <c r="J909" s="29"/>
      <c r="K909" s="29"/>
      <c r="L909" s="19"/>
      <c r="M909" s="19"/>
      <c r="N909" s="30"/>
      <c r="O909" s="30"/>
      <c r="P909" s="32"/>
      <c r="Q909" s="32"/>
      <c r="R909" s="32"/>
      <c r="S909" s="32"/>
      <c r="T909" s="32"/>
      <c r="U909" s="30"/>
    </row>
    <row r="910" spans="1:21">
      <c r="A910" s="29"/>
      <c r="B910" s="29"/>
      <c r="C910" s="29"/>
      <c r="D910" s="29"/>
      <c r="E910" s="29"/>
      <c r="F910" s="29"/>
      <c r="G910" s="29"/>
      <c r="H910" s="29"/>
      <c r="J910" s="29"/>
      <c r="K910" s="29"/>
      <c r="L910" s="19"/>
      <c r="M910" s="19"/>
      <c r="N910" s="30"/>
      <c r="O910" s="30"/>
      <c r="P910" s="32"/>
      <c r="Q910" s="32"/>
      <c r="R910" s="32"/>
      <c r="S910" s="32"/>
      <c r="T910" s="32"/>
      <c r="U910" s="30"/>
    </row>
    <row r="911" spans="1:21">
      <c r="A911" s="29"/>
      <c r="B911" s="29"/>
      <c r="C911" s="29"/>
      <c r="D911" s="29"/>
      <c r="E911" s="29"/>
      <c r="F911" s="29"/>
      <c r="G911" s="29"/>
      <c r="H911" s="29"/>
      <c r="J911" s="29"/>
      <c r="K911" s="29"/>
      <c r="L911" s="19"/>
      <c r="M911" s="19"/>
      <c r="N911" s="30"/>
      <c r="O911" s="30"/>
      <c r="P911" s="32"/>
      <c r="Q911" s="32"/>
      <c r="R911" s="32"/>
      <c r="S911" s="32"/>
      <c r="T911" s="32"/>
      <c r="U911" s="30"/>
    </row>
    <row r="912" spans="1:21">
      <c r="A912" s="29"/>
      <c r="B912" s="29"/>
      <c r="C912" s="29"/>
      <c r="D912" s="29"/>
      <c r="E912" s="29"/>
      <c r="F912" s="29"/>
      <c r="G912" s="29"/>
      <c r="H912" s="29"/>
      <c r="J912" s="29"/>
      <c r="K912" s="29"/>
      <c r="L912" s="19"/>
      <c r="M912" s="19"/>
      <c r="N912" s="30"/>
      <c r="O912" s="30"/>
      <c r="P912" s="32"/>
      <c r="Q912" s="32"/>
      <c r="R912" s="32"/>
      <c r="S912" s="32"/>
      <c r="T912" s="32"/>
      <c r="U912" s="30"/>
    </row>
    <row r="913" spans="1:21">
      <c r="A913" s="29"/>
      <c r="B913" s="29"/>
      <c r="C913" s="29"/>
      <c r="D913" s="29"/>
      <c r="E913" s="29"/>
      <c r="F913" s="29"/>
      <c r="G913" s="29"/>
      <c r="H913" s="29"/>
      <c r="J913" s="29"/>
      <c r="K913" s="29"/>
      <c r="L913" s="19"/>
      <c r="M913" s="19"/>
      <c r="N913" s="30"/>
      <c r="O913" s="30"/>
      <c r="P913" s="32"/>
      <c r="Q913" s="32"/>
      <c r="R913" s="32"/>
      <c r="S913" s="32"/>
      <c r="T913" s="32"/>
      <c r="U913" s="30"/>
    </row>
    <row r="914" spans="1:21">
      <c r="A914" s="29"/>
      <c r="B914" s="29"/>
      <c r="C914" s="29"/>
      <c r="D914" s="29"/>
      <c r="E914" s="29"/>
      <c r="F914" s="29"/>
      <c r="G914" s="29"/>
      <c r="H914" s="29"/>
      <c r="J914" s="29"/>
      <c r="K914" s="29"/>
      <c r="L914" s="19"/>
      <c r="M914" s="19"/>
      <c r="N914" s="30"/>
      <c r="O914" s="30"/>
      <c r="P914" s="32"/>
      <c r="Q914" s="32"/>
      <c r="R914" s="32"/>
      <c r="S914" s="32"/>
      <c r="T914" s="32"/>
      <c r="U914" s="30"/>
    </row>
    <row r="915" spans="1:21">
      <c r="A915" s="29"/>
      <c r="B915" s="29"/>
      <c r="C915" s="29"/>
      <c r="D915" s="29"/>
      <c r="E915" s="29"/>
      <c r="F915" s="29"/>
      <c r="G915" s="29"/>
      <c r="H915" s="29"/>
      <c r="J915" s="29"/>
      <c r="K915" s="29"/>
      <c r="L915" s="19"/>
      <c r="M915" s="19"/>
      <c r="N915" s="30"/>
      <c r="O915" s="30"/>
      <c r="P915" s="32"/>
      <c r="Q915" s="32"/>
      <c r="R915" s="32"/>
      <c r="S915" s="32"/>
      <c r="T915" s="32"/>
      <c r="U915" s="30"/>
    </row>
    <row r="916" spans="1:21">
      <c r="A916" s="29"/>
      <c r="B916" s="29"/>
      <c r="C916" s="29"/>
      <c r="D916" s="29"/>
      <c r="E916" s="29"/>
      <c r="F916" s="29"/>
      <c r="G916" s="29"/>
      <c r="H916" s="29"/>
      <c r="J916" s="29"/>
      <c r="K916" s="29"/>
      <c r="L916" s="19"/>
      <c r="M916" s="19"/>
      <c r="N916" s="30"/>
      <c r="O916" s="30"/>
      <c r="P916" s="32"/>
      <c r="Q916" s="32"/>
      <c r="R916" s="32"/>
      <c r="S916" s="32"/>
      <c r="T916" s="32"/>
      <c r="U916" s="30"/>
    </row>
    <row r="917" spans="1:21">
      <c r="A917" s="29"/>
      <c r="B917" s="29"/>
      <c r="C917" s="29"/>
      <c r="D917" s="29"/>
      <c r="E917" s="29"/>
      <c r="F917" s="29"/>
      <c r="G917" s="29"/>
      <c r="H917" s="29"/>
      <c r="J917" s="29"/>
      <c r="K917" s="29"/>
      <c r="L917" s="19"/>
      <c r="M917" s="19"/>
      <c r="N917" s="30"/>
      <c r="O917" s="30"/>
      <c r="P917" s="32"/>
      <c r="Q917" s="32"/>
      <c r="R917" s="32"/>
      <c r="S917" s="32"/>
      <c r="T917" s="32"/>
      <c r="U917" s="30"/>
    </row>
    <row r="918" spans="1:21">
      <c r="A918" s="29"/>
      <c r="B918" s="29"/>
      <c r="C918" s="29"/>
      <c r="D918" s="29"/>
      <c r="E918" s="29"/>
      <c r="F918" s="29"/>
      <c r="G918" s="29"/>
      <c r="H918" s="29"/>
      <c r="J918" s="29"/>
      <c r="K918" s="29"/>
      <c r="L918" s="19"/>
      <c r="M918" s="19"/>
      <c r="N918" s="30"/>
      <c r="O918" s="30"/>
      <c r="P918" s="32"/>
      <c r="Q918" s="32"/>
      <c r="R918" s="32"/>
      <c r="S918" s="32"/>
      <c r="T918" s="32"/>
      <c r="U918" s="30"/>
    </row>
    <row r="919" spans="1:21">
      <c r="A919" s="29"/>
      <c r="B919" s="29"/>
      <c r="C919" s="29"/>
      <c r="D919" s="29"/>
      <c r="E919" s="29"/>
      <c r="F919" s="29"/>
      <c r="G919" s="29"/>
      <c r="H919" s="29"/>
      <c r="J919" s="29"/>
      <c r="K919" s="29"/>
      <c r="L919" s="19"/>
      <c r="M919" s="19"/>
      <c r="N919" s="30"/>
      <c r="O919" s="30"/>
      <c r="P919" s="32"/>
      <c r="Q919" s="32"/>
      <c r="R919" s="32"/>
      <c r="S919" s="32"/>
      <c r="T919" s="32"/>
      <c r="U919" s="30"/>
    </row>
    <row r="920" spans="1:21">
      <c r="A920" s="29"/>
      <c r="B920" s="29"/>
      <c r="C920" s="29"/>
      <c r="D920" s="29"/>
      <c r="E920" s="29"/>
      <c r="F920" s="29"/>
      <c r="G920" s="29"/>
      <c r="H920" s="29"/>
      <c r="J920" s="29"/>
      <c r="K920" s="29"/>
      <c r="L920" s="19"/>
      <c r="M920" s="19"/>
      <c r="N920" s="30"/>
      <c r="O920" s="30"/>
      <c r="P920" s="32"/>
      <c r="Q920" s="32"/>
      <c r="R920" s="32"/>
      <c r="S920" s="32"/>
      <c r="T920" s="32"/>
      <c r="U920" s="30"/>
    </row>
    <row r="921" spans="1:21">
      <c r="A921" s="29"/>
      <c r="B921" s="29"/>
      <c r="C921" s="29"/>
      <c r="D921" s="29"/>
      <c r="E921" s="29"/>
      <c r="F921" s="29"/>
      <c r="G921" s="29"/>
      <c r="H921" s="29"/>
      <c r="J921" s="29"/>
      <c r="K921" s="29"/>
      <c r="L921" s="19"/>
      <c r="M921" s="19"/>
      <c r="N921" s="30"/>
      <c r="O921" s="30"/>
      <c r="P921" s="32"/>
      <c r="Q921" s="32"/>
      <c r="R921" s="32"/>
      <c r="S921" s="32"/>
      <c r="T921" s="32"/>
      <c r="U921" s="30"/>
    </row>
    <row r="922" spans="1:21">
      <c r="A922" s="29"/>
      <c r="B922" s="29"/>
      <c r="C922" s="29"/>
      <c r="D922" s="29"/>
      <c r="E922" s="29"/>
      <c r="F922" s="29"/>
      <c r="G922" s="29"/>
      <c r="H922" s="29"/>
      <c r="J922" s="29"/>
      <c r="K922" s="29"/>
      <c r="L922" s="19"/>
      <c r="M922" s="19"/>
      <c r="N922" s="30"/>
      <c r="O922" s="30"/>
      <c r="P922" s="32"/>
      <c r="Q922" s="32"/>
      <c r="R922" s="32"/>
      <c r="S922" s="32"/>
      <c r="T922" s="32"/>
      <c r="U922" s="30"/>
    </row>
    <row r="923" spans="1:21">
      <c r="A923" s="29"/>
      <c r="B923" s="29"/>
      <c r="C923" s="29"/>
      <c r="D923" s="29"/>
      <c r="E923" s="29"/>
      <c r="F923" s="29"/>
      <c r="G923" s="29"/>
      <c r="H923" s="29"/>
      <c r="J923" s="29"/>
      <c r="K923" s="29"/>
      <c r="L923" s="19"/>
      <c r="M923" s="19"/>
      <c r="N923" s="30"/>
      <c r="O923" s="30"/>
      <c r="P923" s="32"/>
      <c r="Q923" s="32"/>
      <c r="R923" s="32"/>
      <c r="S923" s="32"/>
      <c r="T923" s="32"/>
      <c r="U923" s="30"/>
    </row>
    <row r="924" spans="1:21">
      <c r="A924" s="29"/>
      <c r="B924" s="29"/>
      <c r="C924" s="29"/>
      <c r="D924" s="29"/>
      <c r="E924" s="29"/>
      <c r="F924" s="29"/>
      <c r="G924" s="29"/>
      <c r="H924" s="29"/>
      <c r="J924" s="29"/>
      <c r="K924" s="29"/>
      <c r="L924" s="19"/>
      <c r="M924" s="19"/>
      <c r="N924" s="30"/>
      <c r="O924" s="30"/>
      <c r="P924" s="32"/>
      <c r="Q924" s="32"/>
      <c r="R924" s="32"/>
      <c r="S924" s="32"/>
      <c r="T924" s="32"/>
      <c r="U924" s="30"/>
    </row>
    <row r="925" spans="1:21">
      <c r="A925" s="29"/>
      <c r="B925" s="29"/>
      <c r="C925" s="29"/>
      <c r="D925" s="29"/>
      <c r="E925" s="29"/>
      <c r="F925" s="29"/>
      <c r="G925" s="29"/>
      <c r="H925" s="29"/>
      <c r="J925" s="29"/>
      <c r="K925" s="29"/>
      <c r="L925" s="19"/>
      <c r="M925" s="19"/>
      <c r="N925" s="30"/>
      <c r="O925" s="30"/>
      <c r="P925" s="32"/>
      <c r="Q925" s="32"/>
      <c r="R925" s="32"/>
      <c r="S925" s="32"/>
      <c r="T925" s="32"/>
      <c r="U925" s="30"/>
    </row>
    <row r="926" spans="1:21">
      <c r="A926" s="29"/>
      <c r="B926" s="29"/>
      <c r="C926" s="29"/>
      <c r="D926" s="29"/>
      <c r="E926" s="29"/>
      <c r="F926" s="29"/>
      <c r="G926" s="29"/>
      <c r="H926" s="29"/>
      <c r="J926" s="29"/>
      <c r="K926" s="29"/>
      <c r="L926" s="19"/>
      <c r="M926" s="19"/>
      <c r="N926" s="30"/>
      <c r="O926" s="30"/>
      <c r="P926" s="32"/>
      <c r="Q926" s="32"/>
      <c r="R926" s="32"/>
      <c r="S926" s="32"/>
      <c r="T926" s="32"/>
      <c r="U926" s="30"/>
    </row>
    <row r="927" spans="1:21">
      <c r="A927" s="29"/>
      <c r="B927" s="29"/>
      <c r="C927" s="29"/>
      <c r="D927" s="29"/>
      <c r="E927" s="29"/>
      <c r="F927" s="29"/>
      <c r="G927" s="29"/>
      <c r="H927" s="29"/>
      <c r="J927" s="29"/>
      <c r="K927" s="29"/>
      <c r="L927" s="19"/>
      <c r="M927" s="19"/>
      <c r="N927" s="30"/>
      <c r="O927" s="30"/>
      <c r="P927" s="32"/>
      <c r="Q927" s="32"/>
      <c r="R927" s="32"/>
      <c r="S927" s="32"/>
      <c r="T927" s="32"/>
      <c r="U927" s="30"/>
    </row>
    <row r="928" spans="1:21">
      <c r="A928" s="29"/>
      <c r="B928" s="29"/>
      <c r="C928" s="29"/>
      <c r="D928" s="29"/>
      <c r="E928" s="29"/>
      <c r="F928" s="29"/>
      <c r="G928" s="29"/>
      <c r="H928" s="29"/>
      <c r="J928" s="29"/>
      <c r="K928" s="29"/>
      <c r="L928" s="19"/>
      <c r="M928" s="19"/>
      <c r="N928" s="30"/>
      <c r="O928" s="30"/>
      <c r="P928" s="32"/>
      <c r="Q928" s="32"/>
      <c r="R928" s="32"/>
      <c r="S928" s="32"/>
      <c r="T928" s="32"/>
      <c r="U928" s="30"/>
    </row>
    <row r="929" spans="1:21">
      <c r="A929" s="29"/>
      <c r="B929" s="29"/>
      <c r="C929" s="29"/>
      <c r="D929" s="29"/>
      <c r="E929" s="29"/>
      <c r="F929" s="29"/>
      <c r="G929" s="29"/>
      <c r="H929" s="29"/>
      <c r="J929" s="29"/>
      <c r="K929" s="29"/>
      <c r="L929" s="19"/>
      <c r="M929" s="19"/>
      <c r="N929" s="30"/>
      <c r="O929" s="30"/>
      <c r="P929" s="32"/>
      <c r="Q929" s="32"/>
      <c r="R929" s="32"/>
      <c r="S929" s="32"/>
      <c r="T929" s="32"/>
      <c r="U929" s="30"/>
    </row>
    <row r="930" spans="1:21">
      <c r="A930" s="29"/>
      <c r="B930" s="29"/>
      <c r="C930" s="29"/>
      <c r="D930" s="29"/>
      <c r="E930" s="29"/>
      <c r="F930" s="29"/>
      <c r="G930" s="29"/>
      <c r="H930" s="29"/>
      <c r="J930" s="29"/>
      <c r="K930" s="29"/>
      <c r="L930" s="19"/>
      <c r="M930" s="19"/>
      <c r="N930" s="30"/>
      <c r="O930" s="30"/>
      <c r="P930" s="32"/>
      <c r="Q930" s="32"/>
      <c r="R930" s="32"/>
      <c r="S930" s="32"/>
      <c r="T930" s="32"/>
      <c r="U930" s="30"/>
    </row>
    <row r="931" spans="1:21">
      <c r="A931" s="29"/>
      <c r="B931" s="29"/>
      <c r="C931" s="29"/>
      <c r="D931" s="29"/>
      <c r="E931" s="29"/>
      <c r="F931" s="29"/>
      <c r="G931" s="29"/>
      <c r="H931" s="29"/>
      <c r="J931" s="29"/>
      <c r="K931" s="29"/>
      <c r="L931" s="19"/>
      <c r="M931" s="19"/>
      <c r="N931" s="30"/>
      <c r="O931" s="30"/>
      <c r="P931" s="32"/>
      <c r="Q931" s="32"/>
      <c r="R931" s="32"/>
      <c r="S931" s="32"/>
      <c r="T931" s="32"/>
      <c r="U931" s="30"/>
    </row>
    <row r="932" spans="1:21">
      <c r="A932" s="29"/>
      <c r="B932" s="29"/>
      <c r="C932" s="29"/>
      <c r="D932" s="29"/>
      <c r="E932" s="29"/>
      <c r="F932" s="29"/>
      <c r="G932" s="29"/>
      <c r="H932" s="29"/>
      <c r="J932" s="29"/>
      <c r="K932" s="29"/>
      <c r="L932" s="19"/>
      <c r="M932" s="19"/>
      <c r="N932" s="30"/>
      <c r="O932" s="30"/>
      <c r="P932" s="32"/>
      <c r="Q932" s="32"/>
      <c r="R932" s="32"/>
      <c r="S932" s="32"/>
      <c r="T932" s="32"/>
      <c r="U932" s="30"/>
    </row>
    <row r="933" spans="1:21">
      <c r="A933" s="29"/>
      <c r="B933" s="29"/>
      <c r="C933" s="29"/>
      <c r="D933" s="29"/>
      <c r="E933" s="29"/>
      <c r="F933" s="29"/>
      <c r="G933" s="29"/>
      <c r="H933" s="29"/>
      <c r="J933" s="29"/>
      <c r="K933" s="29"/>
      <c r="L933" s="19"/>
      <c r="M933" s="19"/>
      <c r="N933" s="30"/>
      <c r="O933" s="30"/>
      <c r="P933" s="32"/>
      <c r="Q933" s="32"/>
      <c r="R933" s="32"/>
      <c r="S933" s="32"/>
      <c r="T933" s="32"/>
      <c r="U933" s="30"/>
    </row>
    <row r="934" spans="1:21">
      <c r="A934" s="29"/>
      <c r="B934" s="29"/>
      <c r="C934" s="29"/>
      <c r="D934" s="29"/>
      <c r="E934" s="29"/>
      <c r="F934" s="29"/>
      <c r="G934" s="29"/>
      <c r="H934" s="29"/>
      <c r="J934" s="29"/>
      <c r="K934" s="29"/>
      <c r="L934" s="19"/>
      <c r="M934" s="19"/>
      <c r="N934" s="30"/>
      <c r="O934" s="30"/>
      <c r="P934" s="32"/>
      <c r="Q934" s="32"/>
      <c r="R934" s="32"/>
      <c r="S934" s="32"/>
      <c r="T934" s="32"/>
      <c r="U934" s="30"/>
    </row>
    <row r="935" spans="1:21">
      <c r="A935" s="29"/>
      <c r="B935" s="29"/>
      <c r="C935" s="29"/>
      <c r="D935" s="29"/>
      <c r="E935" s="29"/>
      <c r="F935" s="29"/>
      <c r="G935" s="29"/>
      <c r="H935" s="29"/>
      <c r="J935" s="29"/>
      <c r="K935" s="29"/>
      <c r="L935" s="19"/>
      <c r="M935" s="19"/>
      <c r="N935" s="30"/>
      <c r="O935" s="30"/>
      <c r="P935" s="32"/>
      <c r="Q935" s="32"/>
      <c r="R935" s="32"/>
      <c r="S935" s="32"/>
      <c r="T935" s="32"/>
      <c r="U935" s="30"/>
    </row>
    <row r="936" spans="1:21">
      <c r="A936" s="29"/>
      <c r="B936" s="29"/>
      <c r="C936" s="29"/>
      <c r="D936" s="29"/>
      <c r="E936" s="29"/>
      <c r="F936" s="29"/>
      <c r="G936" s="29"/>
      <c r="H936" s="29"/>
      <c r="J936" s="29"/>
      <c r="K936" s="29"/>
      <c r="L936" s="19"/>
      <c r="M936" s="19"/>
      <c r="N936" s="30"/>
      <c r="O936" s="30"/>
      <c r="P936" s="32"/>
      <c r="Q936" s="32"/>
      <c r="R936" s="32"/>
      <c r="S936" s="32"/>
      <c r="T936" s="32"/>
      <c r="U936" s="30"/>
    </row>
    <row r="937" spans="1:21">
      <c r="A937" s="29"/>
      <c r="B937" s="29"/>
      <c r="C937" s="29"/>
      <c r="D937" s="29"/>
      <c r="E937" s="29"/>
      <c r="F937" s="29"/>
      <c r="G937" s="29"/>
      <c r="H937" s="29"/>
      <c r="J937" s="29"/>
      <c r="K937" s="29"/>
      <c r="L937" s="19"/>
      <c r="M937" s="19"/>
      <c r="N937" s="30"/>
      <c r="O937" s="30"/>
      <c r="P937" s="32"/>
      <c r="Q937" s="32"/>
      <c r="R937" s="32"/>
      <c r="S937" s="32"/>
      <c r="T937" s="32"/>
      <c r="U937" s="30"/>
    </row>
    <row r="938" spans="1:21">
      <c r="A938" s="29"/>
      <c r="B938" s="29"/>
      <c r="C938" s="29"/>
      <c r="D938" s="29"/>
      <c r="E938" s="29"/>
      <c r="F938" s="29"/>
      <c r="G938" s="29"/>
      <c r="H938" s="29"/>
      <c r="J938" s="29"/>
      <c r="K938" s="29"/>
      <c r="L938" s="19"/>
      <c r="M938" s="19"/>
      <c r="N938" s="30"/>
      <c r="O938" s="30"/>
      <c r="P938" s="32"/>
      <c r="Q938" s="32"/>
      <c r="R938" s="32"/>
      <c r="S938" s="32"/>
      <c r="T938" s="32"/>
      <c r="U938" s="30"/>
    </row>
    <row r="939" spans="1:21">
      <c r="A939" s="29"/>
      <c r="B939" s="29"/>
      <c r="C939" s="29"/>
      <c r="D939" s="29"/>
      <c r="E939" s="29"/>
      <c r="F939" s="29"/>
      <c r="G939" s="29"/>
      <c r="H939" s="29"/>
      <c r="J939" s="29"/>
      <c r="K939" s="29"/>
      <c r="L939" s="19"/>
      <c r="M939" s="19"/>
      <c r="N939" s="30"/>
      <c r="O939" s="30"/>
      <c r="P939" s="32"/>
      <c r="Q939" s="32"/>
      <c r="R939" s="32"/>
      <c r="S939" s="32"/>
      <c r="T939" s="32"/>
      <c r="U939" s="30"/>
    </row>
    <row r="940" spans="1:21">
      <c r="A940" s="29"/>
      <c r="B940" s="29"/>
      <c r="C940" s="29"/>
      <c r="D940" s="29"/>
      <c r="E940" s="29"/>
      <c r="F940" s="29"/>
      <c r="G940" s="29"/>
      <c r="H940" s="29"/>
      <c r="J940" s="29"/>
      <c r="K940" s="29"/>
      <c r="L940" s="19"/>
      <c r="M940" s="19"/>
      <c r="N940" s="30"/>
      <c r="O940" s="30"/>
      <c r="P940" s="32"/>
      <c r="Q940" s="32"/>
      <c r="R940" s="32"/>
      <c r="S940" s="32"/>
      <c r="T940" s="32"/>
      <c r="U940" s="30"/>
    </row>
    <row r="941" spans="1:21">
      <c r="A941" s="29"/>
      <c r="B941" s="29"/>
      <c r="C941" s="29"/>
      <c r="D941" s="29"/>
      <c r="E941" s="29"/>
      <c r="F941" s="29"/>
      <c r="G941" s="29"/>
      <c r="H941" s="29"/>
      <c r="J941" s="29"/>
      <c r="K941" s="29"/>
      <c r="L941" s="19"/>
      <c r="M941" s="19"/>
      <c r="N941" s="30"/>
      <c r="O941" s="30"/>
      <c r="P941" s="32"/>
      <c r="Q941" s="32"/>
      <c r="R941" s="32"/>
      <c r="S941" s="32"/>
      <c r="T941" s="32"/>
      <c r="U941" s="30"/>
    </row>
    <row r="942" spans="1:21">
      <c r="A942" s="29"/>
      <c r="B942" s="29"/>
      <c r="C942" s="29"/>
      <c r="D942" s="29"/>
      <c r="E942" s="29"/>
      <c r="F942" s="29"/>
      <c r="G942" s="29"/>
      <c r="H942" s="29"/>
      <c r="J942" s="29"/>
      <c r="K942" s="29"/>
      <c r="L942" s="19"/>
      <c r="M942" s="19"/>
      <c r="N942" s="30"/>
      <c r="O942" s="30"/>
      <c r="P942" s="32"/>
      <c r="Q942" s="32"/>
      <c r="R942" s="32"/>
      <c r="S942" s="32"/>
      <c r="T942" s="32"/>
      <c r="U942" s="30"/>
    </row>
    <row r="943" spans="1:21">
      <c r="A943" s="29"/>
      <c r="B943" s="29"/>
      <c r="C943" s="29"/>
      <c r="D943" s="29"/>
      <c r="E943" s="29"/>
      <c r="F943" s="29"/>
      <c r="G943" s="29"/>
      <c r="H943" s="29"/>
      <c r="J943" s="29"/>
      <c r="K943" s="29"/>
      <c r="L943" s="19"/>
      <c r="M943" s="19"/>
      <c r="N943" s="30"/>
      <c r="O943" s="30"/>
      <c r="P943" s="32"/>
      <c r="Q943" s="32"/>
      <c r="R943" s="32"/>
      <c r="S943" s="32"/>
      <c r="T943" s="32"/>
      <c r="U943" s="30"/>
    </row>
    <row r="944" spans="1:21">
      <c r="A944" s="29"/>
      <c r="B944" s="29"/>
      <c r="C944" s="29"/>
      <c r="D944" s="29"/>
      <c r="E944" s="29"/>
      <c r="F944" s="29"/>
      <c r="G944" s="29"/>
      <c r="H944" s="29"/>
      <c r="J944" s="29"/>
      <c r="K944" s="29"/>
      <c r="L944" s="19"/>
      <c r="M944" s="19"/>
      <c r="N944" s="30"/>
      <c r="O944" s="30"/>
      <c r="P944" s="32"/>
      <c r="Q944" s="32"/>
      <c r="R944" s="32"/>
      <c r="S944" s="32"/>
      <c r="T944" s="32"/>
      <c r="U944" s="30"/>
    </row>
    <row r="945" spans="1:21">
      <c r="A945" s="29"/>
      <c r="B945" s="29"/>
      <c r="C945" s="29"/>
      <c r="D945" s="29"/>
      <c r="E945" s="29"/>
      <c r="F945" s="29"/>
      <c r="G945" s="29"/>
      <c r="H945" s="29"/>
      <c r="J945" s="29"/>
      <c r="K945" s="29"/>
      <c r="L945" s="19"/>
      <c r="M945" s="19"/>
      <c r="N945" s="30"/>
      <c r="O945" s="30"/>
      <c r="P945" s="32"/>
      <c r="Q945" s="32"/>
      <c r="R945" s="32"/>
      <c r="S945" s="32"/>
      <c r="T945" s="32"/>
      <c r="U945" s="30"/>
    </row>
    <row r="946" spans="1:21">
      <c r="A946" s="29"/>
      <c r="B946" s="29"/>
      <c r="C946" s="29"/>
      <c r="D946" s="29"/>
      <c r="E946" s="29"/>
      <c r="F946" s="29"/>
      <c r="G946" s="29"/>
      <c r="H946" s="29"/>
      <c r="J946" s="29"/>
      <c r="K946" s="29"/>
      <c r="L946" s="19"/>
      <c r="M946" s="19"/>
      <c r="N946" s="30"/>
      <c r="O946" s="30"/>
      <c r="P946" s="32"/>
      <c r="Q946" s="32"/>
      <c r="R946" s="32"/>
      <c r="S946" s="32"/>
      <c r="T946" s="32"/>
      <c r="U946" s="30"/>
    </row>
    <row r="947" spans="1:21">
      <c r="A947" s="29"/>
      <c r="B947" s="29"/>
      <c r="C947" s="29"/>
      <c r="D947" s="29"/>
      <c r="E947" s="29"/>
      <c r="F947" s="29"/>
      <c r="G947" s="29"/>
      <c r="H947" s="29"/>
      <c r="J947" s="29"/>
      <c r="K947" s="29"/>
      <c r="L947" s="19"/>
      <c r="M947" s="19"/>
      <c r="N947" s="30"/>
      <c r="O947" s="30"/>
      <c r="P947" s="32"/>
      <c r="Q947" s="32"/>
      <c r="R947" s="32"/>
      <c r="S947" s="32"/>
      <c r="T947" s="32"/>
      <c r="U947" s="30"/>
    </row>
    <row r="948" spans="1:21">
      <c r="A948" s="29"/>
      <c r="B948" s="29"/>
      <c r="C948" s="29"/>
      <c r="D948" s="29"/>
      <c r="E948" s="29"/>
      <c r="F948" s="29"/>
      <c r="G948" s="29"/>
      <c r="H948" s="29"/>
      <c r="J948" s="29"/>
      <c r="K948" s="29"/>
      <c r="L948" s="19"/>
      <c r="M948" s="19"/>
      <c r="N948" s="30"/>
      <c r="O948" s="30"/>
      <c r="P948" s="32"/>
      <c r="Q948" s="32"/>
      <c r="R948" s="32"/>
      <c r="S948" s="32"/>
      <c r="T948" s="32"/>
      <c r="U948" s="30"/>
    </row>
    <row r="949" spans="1:21">
      <c r="A949" s="29"/>
      <c r="B949" s="29"/>
      <c r="C949" s="29"/>
      <c r="D949" s="29"/>
      <c r="E949" s="29"/>
      <c r="F949" s="29"/>
      <c r="G949" s="29"/>
      <c r="H949" s="29"/>
      <c r="J949" s="29"/>
      <c r="K949" s="29"/>
      <c r="L949" s="19"/>
      <c r="M949" s="19"/>
      <c r="N949" s="30"/>
      <c r="O949" s="30"/>
      <c r="P949" s="32"/>
      <c r="Q949" s="32"/>
      <c r="R949" s="32"/>
      <c r="S949" s="32"/>
      <c r="T949" s="32"/>
      <c r="U949" s="30"/>
    </row>
    <row r="950" spans="1:21">
      <c r="A950" s="29"/>
      <c r="B950" s="29"/>
      <c r="C950" s="29"/>
      <c r="D950" s="29"/>
      <c r="E950" s="29"/>
      <c r="F950" s="29"/>
      <c r="G950" s="29"/>
      <c r="H950" s="29"/>
      <c r="J950" s="29"/>
      <c r="K950" s="29"/>
      <c r="L950" s="19"/>
      <c r="M950" s="19"/>
      <c r="N950" s="30"/>
      <c r="O950" s="30"/>
      <c r="P950" s="32"/>
      <c r="Q950" s="32"/>
      <c r="R950" s="32"/>
      <c r="S950" s="32"/>
      <c r="T950" s="32"/>
      <c r="U950" s="30"/>
    </row>
    <row r="951" spans="1:21">
      <c r="A951" s="29"/>
      <c r="B951" s="29"/>
      <c r="C951" s="29"/>
      <c r="D951" s="29"/>
      <c r="E951" s="29"/>
      <c r="F951" s="29"/>
      <c r="G951" s="29"/>
      <c r="H951" s="29"/>
      <c r="J951" s="29"/>
      <c r="K951" s="29"/>
      <c r="L951" s="19"/>
      <c r="M951" s="19"/>
      <c r="N951" s="30"/>
      <c r="O951" s="30"/>
      <c r="P951" s="32"/>
      <c r="Q951" s="32"/>
      <c r="R951" s="32"/>
      <c r="S951" s="32"/>
      <c r="T951" s="32"/>
      <c r="U951" s="30"/>
    </row>
    <row r="952" spans="1:21">
      <c r="A952" s="29"/>
      <c r="B952" s="29"/>
      <c r="C952" s="29"/>
      <c r="D952" s="29"/>
      <c r="E952" s="29"/>
      <c r="F952" s="29"/>
      <c r="G952" s="29"/>
      <c r="H952" s="29"/>
      <c r="J952" s="29"/>
      <c r="K952" s="29"/>
      <c r="L952" s="19"/>
      <c r="M952" s="19"/>
      <c r="N952" s="30"/>
      <c r="O952" s="30"/>
      <c r="P952" s="32"/>
      <c r="Q952" s="32"/>
      <c r="R952" s="32"/>
      <c r="S952" s="32"/>
      <c r="T952" s="32"/>
      <c r="U952" s="30"/>
    </row>
    <row r="953" spans="1:21">
      <c r="A953" s="29"/>
      <c r="B953" s="29"/>
      <c r="C953" s="29"/>
      <c r="D953" s="29"/>
      <c r="E953" s="29"/>
      <c r="F953" s="29"/>
      <c r="G953" s="29"/>
      <c r="H953" s="29"/>
      <c r="J953" s="29"/>
      <c r="K953" s="29"/>
      <c r="L953" s="19"/>
      <c r="M953" s="19"/>
      <c r="N953" s="30"/>
      <c r="O953" s="30"/>
      <c r="P953" s="32"/>
      <c r="Q953" s="32"/>
      <c r="R953" s="32"/>
      <c r="S953" s="32"/>
      <c r="T953" s="32"/>
      <c r="U953" s="30"/>
    </row>
    <row r="954" spans="1:21">
      <c r="A954" s="29"/>
      <c r="B954" s="29"/>
      <c r="C954" s="29"/>
      <c r="D954" s="29"/>
      <c r="E954" s="29"/>
      <c r="F954" s="29"/>
      <c r="G954" s="29"/>
      <c r="H954" s="29"/>
      <c r="J954" s="29"/>
      <c r="K954" s="29"/>
      <c r="L954" s="19"/>
      <c r="M954" s="19"/>
      <c r="N954" s="30"/>
      <c r="O954" s="30"/>
      <c r="P954" s="32"/>
      <c r="Q954" s="32"/>
      <c r="R954" s="32"/>
      <c r="S954" s="32"/>
      <c r="T954" s="32"/>
      <c r="U954" s="30"/>
    </row>
    <row r="955" spans="1:21">
      <c r="A955" s="29"/>
      <c r="B955" s="29"/>
      <c r="C955" s="29"/>
      <c r="D955" s="29"/>
      <c r="E955" s="29"/>
      <c r="F955" s="29"/>
      <c r="G955" s="29"/>
      <c r="H955" s="29"/>
      <c r="J955" s="29"/>
      <c r="K955" s="29"/>
      <c r="L955" s="19"/>
      <c r="M955" s="19"/>
      <c r="N955" s="30"/>
      <c r="O955" s="30"/>
      <c r="P955" s="32"/>
      <c r="Q955" s="32"/>
      <c r="R955" s="32"/>
      <c r="S955" s="32"/>
      <c r="T955" s="32"/>
      <c r="U955" s="30"/>
    </row>
    <row r="956" spans="1:21">
      <c r="A956" s="29"/>
      <c r="B956" s="29"/>
      <c r="C956" s="29"/>
      <c r="D956" s="29"/>
      <c r="E956" s="29"/>
      <c r="F956" s="29"/>
      <c r="G956" s="29"/>
      <c r="H956" s="29"/>
      <c r="J956" s="29"/>
      <c r="K956" s="29"/>
      <c r="L956" s="19"/>
      <c r="M956" s="19"/>
      <c r="N956" s="30"/>
      <c r="O956" s="30"/>
      <c r="P956" s="32"/>
      <c r="Q956" s="32"/>
      <c r="R956" s="32"/>
      <c r="S956" s="32"/>
      <c r="T956" s="32"/>
      <c r="U956" s="30"/>
    </row>
    <row r="957" spans="1:21">
      <c r="A957" s="29"/>
      <c r="B957" s="29"/>
      <c r="C957" s="29"/>
      <c r="D957" s="29"/>
      <c r="E957" s="29"/>
      <c r="F957" s="29"/>
      <c r="G957" s="29"/>
      <c r="H957" s="29"/>
      <c r="J957" s="29"/>
      <c r="K957" s="29"/>
      <c r="L957" s="19"/>
      <c r="M957" s="19"/>
      <c r="N957" s="30"/>
      <c r="O957" s="30"/>
      <c r="P957" s="32"/>
      <c r="Q957" s="32"/>
      <c r="R957" s="32"/>
      <c r="S957" s="32"/>
      <c r="T957" s="32"/>
      <c r="U957" s="30"/>
    </row>
    <row r="958" spans="1:21">
      <c r="A958" s="29"/>
      <c r="B958" s="29"/>
      <c r="C958" s="29"/>
      <c r="D958" s="29"/>
      <c r="E958" s="29"/>
      <c r="F958" s="29"/>
      <c r="G958" s="29"/>
      <c r="H958" s="29"/>
      <c r="J958" s="29"/>
      <c r="K958" s="29"/>
      <c r="L958" s="19"/>
      <c r="M958" s="19"/>
      <c r="N958" s="30"/>
      <c r="O958" s="30"/>
      <c r="P958" s="32"/>
      <c r="Q958" s="32"/>
      <c r="R958" s="32"/>
      <c r="S958" s="32"/>
      <c r="T958" s="32"/>
      <c r="U958" s="30"/>
    </row>
    <row r="959" spans="1:21">
      <c r="A959" s="29"/>
      <c r="B959" s="29"/>
      <c r="C959" s="29"/>
      <c r="D959" s="29"/>
      <c r="E959" s="29"/>
      <c r="F959" s="29"/>
      <c r="G959" s="29"/>
      <c r="H959" s="29"/>
      <c r="J959" s="29"/>
      <c r="K959" s="29"/>
      <c r="L959" s="19"/>
      <c r="M959" s="19"/>
      <c r="N959" s="30"/>
      <c r="O959" s="30"/>
      <c r="P959" s="32"/>
      <c r="Q959" s="32"/>
      <c r="R959" s="32"/>
      <c r="S959" s="32"/>
      <c r="T959" s="32"/>
      <c r="U959" s="30"/>
    </row>
    <row r="960" spans="1:21">
      <c r="A960" s="29"/>
      <c r="B960" s="29"/>
      <c r="C960" s="29"/>
      <c r="D960" s="29"/>
      <c r="E960" s="29"/>
      <c r="F960" s="29"/>
      <c r="G960" s="29"/>
      <c r="H960" s="29"/>
      <c r="J960" s="29"/>
      <c r="K960" s="29"/>
      <c r="L960" s="19"/>
      <c r="M960" s="19"/>
      <c r="N960" s="30"/>
      <c r="O960" s="30"/>
      <c r="P960" s="32"/>
      <c r="Q960" s="32"/>
      <c r="R960" s="32"/>
      <c r="S960" s="32"/>
      <c r="T960" s="32"/>
      <c r="U960" s="30"/>
    </row>
    <row r="961" spans="1:21">
      <c r="A961" s="29"/>
      <c r="B961" s="29"/>
      <c r="C961" s="29"/>
      <c r="D961" s="29"/>
      <c r="E961" s="29"/>
      <c r="F961" s="29"/>
      <c r="G961" s="29"/>
      <c r="H961" s="29"/>
      <c r="J961" s="29"/>
      <c r="K961" s="29"/>
      <c r="L961" s="19"/>
      <c r="M961" s="19"/>
      <c r="N961" s="30"/>
      <c r="O961" s="30"/>
      <c r="P961" s="32"/>
      <c r="Q961" s="32"/>
      <c r="R961" s="32"/>
      <c r="S961" s="32"/>
      <c r="T961" s="32"/>
      <c r="U961" s="30"/>
    </row>
    <row r="962" spans="1:21">
      <c r="A962" s="29"/>
      <c r="B962" s="29"/>
      <c r="C962" s="29"/>
      <c r="D962" s="29"/>
      <c r="E962" s="29"/>
      <c r="F962" s="29"/>
      <c r="G962" s="29"/>
      <c r="H962" s="29"/>
      <c r="J962" s="29"/>
      <c r="K962" s="29"/>
      <c r="L962" s="19"/>
      <c r="M962" s="19"/>
      <c r="N962" s="30"/>
      <c r="O962" s="30"/>
      <c r="P962" s="32"/>
      <c r="Q962" s="32"/>
      <c r="R962" s="32"/>
      <c r="S962" s="32"/>
      <c r="T962" s="32"/>
      <c r="U962" s="30"/>
    </row>
    <row r="963" spans="1:21">
      <c r="A963" s="29"/>
      <c r="B963" s="29"/>
      <c r="C963" s="29"/>
      <c r="D963" s="29"/>
      <c r="E963" s="29"/>
      <c r="F963" s="29"/>
      <c r="G963" s="29"/>
      <c r="H963" s="29"/>
      <c r="J963" s="29"/>
      <c r="K963" s="29"/>
      <c r="L963" s="19"/>
      <c r="M963" s="19"/>
      <c r="N963" s="30"/>
      <c r="O963" s="30"/>
      <c r="P963" s="32"/>
      <c r="Q963" s="32"/>
      <c r="R963" s="32"/>
      <c r="S963" s="32"/>
      <c r="T963" s="32"/>
      <c r="U963" s="30"/>
    </row>
    <row r="964" spans="1:21">
      <c r="A964" s="29"/>
      <c r="B964" s="29"/>
      <c r="C964" s="29"/>
      <c r="D964" s="29"/>
      <c r="E964" s="29"/>
      <c r="F964" s="29"/>
      <c r="G964" s="29"/>
      <c r="H964" s="29"/>
      <c r="J964" s="29"/>
      <c r="K964" s="29"/>
      <c r="L964" s="19"/>
      <c r="M964" s="19"/>
      <c r="N964" s="30"/>
      <c r="O964" s="30"/>
      <c r="P964" s="32"/>
      <c r="Q964" s="32"/>
      <c r="R964" s="32"/>
      <c r="S964" s="32"/>
      <c r="T964" s="32"/>
      <c r="U964" s="30"/>
    </row>
    <row r="965" spans="1:21">
      <c r="A965" s="29"/>
      <c r="B965" s="29"/>
      <c r="C965" s="29"/>
      <c r="D965" s="29"/>
      <c r="E965" s="29"/>
      <c r="F965" s="29"/>
      <c r="G965" s="29"/>
      <c r="H965" s="29"/>
      <c r="J965" s="29"/>
      <c r="K965" s="29"/>
      <c r="L965" s="19"/>
      <c r="M965" s="19"/>
      <c r="N965" s="30"/>
      <c r="O965" s="30"/>
      <c r="P965" s="32"/>
      <c r="Q965" s="32"/>
      <c r="R965" s="32"/>
      <c r="S965" s="32"/>
      <c r="T965" s="32"/>
      <c r="U965" s="30"/>
    </row>
    <row r="966" spans="1:21">
      <c r="A966" s="29"/>
      <c r="B966" s="29"/>
      <c r="C966" s="29"/>
      <c r="D966" s="29"/>
      <c r="E966" s="29"/>
      <c r="F966" s="29"/>
      <c r="G966" s="29"/>
      <c r="H966" s="29"/>
      <c r="J966" s="29"/>
      <c r="K966" s="29"/>
      <c r="L966" s="19"/>
      <c r="M966" s="19"/>
      <c r="N966" s="30"/>
      <c r="O966" s="30"/>
      <c r="P966" s="32"/>
      <c r="Q966" s="32"/>
      <c r="R966" s="32"/>
      <c r="S966" s="32"/>
      <c r="T966" s="32"/>
      <c r="U966" s="30"/>
    </row>
    <row r="967" spans="1:21">
      <c r="A967" s="29"/>
      <c r="B967" s="29"/>
      <c r="C967" s="29"/>
      <c r="D967" s="29"/>
      <c r="E967" s="29"/>
      <c r="F967" s="29"/>
      <c r="G967" s="29"/>
      <c r="H967" s="29"/>
      <c r="J967" s="29"/>
      <c r="K967" s="29"/>
      <c r="L967" s="19"/>
      <c r="M967" s="19"/>
      <c r="N967" s="30"/>
      <c r="O967" s="30"/>
      <c r="P967" s="32"/>
      <c r="Q967" s="32"/>
      <c r="R967" s="32"/>
      <c r="S967" s="32"/>
      <c r="T967" s="32"/>
      <c r="U967" s="30"/>
    </row>
    <row r="968" spans="1:21">
      <c r="A968" s="29"/>
      <c r="B968" s="29"/>
      <c r="C968" s="29"/>
      <c r="D968" s="29"/>
      <c r="E968" s="29"/>
      <c r="F968" s="29"/>
      <c r="G968" s="29"/>
      <c r="H968" s="29"/>
      <c r="J968" s="29"/>
      <c r="K968" s="29"/>
      <c r="L968" s="19"/>
      <c r="M968" s="19"/>
      <c r="N968" s="30"/>
      <c r="O968" s="30"/>
      <c r="P968" s="32"/>
      <c r="Q968" s="32"/>
      <c r="R968" s="32"/>
      <c r="S968" s="32"/>
      <c r="T968" s="32"/>
      <c r="U968" s="30"/>
    </row>
    <row r="969" spans="1:21">
      <c r="A969" s="29"/>
      <c r="B969" s="29"/>
      <c r="C969" s="29"/>
      <c r="D969" s="29"/>
      <c r="E969" s="29"/>
      <c r="F969" s="29"/>
      <c r="G969" s="29"/>
      <c r="H969" s="29"/>
      <c r="J969" s="29"/>
      <c r="K969" s="29"/>
      <c r="L969" s="19"/>
      <c r="M969" s="19"/>
      <c r="N969" s="30"/>
      <c r="O969" s="30"/>
      <c r="P969" s="32"/>
      <c r="Q969" s="32"/>
      <c r="R969" s="32"/>
      <c r="S969" s="32"/>
      <c r="T969" s="32"/>
      <c r="U969" s="30"/>
    </row>
    <row r="970" spans="1:21">
      <c r="A970" s="29"/>
      <c r="B970" s="29"/>
      <c r="C970" s="29"/>
      <c r="D970" s="29"/>
      <c r="E970" s="29"/>
      <c r="F970" s="29"/>
      <c r="G970" s="29"/>
      <c r="H970" s="29"/>
      <c r="J970" s="29"/>
      <c r="K970" s="29"/>
      <c r="L970" s="19"/>
      <c r="M970" s="19"/>
      <c r="N970" s="30"/>
      <c r="O970" s="30"/>
      <c r="P970" s="32"/>
      <c r="Q970" s="32"/>
      <c r="R970" s="32"/>
      <c r="S970" s="32"/>
      <c r="T970" s="32"/>
      <c r="U970" s="30"/>
    </row>
    <row r="971" spans="1:21">
      <c r="A971" s="29"/>
      <c r="B971" s="29"/>
      <c r="C971" s="29"/>
      <c r="D971" s="29"/>
      <c r="E971" s="29"/>
      <c r="F971" s="29"/>
      <c r="G971" s="29"/>
      <c r="H971" s="29"/>
      <c r="J971" s="29"/>
      <c r="K971" s="29"/>
      <c r="L971" s="19"/>
      <c r="M971" s="19"/>
      <c r="N971" s="30"/>
      <c r="O971" s="30"/>
      <c r="P971" s="32"/>
      <c r="Q971" s="32"/>
      <c r="R971" s="32"/>
      <c r="S971" s="32"/>
      <c r="T971" s="32"/>
      <c r="U971" s="30"/>
    </row>
    <row r="972" spans="1:21">
      <c r="A972" s="29"/>
      <c r="B972" s="29"/>
      <c r="C972" s="29"/>
      <c r="D972" s="29"/>
      <c r="E972" s="29"/>
      <c r="F972" s="29"/>
      <c r="G972" s="29"/>
      <c r="H972" s="29"/>
      <c r="J972" s="29"/>
      <c r="K972" s="29"/>
      <c r="L972" s="19"/>
      <c r="M972" s="19"/>
      <c r="N972" s="30"/>
      <c r="O972" s="30"/>
      <c r="P972" s="32"/>
      <c r="Q972" s="32"/>
      <c r="R972" s="32"/>
      <c r="S972" s="32"/>
      <c r="T972" s="32"/>
      <c r="U972" s="30"/>
    </row>
    <row r="973" spans="1:21">
      <c r="A973" s="29"/>
      <c r="B973" s="29"/>
      <c r="C973" s="29"/>
      <c r="D973" s="29"/>
      <c r="E973" s="29"/>
      <c r="F973" s="29"/>
      <c r="G973" s="29"/>
      <c r="H973" s="29"/>
      <c r="J973" s="29"/>
      <c r="K973" s="29"/>
      <c r="L973" s="19"/>
      <c r="M973" s="19"/>
      <c r="N973" s="30"/>
      <c r="O973" s="30"/>
      <c r="P973" s="32"/>
      <c r="Q973" s="32"/>
      <c r="R973" s="32"/>
      <c r="S973" s="32"/>
      <c r="T973" s="32"/>
      <c r="U973" s="30"/>
    </row>
    <row r="974" spans="1:21">
      <c r="A974" s="29"/>
      <c r="B974" s="29"/>
      <c r="C974" s="29"/>
      <c r="D974" s="29"/>
      <c r="E974" s="29"/>
      <c r="F974" s="29"/>
      <c r="G974" s="29"/>
      <c r="H974" s="29"/>
      <c r="J974" s="29"/>
      <c r="K974" s="29"/>
      <c r="L974" s="19"/>
      <c r="M974" s="19"/>
      <c r="N974" s="30"/>
      <c r="O974" s="30"/>
      <c r="P974" s="32"/>
      <c r="Q974" s="32"/>
      <c r="R974" s="32"/>
      <c r="S974" s="32"/>
      <c r="T974" s="32"/>
      <c r="U974" s="30"/>
    </row>
    <row r="975" spans="1:21">
      <c r="A975" s="29"/>
      <c r="B975" s="29"/>
      <c r="C975" s="29"/>
      <c r="D975" s="29"/>
      <c r="E975" s="29"/>
      <c r="F975" s="29"/>
      <c r="G975" s="29"/>
      <c r="H975" s="29"/>
      <c r="J975" s="29"/>
      <c r="K975" s="29"/>
      <c r="L975" s="19"/>
      <c r="M975" s="19"/>
      <c r="N975" s="30"/>
      <c r="O975" s="30"/>
      <c r="P975" s="32"/>
      <c r="Q975" s="32"/>
      <c r="R975" s="32"/>
      <c r="S975" s="32"/>
      <c r="T975" s="32"/>
      <c r="U975" s="30"/>
    </row>
    <row r="976" spans="1:21">
      <c r="A976" s="29"/>
      <c r="B976" s="29"/>
      <c r="C976" s="29"/>
      <c r="D976" s="29"/>
      <c r="E976" s="29"/>
      <c r="F976" s="29"/>
      <c r="G976" s="29"/>
      <c r="H976" s="29"/>
      <c r="J976" s="29"/>
      <c r="K976" s="29"/>
      <c r="L976" s="19"/>
      <c r="M976" s="19"/>
      <c r="N976" s="30"/>
      <c r="O976" s="30"/>
      <c r="P976" s="32"/>
      <c r="Q976" s="32"/>
      <c r="R976" s="32"/>
      <c r="S976" s="32"/>
      <c r="T976" s="32"/>
      <c r="U976" s="30"/>
    </row>
    <row r="977" spans="1:21">
      <c r="A977" s="29"/>
      <c r="B977" s="29"/>
      <c r="C977" s="29"/>
      <c r="D977" s="29"/>
      <c r="E977" s="29"/>
      <c r="F977" s="29"/>
      <c r="G977" s="29"/>
      <c r="H977" s="29"/>
      <c r="J977" s="29"/>
      <c r="K977" s="29"/>
      <c r="L977" s="19"/>
      <c r="M977" s="19"/>
      <c r="N977" s="30"/>
      <c r="O977" s="30"/>
      <c r="P977" s="32"/>
      <c r="Q977" s="32"/>
      <c r="R977" s="32"/>
      <c r="S977" s="32"/>
      <c r="T977" s="32"/>
      <c r="U977" s="30"/>
    </row>
    <row r="978" spans="1:21">
      <c r="A978" s="29"/>
      <c r="B978" s="29"/>
      <c r="C978" s="29"/>
      <c r="D978" s="29"/>
      <c r="E978" s="29"/>
      <c r="F978" s="29"/>
      <c r="G978" s="29"/>
      <c r="H978" s="29"/>
      <c r="J978" s="29"/>
      <c r="K978" s="29"/>
      <c r="L978" s="19"/>
      <c r="M978" s="19"/>
      <c r="N978" s="30"/>
      <c r="O978" s="30"/>
      <c r="P978" s="32"/>
      <c r="Q978" s="32"/>
      <c r="R978" s="32"/>
      <c r="S978" s="32"/>
      <c r="T978" s="32"/>
      <c r="U978" s="30"/>
    </row>
    <row r="979" spans="1:21">
      <c r="A979" s="29"/>
      <c r="B979" s="29"/>
      <c r="C979" s="29"/>
      <c r="D979" s="29"/>
      <c r="E979" s="29"/>
      <c r="F979" s="29"/>
      <c r="G979" s="29"/>
      <c r="H979" s="29"/>
      <c r="J979" s="29"/>
      <c r="K979" s="29"/>
      <c r="L979" s="19"/>
      <c r="M979" s="19"/>
      <c r="N979" s="30"/>
      <c r="O979" s="30"/>
      <c r="P979" s="32"/>
      <c r="Q979" s="32"/>
      <c r="R979" s="32"/>
      <c r="S979" s="32"/>
      <c r="T979" s="32"/>
      <c r="U979" s="30"/>
    </row>
    <row r="980" spans="1:21">
      <c r="A980" s="29"/>
      <c r="B980" s="29"/>
      <c r="C980" s="29"/>
      <c r="D980" s="29"/>
      <c r="E980" s="29"/>
      <c r="F980" s="29"/>
      <c r="G980" s="29"/>
      <c r="H980" s="29"/>
      <c r="J980" s="29"/>
      <c r="K980" s="29"/>
      <c r="L980" s="19"/>
      <c r="M980" s="19"/>
      <c r="N980" s="30"/>
      <c r="O980" s="30"/>
      <c r="P980" s="32"/>
      <c r="Q980" s="32"/>
      <c r="R980" s="32"/>
      <c r="S980" s="32"/>
      <c r="T980" s="32"/>
      <c r="U980" s="30"/>
    </row>
    <row r="981" spans="1:21">
      <c r="A981" s="29"/>
      <c r="B981" s="29"/>
      <c r="C981" s="29"/>
      <c r="D981" s="29"/>
      <c r="E981" s="29"/>
      <c r="F981" s="29"/>
      <c r="G981" s="29"/>
      <c r="H981" s="29"/>
      <c r="J981" s="29"/>
      <c r="K981" s="29"/>
      <c r="L981" s="19"/>
      <c r="M981" s="19"/>
      <c r="N981" s="30"/>
      <c r="O981" s="30"/>
      <c r="P981" s="32"/>
      <c r="Q981" s="32"/>
      <c r="R981" s="32"/>
      <c r="S981" s="32"/>
      <c r="T981" s="32"/>
      <c r="U981" s="30"/>
    </row>
    <row r="982" spans="1:21">
      <c r="A982" s="29"/>
      <c r="B982" s="29"/>
      <c r="C982" s="29"/>
      <c r="D982" s="29"/>
      <c r="E982" s="29"/>
      <c r="F982" s="29"/>
      <c r="G982" s="29"/>
      <c r="H982" s="29"/>
      <c r="J982" s="29"/>
      <c r="K982" s="29"/>
      <c r="L982" s="19"/>
      <c r="M982" s="19"/>
      <c r="N982" s="30"/>
      <c r="O982" s="30"/>
      <c r="P982" s="32"/>
      <c r="Q982" s="32"/>
      <c r="R982" s="32"/>
      <c r="S982" s="32"/>
      <c r="T982" s="32"/>
      <c r="U982" s="30"/>
    </row>
    <row r="983" spans="1:21">
      <c r="A983" s="29"/>
      <c r="B983" s="29"/>
      <c r="C983" s="29"/>
      <c r="D983" s="29"/>
      <c r="E983" s="29"/>
      <c r="F983" s="29"/>
      <c r="G983" s="29"/>
      <c r="H983" s="29"/>
      <c r="J983" s="29"/>
      <c r="K983" s="29"/>
      <c r="L983" s="19"/>
      <c r="M983" s="19"/>
      <c r="N983" s="30"/>
      <c r="O983" s="30"/>
      <c r="P983" s="32"/>
      <c r="Q983" s="32"/>
      <c r="R983" s="32"/>
      <c r="S983" s="32"/>
      <c r="T983" s="32"/>
      <c r="U983" s="30"/>
    </row>
    <row r="984" spans="1:21">
      <c r="A984" s="29"/>
      <c r="B984" s="29"/>
      <c r="C984" s="29"/>
      <c r="D984" s="29"/>
      <c r="E984" s="29"/>
      <c r="F984" s="29"/>
      <c r="G984" s="29"/>
      <c r="H984" s="29"/>
      <c r="J984" s="29"/>
      <c r="K984" s="29"/>
      <c r="L984" s="19"/>
      <c r="M984" s="19"/>
      <c r="N984" s="30"/>
      <c r="O984" s="30"/>
      <c r="P984" s="32"/>
      <c r="Q984" s="32"/>
      <c r="R984" s="32"/>
      <c r="S984" s="32"/>
      <c r="T984" s="32"/>
      <c r="U984" s="30"/>
    </row>
    <row r="985" spans="1:21">
      <c r="A985" s="29"/>
      <c r="B985" s="29"/>
      <c r="C985" s="29"/>
      <c r="D985" s="29"/>
      <c r="E985" s="29"/>
      <c r="F985" s="29"/>
      <c r="G985" s="29"/>
      <c r="H985" s="29"/>
      <c r="J985" s="29"/>
      <c r="K985" s="29"/>
      <c r="L985" s="19"/>
      <c r="M985" s="19"/>
      <c r="N985" s="30"/>
      <c r="O985" s="30"/>
      <c r="P985" s="32"/>
      <c r="Q985" s="32"/>
      <c r="R985" s="32"/>
      <c r="S985" s="32"/>
      <c r="T985" s="32"/>
      <c r="U985" s="30"/>
    </row>
    <row r="986" spans="1:21">
      <c r="A986" s="29"/>
      <c r="B986" s="29"/>
      <c r="C986" s="29"/>
      <c r="D986" s="29"/>
      <c r="E986" s="29"/>
      <c r="F986" s="29"/>
      <c r="G986" s="29"/>
      <c r="H986" s="29"/>
      <c r="J986" s="29"/>
      <c r="K986" s="29"/>
      <c r="L986" s="19"/>
      <c r="M986" s="19"/>
      <c r="N986" s="30"/>
      <c r="O986" s="30"/>
      <c r="P986" s="32"/>
      <c r="Q986" s="32"/>
      <c r="R986" s="32"/>
      <c r="S986" s="32"/>
      <c r="T986" s="32"/>
      <c r="U986" s="30"/>
    </row>
    <row r="987" spans="1:21">
      <c r="A987" s="29"/>
      <c r="B987" s="29"/>
      <c r="C987" s="29"/>
      <c r="D987" s="29"/>
      <c r="E987" s="29"/>
      <c r="F987" s="29"/>
      <c r="G987" s="29"/>
      <c r="H987" s="29"/>
      <c r="J987" s="29"/>
      <c r="K987" s="29"/>
      <c r="L987" s="19"/>
      <c r="M987" s="19"/>
      <c r="N987" s="30"/>
      <c r="O987" s="30"/>
      <c r="P987" s="32"/>
      <c r="Q987" s="32"/>
      <c r="R987" s="32"/>
      <c r="S987" s="32"/>
      <c r="T987" s="32"/>
      <c r="U987" s="30"/>
    </row>
    <row r="988" spans="1:21">
      <c r="A988" s="29"/>
      <c r="B988" s="29"/>
      <c r="C988" s="29"/>
      <c r="D988" s="29"/>
      <c r="E988" s="29"/>
      <c r="F988" s="29"/>
      <c r="G988" s="29"/>
      <c r="H988" s="29"/>
      <c r="J988" s="29"/>
      <c r="K988" s="29"/>
      <c r="L988" s="19"/>
      <c r="M988" s="19"/>
      <c r="N988" s="30"/>
      <c r="O988" s="30"/>
      <c r="P988" s="32"/>
      <c r="Q988" s="32"/>
      <c r="R988" s="32"/>
      <c r="S988" s="32"/>
      <c r="T988" s="32"/>
      <c r="U988" s="30"/>
    </row>
    <row r="989" spans="1:21">
      <c r="A989" s="29"/>
      <c r="B989" s="29"/>
      <c r="C989" s="29"/>
      <c r="D989" s="29"/>
      <c r="E989" s="29"/>
      <c r="F989" s="29"/>
      <c r="G989" s="29"/>
      <c r="H989" s="29"/>
      <c r="J989" s="29"/>
      <c r="K989" s="29"/>
      <c r="L989" s="19"/>
      <c r="M989" s="19"/>
      <c r="N989" s="30"/>
      <c r="O989" s="30"/>
      <c r="P989" s="32"/>
      <c r="Q989" s="32"/>
      <c r="R989" s="32"/>
      <c r="S989" s="32"/>
      <c r="T989" s="32"/>
      <c r="U989" s="30"/>
    </row>
    <row r="990" spans="1:21">
      <c r="A990" s="29"/>
      <c r="B990" s="29"/>
      <c r="C990" s="29"/>
      <c r="D990" s="29"/>
      <c r="E990" s="29"/>
      <c r="F990" s="29"/>
      <c r="G990" s="29"/>
      <c r="H990" s="29"/>
      <c r="J990" s="29"/>
      <c r="K990" s="29"/>
      <c r="L990" s="19"/>
      <c r="M990" s="19"/>
      <c r="N990" s="30"/>
      <c r="O990" s="30"/>
      <c r="P990" s="32"/>
      <c r="Q990" s="32"/>
      <c r="R990" s="32"/>
      <c r="S990" s="32"/>
      <c r="T990" s="32"/>
      <c r="U990" s="30"/>
    </row>
    <row r="991" spans="1:21">
      <c r="A991" s="29"/>
      <c r="B991" s="29"/>
      <c r="C991" s="29"/>
      <c r="D991" s="29"/>
      <c r="E991" s="29"/>
      <c r="F991" s="29"/>
      <c r="G991" s="29"/>
      <c r="H991" s="29"/>
      <c r="J991" s="29"/>
      <c r="K991" s="29"/>
      <c r="L991" s="19"/>
      <c r="M991" s="19"/>
      <c r="N991" s="30"/>
      <c r="O991" s="30"/>
      <c r="P991" s="32"/>
      <c r="Q991" s="32"/>
      <c r="R991" s="32"/>
      <c r="S991" s="32"/>
      <c r="T991" s="32"/>
      <c r="U991" s="30"/>
    </row>
    <row r="992" spans="1:21">
      <c r="A992" s="29"/>
      <c r="B992" s="29"/>
      <c r="C992" s="29"/>
      <c r="D992" s="29"/>
      <c r="E992" s="29"/>
      <c r="F992" s="29"/>
      <c r="G992" s="29"/>
      <c r="H992" s="29"/>
      <c r="J992" s="29"/>
      <c r="K992" s="29"/>
      <c r="L992" s="19"/>
      <c r="M992" s="19"/>
      <c r="N992" s="30"/>
      <c r="O992" s="30"/>
      <c r="P992" s="32"/>
      <c r="Q992" s="32"/>
      <c r="R992" s="32"/>
      <c r="S992" s="32"/>
      <c r="T992" s="32"/>
      <c r="U992" s="30"/>
    </row>
    <row r="993" spans="1:21">
      <c r="A993" s="29"/>
      <c r="B993" s="29"/>
      <c r="C993" s="29"/>
      <c r="D993" s="29"/>
      <c r="E993" s="29"/>
      <c r="F993" s="29"/>
      <c r="G993" s="29"/>
      <c r="H993" s="29"/>
      <c r="J993" s="29"/>
      <c r="K993" s="29"/>
      <c r="L993" s="19"/>
      <c r="M993" s="19"/>
      <c r="N993" s="30"/>
      <c r="O993" s="30"/>
      <c r="P993" s="32"/>
      <c r="Q993" s="32"/>
      <c r="R993" s="32"/>
      <c r="S993" s="32"/>
      <c r="T993" s="32"/>
      <c r="U993" s="30"/>
    </row>
    <row r="994" spans="1:21">
      <c r="A994" s="29"/>
      <c r="B994" s="29"/>
      <c r="C994" s="29"/>
      <c r="D994" s="29"/>
      <c r="E994" s="29"/>
      <c r="F994" s="29"/>
      <c r="G994" s="29"/>
      <c r="H994" s="29"/>
      <c r="J994" s="29"/>
      <c r="K994" s="29"/>
      <c r="L994" s="19"/>
      <c r="M994" s="19"/>
      <c r="N994" s="30"/>
      <c r="O994" s="30"/>
      <c r="P994" s="32"/>
      <c r="Q994" s="32"/>
      <c r="R994" s="32"/>
      <c r="S994" s="32"/>
      <c r="T994" s="32"/>
      <c r="U994" s="30"/>
    </row>
    <row r="995" spans="1:21">
      <c r="A995" s="29"/>
      <c r="B995" s="29"/>
      <c r="C995" s="29"/>
      <c r="D995" s="29"/>
      <c r="E995" s="29"/>
      <c r="F995" s="29"/>
      <c r="G995" s="29"/>
      <c r="H995" s="29"/>
      <c r="J995" s="29"/>
      <c r="K995" s="29"/>
      <c r="L995" s="19"/>
      <c r="M995" s="19"/>
      <c r="N995" s="30"/>
      <c r="O995" s="30"/>
      <c r="P995" s="32"/>
      <c r="Q995" s="32"/>
      <c r="R995" s="32"/>
      <c r="S995" s="32"/>
      <c r="T995" s="32"/>
      <c r="U995" s="30"/>
    </row>
    <row r="996" spans="1:21">
      <c r="A996" s="29"/>
      <c r="B996" s="29"/>
      <c r="C996" s="29"/>
      <c r="D996" s="29"/>
      <c r="E996" s="29"/>
      <c r="F996" s="29"/>
      <c r="G996" s="29"/>
      <c r="H996" s="29"/>
      <c r="J996" s="29"/>
      <c r="K996" s="29"/>
      <c r="L996" s="19"/>
      <c r="M996" s="19"/>
      <c r="N996" s="30"/>
      <c r="O996" s="30"/>
      <c r="P996" s="32"/>
      <c r="Q996" s="32"/>
      <c r="R996" s="32"/>
      <c r="S996" s="32"/>
      <c r="T996" s="32"/>
      <c r="U996" s="30"/>
    </row>
    <row r="997" spans="1:21">
      <c r="A997" s="29"/>
      <c r="B997" s="29"/>
      <c r="C997" s="29"/>
      <c r="D997" s="29"/>
      <c r="E997" s="29"/>
      <c r="F997" s="29"/>
      <c r="G997" s="29"/>
      <c r="H997" s="29"/>
      <c r="J997" s="29"/>
      <c r="K997" s="29"/>
      <c r="L997" s="19"/>
      <c r="M997" s="19"/>
      <c r="N997" s="30"/>
      <c r="O997" s="30"/>
      <c r="P997" s="32"/>
      <c r="Q997" s="32"/>
      <c r="R997" s="32"/>
      <c r="S997" s="32"/>
      <c r="T997" s="32"/>
      <c r="U997" s="30"/>
    </row>
    <row r="998" spans="1:21">
      <c r="A998" s="29"/>
      <c r="B998" s="29"/>
      <c r="C998" s="29"/>
      <c r="D998" s="29"/>
      <c r="E998" s="29"/>
      <c r="F998" s="29"/>
      <c r="G998" s="29"/>
      <c r="H998" s="29"/>
      <c r="J998" s="29"/>
      <c r="K998" s="29"/>
      <c r="L998" s="19"/>
      <c r="M998" s="19"/>
      <c r="N998" s="30"/>
      <c r="O998" s="30"/>
      <c r="P998" s="32"/>
      <c r="Q998" s="32"/>
      <c r="R998" s="32"/>
      <c r="S998" s="32"/>
      <c r="T998" s="32"/>
      <c r="U998" s="30"/>
    </row>
    <row r="999" spans="1:21">
      <c r="A999" s="29"/>
      <c r="B999" s="29"/>
      <c r="C999" s="29"/>
      <c r="D999" s="29"/>
      <c r="E999" s="29"/>
      <c r="F999" s="29"/>
      <c r="G999" s="29"/>
      <c r="H999" s="29"/>
      <c r="J999" s="29"/>
      <c r="K999" s="29"/>
      <c r="L999" s="19"/>
      <c r="M999" s="19"/>
      <c r="N999" s="30"/>
      <c r="O999" s="30"/>
      <c r="P999" s="32"/>
      <c r="Q999" s="32"/>
      <c r="R999" s="32"/>
      <c r="S999" s="32"/>
      <c r="T999" s="32"/>
      <c r="U999" s="30"/>
    </row>
    <row r="1000" spans="1:21">
      <c r="A1000" s="29"/>
      <c r="B1000" s="29"/>
      <c r="C1000" s="29"/>
      <c r="D1000" s="29"/>
      <c r="E1000" s="29"/>
      <c r="F1000" s="29"/>
      <c r="G1000" s="29"/>
      <c r="H1000" s="29"/>
      <c r="J1000" s="29"/>
      <c r="K1000" s="29"/>
      <c r="L1000" s="19"/>
      <c r="M1000" s="19"/>
      <c r="N1000" s="30"/>
      <c r="O1000" s="30"/>
      <c r="P1000" s="32"/>
      <c r="Q1000" s="32"/>
      <c r="R1000" s="32"/>
      <c r="S1000" s="32"/>
      <c r="T1000" s="32"/>
      <c r="U1000" s="30"/>
    </row>
    <row r="1001" spans="1:21">
      <c r="A1001" s="29"/>
      <c r="B1001" s="29"/>
      <c r="C1001" s="29"/>
      <c r="D1001" s="29"/>
      <c r="E1001" s="29"/>
      <c r="F1001" s="29"/>
      <c r="G1001" s="29"/>
      <c r="H1001" s="29"/>
      <c r="J1001" s="29"/>
      <c r="K1001" s="29"/>
      <c r="L1001" s="19"/>
      <c r="M1001" s="19"/>
      <c r="N1001" s="30"/>
      <c r="O1001" s="30"/>
      <c r="P1001" s="32"/>
      <c r="Q1001" s="32"/>
      <c r="R1001" s="32"/>
      <c r="S1001" s="32"/>
      <c r="T1001" s="32"/>
      <c r="U1001" s="30"/>
    </row>
    <row r="1002" spans="1:21">
      <c r="A1002" s="29"/>
      <c r="B1002" s="29"/>
      <c r="C1002" s="29"/>
      <c r="D1002" s="29"/>
      <c r="E1002" s="29"/>
      <c r="F1002" s="29"/>
      <c r="G1002" s="29"/>
      <c r="H1002" s="29"/>
      <c r="J1002" s="29"/>
      <c r="K1002" s="29"/>
      <c r="L1002" s="19"/>
      <c r="M1002" s="19"/>
      <c r="N1002" s="30"/>
      <c r="O1002" s="30"/>
      <c r="P1002" s="32"/>
      <c r="Q1002" s="32"/>
      <c r="R1002" s="32"/>
      <c r="S1002" s="32"/>
      <c r="T1002" s="32"/>
      <c r="U1002" s="30"/>
    </row>
    <row r="1003" spans="1:21">
      <c r="A1003" s="29"/>
      <c r="B1003" s="29"/>
      <c r="C1003" s="29"/>
      <c r="D1003" s="29"/>
      <c r="E1003" s="29"/>
      <c r="F1003" s="29"/>
      <c r="G1003" s="29"/>
      <c r="H1003" s="29"/>
      <c r="J1003" s="29"/>
      <c r="K1003" s="29"/>
      <c r="L1003" s="19"/>
      <c r="M1003" s="19"/>
      <c r="N1003" s="30"/>
      <c r="O1003" s="30"/>
      <c r="P1003" s="32"/>
      <c r="Q1003" s="32"/>
      <c r="R1003" s="32"/>
      <c r="S1003" s="32"/>
      <c r="T1003" s="32"/>
      <c r="U1003" s="30"/>
    </row>
    <row r="1004" spans="1:21">
      <c r="A1004" s="29"/>
      <c r="B1004" s="29"/>
      <c r="C1004" s="29"/>
      <c r="D1004" s="29"/>
      <c r="E1004" s="29"/>
      <c r="F1004" s="29"/>
      <c r="G1004" s="29"/>
      <c r="H1004" s="29"/>
      <c r="J1004" s="29"/>
      <c r="K1004" s="29"/>
      <c r="L1004" s="19"/>
      <c r="M1004" s="19"/>
      <c r="N1004" s="30"/>
      <c r="O1004" s="30"/>
      <c r="P1004" s="32"/>
      <c r="Q1004" s="32"/>
      <c r="R1004" s="32"/>
      <c r="S1004" s="32"/>
      <c r="T1004" s="32"/>
      <c r="U1004" s="30"/>
    </row>
    <row r="1005" spans="1:21">
      <c r="A1005" s="29"/>
      <c r="B1005" s="29"/>
      <c r="C1005" s="29"/>
      <c r="D1005" s="29"/>
      <c r="E1005" s="29"/>
      <c r="F1005" s="29"/>
      <c r="G1005" s="29"/>
      <c r="H1005" s="29"/>
      <c r="J1005" s="29"/>
      <c r="K1005" s="29"/>
      <c r="L1005" s="19"/>
      <c r="M1005" s="19"/>
      <c r="N1005" s="30"/>
      <c r="O1005" s="30"/>
      <c r="P1005" s="32"/>
      <c r="Q1005" s="32"/>
      <c r="R1005" s="32"/>
      <c r="S1005" s="32"/>
      <c r="T1005" s="32"/>
      <c r="U1005" s="30"/>
    </row>
    <row r="1006" spans="1:21">
      <c r="A1006" s="29"/>
      <c r="B1006" s="29"/>
      <c r="C1006" s="29"/>
      <c r="D1006" s="29"/>
      <c r="E1006" s="29"/>
      <c r="F1006" s="29"/>
      <c r="G1006" s="29"/>
      <c r="H1006" s="29"/>
      <c r="J1006" s="29"/>
      <c r="K1006" s="29"/>
      <c r="L1006" s="19"/>
      <c r="M1006" s="19"/>
      <c r="N1006" s="30"/>
      <c r="O1006" s="30"/>
      <c r="P1006" s="32"/>
      <c r="Q1006" s="32"/>
      <c r="R1006" s="32"/>
      <c r="S1006" s="32"/>
      <c r="T1006" s="32"/>
      <c r="U1006" s="30"/>
    </row>
    <row r="1007" spans="1:21">
      <c r="A1007" s="29"/>
      <c r="B1007" s="29"/>
      <c r="C1007" s="29"/>
      <c r="D1007" s="29"/>
      <c r="E1007" s="29"/>
      <c r="F1007" s="29"/>
      <c r="G1007" s="29"/>
      <c r="H1007" s="29"/>
      <c r="J1007" s="29"/>
      <c r="K1007" s="29"/>
      <c r="L1007" s="19"/>
      <c r="M1007" s="19"/>
      <c r="N1007" s="30"/>
      <c r="O1007" s="30"/>
      <c r="P1007" s="32"/>
      <c r="Q1007" s="32"/>
      <c r="R1007" s="32"/>
      <c r="S1007" s="32"/>
      <c r="T1007" s="32"/>
      <c r="U1007" s="30"/>
    </row>
    <row r="1008" spans="1:21">
      <c r="A1008" s="29"/>
      <c r="B1008" s="29"/>
      <c r="C1008" s="29"/>
      <c r="D1008" s="29"/>
      <c r="E1008" s="29"/>
      <c r="F1008" s="29"/>
      <c r="G1008" s="29"/>
      <c r="H1008" s="29"/>
      <c r="J1008" s="29"/>
      <c r="K1008" s="29"/>
      <c r="L1008" s="19"/>
      <c r="M1008" s="19"/>
      <c r="N1008" s="30"/>
      <c r="O1008" s="30"/>
      <c r="P1008" s="32"/>
      <c r="Q1008" s="32"/>
      <c r="R1008" s="32"/>
      <c r="S1008" s="32"/>
      <c r="T1008" s="32"/>
      <c r="U1008" s="30"/>
    </row>
    <row r="1009" spans="1:21">
      <c r="A1009" s="29"/>
      <c r="B1009" s="29"/>
      <c r="C1009" s="29"/>
      <c r="D1009" s="29"/>
      <c r="E1009" s="29"/>
      <c r="F1009" s="29"/>
      <c r="G1009" s="29"/>
      <c r="H1009" s="29"/>
      <c r="J1009" s="29"/>
      <c r="K1009" s="29"/>
      <c r="L1009" s="19"/>
      <c r="M1009" s="19"/>
      <c r="N1009" s="30"/>
      <c r="O1009" s="30"/>
      <c r="P1009" s="32"/>
      <c r="Q1009" s="32"/>
      <c r="R1009" s="32"/>
      <c r="S1009" s="32"/>
      <c r="T1009" s="32"/>
      <c r="U1009" s="30"/>
    </row>
    <row r="1010" spans="1:21">
      <c r="A1010" s="29"/>
      <c r="B1010" s="29"/>
      <c r="C1010" s="29"/>
      <c r="D1010" s="29"/>
      <c r="E1010" s="29"/>
      <c r="F1010" s="29"/>
      <c r="G1010" s="29"/>
      <c r="H1010" s="29"/>
      <c r="J1010" s="29"/>
      <c r="K1010" s="29"/>
      <c r="L1010" s="19"/>
      <c r="M1010" s="19"/>
      <c r="N1010" s="30"/>
      <c r="O1010" s="30"/>
      <c r="P1010" s="32"/>
      <c r="Q1010" s="32"/>
      <c r="R1010" s="32"/>
      <c r="S1010" s="32"/>
      <c r="T1010" s="32"/>
      <c r="U1010" s="30"/>
    </row>
    <row r="1011" spans="1:21">
      <c r="A1011" s="29"/>
      <c r="B1011" s="29"/>
      <c r="C1011" s="29"/>
      <c r="D1011" s="29"/>
      <c r="E1011" s="29"/>
      <c r="F1011" s="29"/>
      <c r="G1011" s="29"/>
      <c r="H1011" s="29"/>
      <c r="J1011" s="29"/>
      <c r="K1011" s="29"/>
      <c r="L1011" s="19"/>
      <c r="M1011" s="19"/>
      <c r="N1011" s="30"/>
      <c r="O1011" s="30"/>
      <c r="P1011" s="32"/>
      <c r="Q1011" s="32"/>
      <c r="R1011" s="32"/>
      <c r="S1011" s="32"/>
      <c r="T1011" s="32"/>
      <c r="U1011" s="30"/>
    </row>
    <row r="1012" spans="1:21">
      <c r="A1012" s="29"/>
      <c r="B1012" s="29"/>
      <c r="C1012" s="29"/>
      <c r="D1012" s="29"/>
      <c r="E1012" s="29"/>
      <c r="F1012" s="29"/>
      <c r="G1012" s="29"/>
      <c r="H1012" s="29"/>
      <c r="J1012" s="29"/>
      <c r="K1012" s="29"/>
      <c r="L1012" s="19"/>
      <c r="M1012" s="19"/>
      <c r="N1012" s="30"/>
      <c r="O1012" s="30"/>
      <c r="P1012" s="32"/>
      <c r="Q1012" s="32"/>
      <c r="R1012" s="32"/>
      <c r="S1012" s="32"/>
      <c r="T1012" s="32"/>
      <c r="U1012" s="30"/>
    </row>
    <row r="1013" spans="1:21">
      <c r="A1013" s="29"/>
      <c r="B1013" s="29"/>
      <c r="C1013" s="29"/>
      <c r="D1013" s="29"/>
      <c r="E1013" s="29"/>
      <c r="F1013" s="29"/>
      <c r="G1013" s="29"/>
      <c r="H1013" s="29"/>
      <c r="J1013" s="29"/>
      <c r="K1013" s="29"/>
      <c r="L1013" s="19"/>
      <c r="M1013" s="19"/>
      <c r="N1013" s="30"/>
      <c r="O1013" s="30"/>
      <c r="P1013" s="32"/>
      <c r="Q1013" s="32"/>
      <c r="R1013" s="32"/>
      <c r="S1013" s="32"/>
      <c r="T1013" s="32"/>
      <c r="U1013" s="30"/>
    </row>
    <row r="1014" spans="1:21">
      <c r="A1014" s="29"/>
      <c r="B1014" s="29"/>
      <c r="C1014" s="29"/>
      <c r="D1014" s="29"/>
      <c r="E1014" s="29"/>
      <c r="F1014" s="29"/>
      <c r="G1014" s="29"/>
      <c r="H1014" s="29"/>
      <c r="J1014" s="29"/>
      <c r="K1014" s="29"/>
      <c r="L1014" s="19"/>
      <c r="M1014" s="19"/>
      <c r="N1014" s="30"/>
      <c r="O1014" s="30"/>
      <c r="P1014" s="32"/>
      <c r="Q1014" s="32"/>
      <c r="R1014" s="32"/>
      <c r="S1014" s="32"/>
      <c r="T1014" s="32"/>
      <c r="U1014" s="30"/>
    </row>
    <row r="1015" spans="1:21">
      <c r="A1015" s="29"/>
      <c r="B1015" s="29"/>
      <c r="C1015" s="29"/>
      <c r="D1015" s="29"/>
      <c r="E1015" s="29"/>
      <c r="F1015" s="29"/>
      <c r="G1015" s="29"/>
      <c r="H1015" s="29"/>
      <c r="J1015" s="29"/>
      <c r="K1015" s="29"/>
      <c r="L1015" s="19"/>
      <c r="M1015" s="19"/>
      <c r="N1015" s="30"/>
      <c r="O1015" s="30"/>
      <c r="P1015" s="32"/>
      <c r="Q1015" s="32"/>
      <c r="R1015" s="32"/>
      <c r="S1015" s="32"/>
      <c r="T1015" s="32"/>
      <c r="U1015" s="30"/>
    </row>
    <row r="1016" spans="1:21">
      <c r="A1016" s="29"/>
      <c r="B1016" s="29"/>
      <c r="C1016" s="29"/>
      <c r="D1016" s="29"/>
      <c r="E1016" s="29"/>
      <c r="F1016" s="29"/>
      <c r="G1016" s="29"/>
      <c r="H1016" s="29"/>
      <c r="J1016" s="29"/>
      <c r="K1016" s="29"/>
      <c r="L1016" s="19"/>
      <c r="M1016" s="19"/>
      <c r="N1016" s="30"/>
      <c r="O1016" s="30"/>
      <c r="P1016" s="32"/>
      <c r="Q1016" s="32"/>
      <c r="R1016" s="32"/>
      <c r="S1016" s="32"/>
      <c r="T1016" s="32"/>
      <c r="U1016" s="30"/>
    </row>
    <row r="1017" spans="1:21">
      <c r="A1017" s="29"/>
      <c r="B1017" s="29"/>
      <c r="C1017" s="29"/>
      <c r="D1017" s="29"/>
      <c r="E1017" s="29"/>
      <c r="F1017" s="29"/>
      <c r="G1017" s="29"/>
      <c r="H1017" s="29"/>
      <c r="J1017" s="29"/>
      <c r="K1017" s="29"/>
      <c r="L1017" s="19"/>
      <c r="M1017" s="19"/>
      <c r="N1017" s="30"/>
      <c r="O1017" s="30"/>
      <c r="P1017" s="32"/>
      <c r="Q1017" s="32"/>
      <c r="R1017" s="32"/>
      <c r="S1017" s="32"/>
      <c r="T1017" s="32"/>
      <c r="U1017" s="30"/>
    </row>
    <row r="1018" spans="1:21">
      <c r="A1018" s="29"/>
      <c r="B1018" s="29"/>
      <c r="C1018" s="29"/>
      <c r="D1018" s="29"/>
      <c r="E1018" s="29"/>
      <c r="F1018" s="29"/>
      <c r="G1018" s="29"/>
      <c r="H1018" s="29"/>
      <c r="J1018" s="29"/>
      <c r="K1018" s="29"/>
      <c r="L1018" s="19"/>
      <c r="M1018" s="19"/>
      <c r="N1018" s="30"/>
      <c r="O1018" s="30"/>
      <c r="P1018" s="32"/>
      <c r="Q1018" s="32"/>
      <c r="R1018" s="32"/>
      <c r="S1018" s="32"/>
      <c r="T1018" s="32"/>
      <c r="U1018" s="30"/>
    </row>
    <row r="1019" spans="1:21">
      <c r="A1019" s="29"/>
      <c r="B1019" s="29"/>
      <c r="C1019" s="29"/>
      <c r="D1019" s="29"/>
      <c r="E1019" s="29"/>
      <c r="F1019" s="29"/>
      <c r="G1019" s="29"/>
      <c r="H1019" s="29"/>
      <c r="J1019" s="29"/>
      <c r="K1019" s="29"/>
      <c r="L1019" s="19"/>
      <c r="M1019" s="19"/>
      <c r="N1019" s="30"/>
      <c r="O1019" s="30"/>
      <c r="P1019" s="32"/>
      <c r="Q1019" s="32"/>
      <c r="R1019" s="32"/>
      <c r="S1019" s="32"/>
      <c r="T1019" s="32"/>
      <c r="U1019" s="30"/>
    </row>
    <row r="1020" spans="1:21">
      <c r="A1020" s="29"/>
      <c r="B1020" s="29"/>
      <c r="C1020" s="29"/>
      <c r="D1020" s="29"/>
      <c r="E1020" s="29"/>
      <c r="F1020" s="29"/>
      <c r="G1020" s="29"/>
      <c r="H1020" s="29"/>
      <c r="J1020" s="29"/>
      <c r="K1020" s="29"/>
      <c r="L1020" s="19"/>
      <c r="M1020" s="19"/>
      <c r="N1020" s="30"/>
      <c r="O1020" s="30"/>
      <c r="P1020" s="32"/>
      <c r="Q1020" s="32"/>
      <c r="R1020" s="32"/>
      <c r="S1020" s="32"/>
      <c r="T1020" s="32"/>
      <c r="U1020" s="30"/>
    </row>
    <row r="1021" spans="1:21">
      <c r="A1021" s="29"/>
      <c r="B1021" s="29"/>
      <c r="C1021" s="29"/>
      <c r="D1021" s="29"/>
      <c r="E1021" s="29"/>
      <c r="F1021" s="29"/>
      <c r="G1021" s="29"/>
      <c r="H1021" s="29"/>
      <c r="J1021" s="29"/>
      <c r="K1021" s="29"/>
      <c r="L1021" s="19"/>
      <c r="M1021" s="19"/>
      <c r="N1021" s="30"/>
      <c r="O1021" s="30"/>
      <c r="P1021" s="32"/>
      <c r="Q1021" s="32"/>
      <c r="R1021" s="32"/>
      <c r="S1021" s="32"/>
      <c r="T1021" s="32"/>
      <c r="U1021" s="30"/>
    </row>
    <row r="1022" spans="1:21">
      <c r="A1022" s="29"/>
      <c r="B1022" s="29"/>
      <c r="C1022" s="29"/>
      <c r="D1022" s="29"/>
      <c r="E1022" s="29"/>
      <c r="F1022" s="29"/>
      <c r="G1022" s="29"/>
      <c r="H1022" s="29"/>
      <c r="J1022" s="29"/>
      <c r="K1022" s="29"/>
      <c r="L1022" s="19"/>
      <c r="M1022" s="19"/>
      <c r="N1022" s="30"/>
      <c r="O1022" s="30"/>
      <c r="P1022" s="32"/>
      <c r="Q1022" s="32"/>
      <c r="R1022" s="32"/>
      <c r="S1022" s="32"/>
      <c r="T1022" s="32"/>
      <c r="U1022" s="30"/>
    </row>
    <row r="1023" spans="1:21">
      <c r="A1023" s="29"/>
      <c r="B1023" s="29"/>
      <c r="C1023" s="29"/>
      <c r="D1023" s="29"/>
      <c r="E1023" s="29"/>
      <c r="F1023" s="29"/>
      <c r="G1023" s="29"/>
      <c r="H1023" s="29"/>
      <c r="J1023" s="29"/>
      <c r="K1023" s="29"/>
      <c r="L1023" s="19"/>
      <c r="M1023" s="19"/>
      <c r="N1023" s="30"/>
      <c r="O1023" s="30"/>
      <c r="P1023" s="32"/>
      <c r="Q1023" s="32"/>
      <c r="R1023" s="32"/>
      <c r="S1023" s="32"/>
      <c r="T1023" s="32"/>
      <c r="U1023" s="30"/>
    </row>
    <row r="1024" spans="1:21">
      <c r="A1024" s="29"/>
      <c r="B1024" s="29"/>
      <c r="C1024" s="29"/>
      <c r="D1024" s="29"/>
      <c r="E1024" s="29"/>
      <c r="F1024" s="29"/>
      <c r="G1024" s="29"/>
      <c r="H1024" s="29"/>
      <c r="J1024" s="29"/>
      <c r="K1024" s="29"/>
      <c r="L1024" s="19"/>
      <c r="M1024" s="19"/>
      <c r="N1024" s="30"/>
      <c r="O1024" s="30"/>
      <c r="P1024" s="32"/>
      <c r="Q1024" s="32"/>
      <c r="R1024" s="32"/>
      <c r="S1024" s="32"/>
      <c r="T1024" s="32"/>
      <c r="U1024" s="30"/>
    </row>
    <row r="1025" spans="1:21">
      <c r="A1025" s="29"/>
      <c r="B1025" s="29"/>
      <c r="C1025" s="29"/>
      <c r="D1025" s="29"/>
      <c r="E1025" s="29"/>
      <c r="F1025" s="29"/>
      <c r="G1025" s="29"/>
      <c r="H1025" s="29"/>
      <c r="J1025" s="29"/>
      <c r="K1025" s="29"/>
      <c r="L1025" s="19"/>
      <c r="M1025" s="19"/>
      <c r="N1025" s="30"/>
      <c r="O1025" s="30"/>
      <c r="P1025" s="32"/>
      <c r="Q1025" s="32"/>
      <c r="R1025" s="32"/>
      <c r="S1025" s="32"/>
      <c r="T1025" s="32"/>
      <c r="U1025" s="30"/>
    </row>
    <row r="1026" spans="1:21">
      <c r="A1026" s="29"/>
      <c r="B1026" s="29"/>
      <c r="C1026" s="29"/>
      <c r="D1026" s="29"/>
      <c r="E1026" s="29"/>
      <c r="F1026" s="29"/>
      <c r="G1026" s="29"/>
      <c r="H1026" s="29"/>
      <c r="J1026" s="29"/>
      <c r="K1026" s="29"/>
      <c r="L1026" s="19"/>
      <c r="M1026" s="19"/>
      <c r="N1026" s="30"/>
      <c r="O1026" s="30"/>
      <c r="P1026" s="32"/>
      <c r="Q1026" s="32"/>
      <c r="R1026" s="32"/>
      <c r="S1026" s="32"/>
      <c r="T1026" s="32"/>
      <c r="U1026" s="30"/>
    </row>
    <row r="1027" spans="1:21">
      <c r="A1027" s="29"/>
      <c r="B1027" s="29"/>
      <c r="C1027" s="29"/>
      <c r="D1027" s="29"/>
      <c r="E1027" s="29"/>
      <c r="F1027" s="29"/>
      <c r="G1027" s="29"/>
      <c r="H1027" s="29"/>
      <c r="J1027" s="29"/>
      <c r="K1027" s="29"/>
      <c r="L1027" s="19"/>
      <c r="M1027" s="19"/>
      <c r="N1027" s="30"/>
      <c r="O1027" s="30"/>
      <c r="P1027" s="32"/>
      <c r="Q1027" s="32"/>
      <c r="R1027" s="32"/>
      <c r="S1027" s="32"/>
      <c r="T1027" s="32"/>
      <c r="U1027" s="30"/>
    </row>
    <row r="1028" spans="1:21">
      <c r="A1028" s="29"/>
      <c r="B1028" s="29"/>
      <c r="C1028" s="29"/>
      <c r="D1028" s="29"/>
      <c r="E1028" s="29"/>
      <c r="F1028" s="29"/>
      <c r="G1028" s="29"/>
      <c r="H1028" s="29"/>
      <c r="J1028" s="29"/>
      <c r="K1028" s="29"/>
      <c r="L1028" s="19"/>
      <c r="M1028" s="19"/>
      <c r="N1028" s="30"/>
      <c r="O1028" s="30"/>
      <c r="P1028" s="32"/>
      <c r="Q1028" s="32"/>
      <c r="R1028" s="32"/>
      <c r="S1028" s="32"/>
      <c r="T1028" s="32"/>
      <c r="U1028" s="30"/>
    </row>
    <row r="1029" spans="1:21">
      <c r="A1029" s="29"/>
      <c r="B1029" s="29"/>
      <c r="C1029" s="29"/>
      <c r="D1029" s="29"/>
      <c r="E1029" s="29"/>
      <c r="F1029" s="29"/>
      <c r="G1029" s="29"/>
      <c r="H1029" s="29"/>
      <c r="J1029" s="29"/>
      <c r="K1029" s="29"/>
      <c r="L1029" s="19"/>
      <c r="M1029" s="19"/>
      <c r="N1029" s="30"/>
      <c r="O1029" s="30"/>
      <c r="P1029" s="32"/>
      <c r="Q1029" s="32"/>
      <c r="R1029" s="32"/>
      <c r="S1029" s="32"/>
      <c r="T1029" s="32"/>
      <c r="U1029" s="30"/>
    </row>
    <row r="1030" spans="1:21">
      <c r="A1030" s="29"/>
      <c r="B1030" s="29"/>
      <c r="C1030" s="29"/>
      <c r="D1030" s="29"/>
      <c r="E1030" s="29"/>
      <c r="F1030" s="29"/>
      <c r="G1030" s="29"/>
      <c r="H1030" s="29"/>
      <c r="J1030" s="29"/>
      <c r="K1030" s="29"/>
      <c r="L1030" s="19"/>
      <c r="M1030" s="19"/>
      <c r="N1030" s="30"/>
      <c r="O1030" s="30"/>
      <c r="P1030" s="32"/>
      <c r="Q1030" s="32"/>
      <c r="R1030" s="32"/>
      <c r="S1030" s="32"/>
      <c r="T1030" s="32"/>
      <c r="U1030" s="30"/>
    </row>
    <row r="1031" spans="1:21">
      <c r="A1031" s="29"/>
      <c r="B1031" s="29"/>
      <c r="C1031" s="29"/>
      <c r="D1031" s="29"/>
      <c r="E1031" s="29"/>
      <c r="F1031" s="29"/>
      <c r="G1031" s="29"/>
      <c r="H1031" s="29"/>
      <c r="J1031" s="29"/>
      <c r="K1031" s="29"/>
      <c r="L1031" s="19"/>
      <c r="M1031" s="19"/>
      <c r="N1031" s="30"/>
      <c r="O1031" s="30"/>
      <c r="P1031" s="32"/>
      <c r="Q1031" s="32"/>
      <c r="R1031" s="32"/>
      <c r="S1031" s="32"/>
      <c r="T1031" s="32"/>
      <c r="U1031" s="30"/>
    </row>
    <row r="1032" spans="1:21">
      <c r="A1032" s="29"/>
      <c r="B1032" s="29"/>
      <c r="C1032" s="29"/>
      <c r="D1032" s="29"/>
      <c r="E1032" s="29"/>
      <c r="F1032" s="29"/>
      <c r="G1032" s="29"/>
      <c r="H1032" s="29"/>
      <c r="J1032" s="29"/>
      <c r="K1032" s="29"/>
      <c r="L1032" s="19"/>
      <c r="M1032" s="19"/>
      <c r="N1032" s="30"/>
      <c r="O1032" s="30"/>
      <c r="P1032" s="32"/>
      <c r="Q1032" s="32"/>
      <c r="R1032" s="32"/>
      <c r="S1032" s="32"/>
      <c r="T1032" s="32"/>
      <c r="U1032" s="30"/>
    </row>
    <row r="1033" spans="1:21">
      <c r="A1033" s="29"/>
      <c r="B1033" s="29"/>
      <c r="C1033" s="29"/>
      <c r="D1033" s="29"/>
      <c r="E1033" s="29"/>
      <c r="F1033" s="29"/>
      <c r="G1033" s="29"/>
      <c r="H1033" s="29"/>
      <c r="J1033" s="29"/>
      <c r="K1033" s="29"/>
      <c r="L1033" s="19"/>
      <c r="M1033" s="19"/>
      <c r="N1033" s="30"/>
      <c r="O1033" s="30"/>
      <c r="P1033" s="32"/>
      <c r="Q1033" s="32"/>
      <c r="R1033" s="32"/>
      <c r="S1033" s="32"/>
      <c r="T1033" s="32"/>
      <c r="U1033" s="30"/>
    </row>
    <row r="1034" spans="1:21">
      <c r="A1034" s="29"/>
      <c r="B1034" s="29"/>
      <c r="C1034" s="29"/>
      <c r="D1034" s="29"/>
      <c r="E1034" s="29"/>
      <c r="F1034" s="29"/>
      <c r="G1034" s="29"/>
      <c r="H1034" s="29"/>
      <c r="J1034" s="29"/>
      <c r="K1034" s="29"/>
      <c r="L1034" s="19"/>
      <c r="M1034" s="19"/>
      <c r="N1034" s="30"/>
      <c r="O1034" s="30"/>
      <c r="P1034" s="32"/>
      <c r="Q1034" s="32"/>
      <c r="R1034" s="32"/>
      <c r="S1034" s="32"/>
      <c r="T1034" s="32"/>
      <c r="U1034" s="30"/>
    </row>
    <row r="1035" spans="1:21">
      <c r="A1035" s="29"/>
      <c r="B1035" s="29"/>
      <c r="C1035" s="29"/>
      <c r="D1035" s="29"/>
      <c r="E1035" s="29"/>
      <c r="F1035" s="29"/>
      <c r="G1035" s="29"/>
      <c r="H1035" s="29"/>
      <c r="J1035" s="29"/>
      <c r="K1035" s="29"/>
      <c r="L1035" s="19"/>
      <c r="M1035" s="19"/>
      <c r="N1035" s="30"/>
      <c r="O1035" s="30"/>
      <c r="P1035" s="32"/>
      <c r="Q1035" s="32"/>
      <c r="R1035" s="32"/>
      <c r="S1035" s="32"/>
      <c r="T1035" s="32"/>
      <c r="U1035" s="30"/>
    </row>
    <row r="1036" spans="1:21">
      <c r="A1036" s="29"/>
      <c r="B1036" s="29"/>
      <c r="C1036" s="29"/>
      <c r="D1036" s="29"/>
      <c r="E1036" s="29"/>
      <c r="F1036" s="29"/>
      <c r="G1036" s="29"/>
      <c r="H1036" s="29"/>
      <c r="J1036" s="29"/>
      <c r="K1036" s="29"/>
      <c r="L1036" s="19"/>
      <c r="M1036" s="19"/>
      <c r="N1036" s="30"/>
      <c r="O1036" s="30"/>
      <c r="P1036" s="32"/>
      <c r="Q1036" s="32"/>
      <c r="R1036" s="32"/>
      <c r="S1036" s="32"/>
      <c r="T1036" s="32"/>
      <c r="U1036" s="30"/>
    </row>
    <row r="1037" spans="1:21">
      <c r="A1037" s="29"/>
      <c r="B1037" s="29"/>
      <c r="C1037" s="29"/>
      <c r="D1037" s="29"/>
      <c r="E1037" s="29"/>
      <c r="F1037" s="29"/>
      <c r="G1037" s="29"/>
      <c r="H1037" s="29"/>
      <c r="J1037" s="29"/>
      <c r="K1037" s="29"/>
      <c r="L1037" s="19"/>
      <c r="M1037" s="19"/>
      <c r="N1037" s="30"/>
      <c r="O1037" s="30"/>
      <c r="P1037" s="32"/>
      <c r="Q1037" s="32"/>
      <c r="R1037" s="32"/>
      <c r="S1037" s="32"/>
      <c r="T1037" s="32"/>
      <c r="U1037" s="30"/>
    </row>
    <row r="1038" spans="1:21">
      <c r="A1038" s="29"/>
      <c r="B1038" s="29"/>
      <c r="C1038" s="29"/>
      <c r="D1038" s="29"/>
      <c r="E1038" s="29"/>
      <c r="F1038" s="29"/>
      <c r="G1038" s="29"/>
      <c r="H1038" s="29"/>
      <c r="J1038" s="29"/>
      <c r="K1038" s="29"/>
      <c r="L1038" s="19"/>
      <c r="M1038" s="19"/>
      <c r="N1038" s="30"/>
      <c r="O1038" s="30"/>
      <c r="P1038" s="32"/>
      <c r="Q1038" s="32"/>
      <c r="R1038" s="32"/>
      <c r="S1038" s="32"/>
      <c r="T1038" s="32"/>
      <c r="U1038" s="30"/>
    </row>
    <row r="1039" spans="1:21">
      <c r="A1039" s="29"/>
      <c r="B1039" s="29"/>
      <c r="C1039" s="29"/>
      <c r="D1039" s="29"/>
      <c r="E1039" s="29"/>
      <c r="F1039" s="29"/>
      <c r="G1039" s="29"/>
      <c r="H1039" s="29"/>
      <c r="J1039" s="29"/>
      <c r="K1039" s="29"/>
      <c r="L1039" s="19"/>
      <c r="M1039" s="19"/>
      <c r="N1039" s="30"/>
      <c r="O1039" s="30"/>
      <c r="P1039" s="32"/>
      <c r="Q1039" s="32"/>
      <c r="R1039" s="32"/>
      <c r="S1039" s="32"/>
      <c r="T1039" s="32"/>
      <c r="U1039" s="30"/>
    </row>
    <row r="1040" spans="1:21">
      <c r="A1040" s="29"/>
      <c r="B1040" s="29"/>
      <c r="C1040" s="29"/>
      <c r="D1040" s="29"/>
      <c r="E1040" s="29"/>
      <c r="F1040" s="29"/>
      <c r="G1040" s="29"/>
      <c r="H1040" s="29"/>
      <c r="J1040" s="29"/>
      <c r="K1040" s="29"/>
      <c r="L1040" s="19"/>
      <c r="M1040" s="19"/>
      <c r="N1040" s="30"/>
      <c r="O1040" s="30"/>
      <c r="P1040" s="32"/>
      <c r="Q1040" s="32"/>
      <c r="R1040" s="32"/>
      <c r="S1040" s="32"/>
      <c r="T1040" s="32"/>
      <c r="U1040" s="30"/>
    </row>
    <row r="1041" spans="1:21">
      <c r="A1041" s="29"/>
      <c r="B1041" s="29"/>
      <c r="C1041" s="29"/>
      <c r="D1041" s="29"/>
      <c r="E1041" s="29"/>
      <c r="F1041" s="29"/>
      <c r="G1041" s="29"/>
      <c r="H1041" s="29"/>
      <c r="J1041" s="29"/>
      <c r="K1041" s="29"/>
      <c r="L1041" s="19"/>
      <c r="M1041" s="19"/>
      <c r="N1041" s="30"/>
      <c r="O1041" s="30"/>
      <c r="P1041" s="32"/>
      <c r="Q1041" s="32"/>
      <c r="R1041" s="32"/>
      <c r="S1041" s="32"/>
      <c r="T1041" s="32"/>
      <c r="U1041" s="30"/>
    </row>
    <row r="1042" spans="1:21">
      <c r="A1042" s="29"/>
      <c r="B1042" s="29"/>
      <c r="C1042" s="29"/>
      <c r="D1042" s="29"/>
      <c r="E1042" s="29"/>
      <c r="F1042" s="29"/>
      <c r="G1042" s="29"/>
      <c r="H1042" s="29"/>
      <c r="J1042" s="29"/>
      <c r="K1042" s="29"/>
      <c r="L1042" s="19"/>
      <c r="M1042" s="19"/>
      <c r="N1042" s="30"/>
      <c r="O1042" s="30"/>
      <c r="P1042" s="32"/>
      <c r="Q1042" s="32"/>
      <c r="R1042" s="32"/>
      <c r="S1042" s="32"/>
      <c r="T1042" s="32"/>
      <c r="U1042" s="30"/>
    </row>
    <row r="1043" spans="1:21">
      <c r="A1043" s="29"/>
      <c r="B1043" s="29"/>
      <c r="C1043" s="29"/>
      <c r="D1043" s="29"/>
      <c r="E1043" s="29"/>
      <c r="F1043" s="29"/>
      <c r="G1043" s="29"/>
      <c r="H1043" s="29"/>
      <c r="J1043" s="29"/>
      <c r="K1043" s="29"/>
      <c r="L1043" s="19"/>
      <c r="M1043" s="19"/>
      <c r="N1043" s="30"/>
      <c r="O1043" s="30"/>
      <c r="P1043" s="32"/>
      <c r="Q1043" s="32"/>
      <c r="R1043" s="32"/>
      <c r="S1043" s="32"/>
      <c r="T1043" s="32"/>
      <c r="U1043" s="30"/>
    </row>
    <row r="1044" spans="1:21">
      <c r="A1044" s="29"/>
      <c r="B1044" s="29"/>
      <c r="C1044" s="29"/>
      <c r="D1044" s="29"/>
      <c r="E1044" s="29"/>
      <c r="F1044" s="29"/>
      <c r="G1044" s="29"/>
      <c r="H1044" s="29"/>
      <c r="J1044" s="29"/>
      <c r="K1044" s="29"/>
      <c r="L1044" s="19"/>
      <c r="M1044" s="19"/>
      <c r="N1044" s="30"/>
      <c r="O1044" s="30"/>
      <c r="P1044" s="32"/>
      <c r="Q1044" s="32"/>
      <c r="R1044" s="32"/>
      <c r="S1044" s="32"/>
      <c r="T1044" s="32"/>
      <c r="U1044" s="30"/>
    </row>
    <row r="1045" spans="1:21">
      <c r="A1045" s="29"/>
      <c r="B1045" s="29"/>
      <c r="C1045" s="29"/>
      <c r="D1045" s="29"/>
      <c r="E1045" s="29"/>
      <c r="F1045" s="29"/>
      <c r="G1045" s="29"/>
      <c r="H1045" s="29"/>
      <c r="J1045" s="29"/>
      <c r="K1045" s="29"/>
      <c r="L1045" s="19"/>
      <c r="M1045" s="19"/>
      <c r="N1045" s="30"/>
      <c r="O1045" s="30"/>
      <c r="P1045" s="32"/>
      <c r="Q1045" s="32"/>
      <c r="R1045" s="32"/>
      <c r="S1045" s="32"/>
      <c r="T1045" s="32"/>
      <c r="U1045" s="30"/>
    </row>
    <row r="1046" spans="1:21">
      <c r="A1046" s="29"/>
      <c r="B1046" s="29"/>
      <c r="C1046" s="29"/>
      <c r="D1046" s="29"/>
      <c r="E1046" s="29"/>
      <c r="F1046" s="29"/>
      <c r="G1046" s="29"/>
      <c r="H1046" s="29"/>
      <c r="J1046" s="29"/>
      <c r="K1046" s="29"/>
      <c r="L1046" s="19"/>
      <c r="M1046" s="19"/>
      <c r="N1046" s="30"/>
      <c r="O1046" s="30"/>
      <c r="P1046" s="32"/>
      <c r="Q1046" s="32"/>
      <c r="R1046" s="32"/>
      <c r="S1046" s="32"/>
      <c r="T1046" s="32"/>
      <c r="U1046" s="30"/>
    </row>
    <row r="1047" spans="1:21">
      <c r="A1047" s="29"/>
      <c r="B1047" s="29"/>
      <c r="C1047" s="29"/>
      <c r="D1047" s="29"/>
      <c r="E1047" s="29"/>
      <c r="F1047" s="29"/>
      <c r="G1047" s="29"/>
      <c r="H1047" s="29"/>
      <c r="J1047" s="29"/>
      <c r="K1047" s="29"/>
      <c r="L1047" s="19"/>
      <c r="M1047" s="19"/>
      <c r="N1047" s="30"/>
      <c r="O1047" s="30"/>
      <c r="P1047" s="32"/>
      <c r="Q1047" s="32"/>
      <c r="R1047" s="32"/>
      <c r="S1047" s="32"/>
      <c r="T1047" s="32"/>
      <c r="U1047" s="30"/>
    </row>
    <row r="1048" spans="1:21">
      <c r="A1048" s="29"/>
      <c r="B1048" s="29"/>
      <c r="C1048" s="29"/>
      <c r="D1048" s="29"/>
      <c r="E1048" s="29"/>
      <c r="F1048" s="29"/>
      <c r="G1048" s="29"/>
      <c r="H1048" s="29"/>
      <c r="J1048" s="29"/>
      <c r="K1048" s="29"/>
      <c r="L1048" s="19"/>
      <c r="M1048" s="19"/>
      <c r="N1048" s="30"/>
      <c r="O1048" s="30"/>
      <c r="P1048" s="32"/>
      <c r="Q1048" s="32"/>
      <c r="R1048" s="32"/>
      <c r="S1048" s="32"/>
      <c r="T1048" s="32"/>
      <c r="U1048" s="30"/>
    </row>
    <row r="1049" spans="1:21">
      <c r="A1049" s="29"/>
      <c r="B1049" s="29"/>
      <c r="C1049" s="29"/>
      <c r="D1049" s="29"/>
      <c r="E1049" s="29"/>
      <c r="F1049" s="29"/>
      <c r="G1049" s="29"/>
      <c r="H1049" s="29"/>
      <c r="J1049" s="29"/>
      <c r="K1049" s="29"/>
      <c r="L1049" s="19"/>
      <c r="M1049" s="19"/>
      <c r="N1049" s="30"/>
      <c r="O1049" s="30"/>
      <c r="P1049" s="32"/>
      <c r="Q1049" s="32"/>
      <c r="R1049" s="32"/>
      <c r="S1049" s="32"/>
      <c r="T1049" s="32"/>
      <c r="U1049" s="30"/>
    </row>
    <row r="1050" spans="1:21">
      <c r="A1050" s="29"/>
      <c r="B1050" s="29"/>
      <c r="C1050" s="29"/>
      <c r="D1050" s="29"/>
      <c r="E1050" s="29"/>
      <c r="F1050" s="29"/>
      <c r="G1050" s="29"/>
      <c r="H1050" s="29"/>
      <c r="J1050" s="29"/>
      <c r="K1050" s="29"/>
      <c r="L1050" s="19"/>
      <c r="M1050" s="19"/>
      <c r="N1050" s="30"/>
      <c r="O1050" s="30"/>
      <c r="P1050" s="32"/>
      <c r="Q1050" s="32"/>
      <c r="R1050" s="32"/>
      <c r="S1050" s="32"/>
      <c r="T1050" s="32"/>
      <c r="U1050" s="30"/>
    </row>
    <row r="1051" spans="1:21">
      <c r="A1051" s="29"/>
      <c r="B1051" s="29"/>
      <c r="C1051" s="29"/>
      <c r="D1051" s="29"/>
      <c r="E1051" s="29"/>
      <c r="F1051" s="29"/>
      <c r="G1051" s="29"/>
      <c r="H1051" s="29"/>
      <c r="J1051" s="29"/>
      <c r="K1051" s="29"/>
      <c r="L1051" s="19"/>
      <c r="M1051" s="19"/>
      <c r="N1051" s="30"/>
      <c r="O1051" s="30"/>
      <c r="P1051" s="32"/>
      <c r="Q1051" s="32"/>
      <c r="R1051" s="32"/>
      <c r="S1051" s="32"/>
      <c r="T1051" s="32"/>
      <c r="U1051" s="30"/>
    </row>
    <row r="1052" spans="1:21">
      <c r="A1052" s="29"/>
      <c r="B1052" s="29"/>
      <c r="C1052" s="29"/>
      <c r="D1052" s="29"/>
      <c r="E1052" s="29"/>
      <c r="F1052" s="29"/>
      <c r="G1052" s="29"/>
      <c r="H1052" s="29"/>
      <c r="J1052" s="29"/>
      <c r="K1052" s="29"/>
      <c r="L1052" s="19"/>
      <c r="M1052" s="19"/>
      <c r="N1052" s="30"/>
      <c r="O1052" s="30"/>
      <c r="P1052" s="32"/>
      <c r="Q1052" s="32"/>
      <c r="R1052" s="32"/>
      <c r="S1052" s="32"/>
      <c r="T1052" s="32"/>
      <c r="U1052" s="30"/>
    </row>
    <row r="1053" spans="1:21">
      <c r="A1053" s="29"/>
      <c r="B1053" s="29"/>
      <c r="C1053" s="29"/>
      <c r="D1053" s="29"/>
      <c r="E1053" s="29"/>
      <c r="F1053" s="29"/>
      <c r="G1053" s="29"/>
      <c r="H1053" s="29"/>
      <c r="J1053" s="29"/>
      <c r="K1053" s="29"/>
      <c r="L1053" s="19"/>
      <c r="M1053" s="19"/>
      <c r="N1053" s="30"/>
      <c r="O1053" s="30"/>
      <c r="P1053" s="32"/>
      <c r="Q1053" s="32"/>
      <c r="R1053" s="32"/>
      <c r="S1053" s="32"/>
      <c r="T1053" s="32"/>
      <c r="U1053" s="30"/>
    </row>
    <row r="1054" spans="1:21">
      <c r="A1054" s="29"/>
      <c r="B1054" s="29"/>
      <c r="C1054" s="29"/>
      <c r="D1054" s="29"/>
      <c r="E1054" s="29"/>
      <c r="F1054" s="29"/>
      <c r="G1054" s="29"/>
      <c r="H1054" s="29"/>
      <c r="J1054" s="29"/>
      <c r="K1054" s="29"/>
      <c r="L1054" s="19"/>
      <c r="M1054" s="19"/>
      <c r="N1054" s="30"/>
      <c r="O1054" s="30"/>
      <c r="P1054" s="32"/>
      <c r="Q1054" s="32"/>
      <c r="R1054" s="32"/>
      <c r="S1054" s="32"/>
      <c r="T1054" s="32"/>
      <c r="U1054" s="30"/>
    </row>
    <row r="1055" spans="1:21">
      <c r="A1055" s="29"/>
      <c r="B1055" s="29"/>
      <c r="C1055" s="29"/>
      <c r="D1055" s="29"/>
      <c r="E1055" s="29"/>
      <c r="F1055" s="29"/>
      <c r="G1055" s="29"/>
      <c r="H1055" s="29"/>
      <c r="J1055" s="29"/>
      <c r="K1055" s="29"/>
      <c r="L1055" s="19"/>
      <c r="M1055" s="19"/>
      <c r="N1055" s="30"/>
      <c r="O1055" s="30"/>
      <c r="P1055" s="32"/>
      <c r="Q1055" s="32"/>
      <c r="R1055" s="32"/>
      <c r="S1055" s="32"/>
      <c r="T1055" s="32"/>
      <c r="U1055" s="30"/>
    </row>
    <row r="1056" spans="1:21">
      <c r="A1056" s="29"/>
      <c r="B1056" s="29"/>
      <c r="C1056" s="29"/>
      <c r="D1056" s="29"/>
      <c r="E1056" s="29"/>
      <c r="F1056" s="29"/>
      <c r="G1056" s="29"/>
      <c r="H1056" s="29"/>
      <c r="J1056" s="29"/>
      <c r="K1056" s="29"/>
      <c r="L1056" s="19"/>
      <c r="M1056" s="19"/>
      <c r="N1056" s="30"/>
      <c r="O1056" s="30"/>
      <c r="P1056" s="32"/>
      <c r="Q1056" s="32"/>
      <c r="R1056" s="32"/>
      <c r="S1056" s="32"/>
      <c r="T1056" s="32"/>
      <c r="U1056" s="30"/>
    </row>
    <row r="1057" spans="1:21">
      <c r="A1057" s="29"/>
      <c r="B1057" s="29"/>
      <c r="C1057" s="29"/>
      <c r="D1057" s="29"/>
      <c r="E1057" s="29"/>
      <c r="F1057" s="29"/>
      <c r="G1057" s="29"/>
      <c r="H1057" s="29"/>
      <c r="J1057" s="29"/>
      <c r="K1057" s="29"/>
      <c r="L1057" s="19"/>
      <c r="M1057" s="19"/>
      <c r="N1057" s="30"/>
      <c r="O1057" s="30"/>
      <c r="P1057" s="32"/>
      <c r="Q1057" s="32"/>
      <c r="R1057" s="32"/>
      <c r="S1057" s="32"/>
      <c r="T1057" s="32"/>
      <c r="U1057" s="30"/>
    </row>
    <row r="1058" spans="1:21">
      <c r="A1058" s="29"/>
      <c r="B1058" s="29"/>
      <c r="C1058" s="29"/>
      <c r="D1058" s="29"/>
      <c r="E1058" s="29"/>
      <c r="F1058" s="29"/>
      <c r="G1058" s="29"/>
      <c r="H1058" s="29"/>
      <c r="J1058" s="29"/>
      <c r="K1058" s="29"/>
      <c r="L1058" s="19"/>
      <c r="M1058" s="19"/>
      <c r="N1058" s="30"/>
      <c r="O1058" s="30"/>
      <c r="P1058" s="32"/>
      <c r="Q1058" s="32"/>
      <c r="R1058" s="32"/>
      <c r="S1058" s="32"/>
      <c r="T1058" s="32"/>
      <c r="U1058" s="30"/>
    </row>
    <row r="1059" spans="1:21">
      <c r="A1059" s="29"/>
      <c r="B1059" s="29"/>
      <c r="C1059" s="29"/>
      <c r="D1059" s="29"/>
      <c r="E1059" s="29"/>
      <c r="F1059" s="29"/>
      <c r="G1059" s="29"/>
      <c r="H1059" s="29"/>
      <c r="J1059" s="29"/>
      <c r="K1059" s="29"/>
      <c r="L1059" s="19"/>
      <c r="M1059" s="19"/>
      <c r="N1059" s="30"/>
      <c r="O1059" s="30"/>
      <c r="P1059" s="32"/>
      <c r="Q1059" s="32"/>
      <c r="R1059" s="32"/>
      <c r="S1059" s="32"/>
      <c r="T1059" s="32"/>
      <c r="U1059" s="30"/>
    </row>
    <row r="1060" spans="1:21">
      <c r="A1060" s="29"/>
      <c r="B1060" s="29"/>
      <c r="C1060" s="29"/>
      <c r="D1060" s="29"/>
      <c r="E1060" s="29"/>
      <c r="F1060" s="29"/>
      <c r="G1060" s="29"/>
      <c r="H1060" s="29"/>
      <c r="J1060" s="29"/>
      <c r="K1060" s="29"/>
      <c r="L1060" s="19"/>
      <c r="M1060" s="19"/>
      <c r="N1060" s="30"/>
      <c r="O1060" s="30"/>
      <c r="P1060" s="32"/>
      <c r="Q1060" s="32"/>
      <c r="R1060" s="32"/>
      <c r="S1060" s="32"/>
      <c r="T1060" s="32"/>
      <c r="U1060" s="30"/>
    </row>
    <row r="1061" spans="1:21">
      <c r="A1061" s="29"/>
      <c r="B1061" s="29"/>
      <c r="C1061" s="29"/>
      <c r="D1061" s="29"/>
      <c r="E1061" s="29"/>
      <c r="F1061" s="29"/>
      <c r="G1061" s="29"/>
      <c r="H1061" s="29"/>
      <c r="J1061" s="29"/>
      <c r="K1061" s="29"/>
      <c r="L1061" s="19"/>
      <c r="M1061" s="19"/>
      <c r="N1061" s="30"/>
      <c r="O1061" s="30"/>
      <c r="P1061" s="32"/>
      <c r="Q1061" s="32"/>
      <c r="R1061" s="32"/>
      <c r="S1061" s="32"/>
      <c r="T1061" s="32"/>
      <c r="U1061" s="30"/>
    </row>
    <row r="1062" spans="1:21">
      <c r="A1062" s="29"/>
      <c r="B1062" s="29"/>
      <c r="C1062" s="29"/>
      <c r="D1062" s="29"/>
      <c r="E1062" s="29"/>
      <c r="F1062" s="29"/>
      <c r="G1062" s="29"/>
      <c r="H1062" s="29"/>
      <c r="J1062" s="29"/>
      <c r="K1062" s="29"/>
      <c r="L1062" s="19"/>
      <c r="M1062" s="19"/>
      <c r="N1062" s="30"/>
      <c r="O1062" s="30"/>
      <c r="P1062" s="32"/>
      <c r="Q1062" s="32"/>
      <c r="R1062" s="32"/>
      <c r="S1062" s="32"/>
      <c r="T1062" s="32"/>
      <c r="U1062" s="30"/>
    </row>
    <row r="1063" spans="1:21">
      <c r="A1063" s="29"/>
      <c r="B1063" s="29"/>
      <c r="C1063" s="29"/>
      <c r="D1063" s="29"/>
      <c r="E1063" s="29"/>
      <c r="F1063" s="29"/>
      <c r="G1063" s="29"/>
      <c r="H1063" s="29"/>
      <c r="J1063" s="29"/>
      <c r="K1063" s="29"/>
      <c r="L1063" s="19"/>
      <c r="M1063" s="19"/>
      <c r="N1063" s="30"/>
      <c r="O1063" s="30"/>
      <c r="P1063" s="32"/>
      <c r="Q1063" s="32"/>
      <c r="R1063" s="32"/>
      <c r="S1063" s="32"/>
      <c r="T1063" s="32"/>
      <c r="U1063" s="30"/>
    </row>
    <row r="1064" spans="1:21">
      <c r="A1064" s="29"/>
      <c r="B1064" s="29"/>
      <c r="C1064" s="29"/>
      <c r="D1064" s="29"/>
      <c r="E1064" s="29"/>
      <c r="F1064" s="29"/>
      <c r="G1064" s="29"/>
      <c r="H1064" s="29"/>
      <c r="J1064" s="29"/>
      <c r="K1064" s="29"/>
      <c r="L1064" s="19"/>
      <c r="M1064" s="19"/>
      <c r="N1064" s="30"/>
      <c r="O1064" s="30"/>
      <c r="P1064" s="32"/>
      <c r="Q1064" s="32"/>
      <c r="R1064" s="32"/>
      <c r="S1064" s="32"/>
      <c r="T1064" s="32"/>
      <c r="U1064" s="30"/>
    </row>
    <row r="1065" spans="1:21">
      <c r="A1065" s="29"/>
      <c r="B1065" s="29"/>
      <c r="C1065" s="29"/>
      <c r="D1065" s="29"/>
      <c r="E1065" s="29"/>
      <c r="F1065" s="29"/>
      <c r="G1065" s="29"/>
      <c r="H1065" s="29"/>
      <c r="J1065" s="29"/>
      <c r="K1065" s="29"/>
      <c r="L1065" s="19"/>
      <c r="M1065" s="19"/>
      <c r="N1065" s="30"/>
      <c r="O1065" s="30"/>
      <c r="P1065" s="32"/>
      <c r="Q1065" s="32"/>
      <c r="R1065" s="32"/>
      <c r="S1065" s="32"/>
      <c r="T1065" s="32"/>
      <c r="U1065" s="30"/>
    </row>
    <row r="1066" spans="1:21">
      <c r="A1066" s="29"/>
      <c r="B1066" s="29"/>
      <c r="C1066" s="29"/>
      <c r="D1066" s="29"/>
      <c r="E1066" s="29"/>
      <c r="F1066" s="29"/>
      <c r="G1066" s="29"/>
      <c r="H1066" s="29"/>
      <c r="J1066" s="29"/>
      <c r="K1066" s="29"/>
      <c r="L1066" s="19"/>
      <c r="M1066" s="19"/>
      <c r="N1066" s="30"/>
      <c r="O1066" s="30"/>
      <c r="P1066" s="32"/>
      <c r="Q1066" s="32"/>
      <c r="R1066" s="32"/>
      <c r="S1066" s="32"/>
      <c r="T1066" s="32"/>
      <c r="U1066" s="30"/>
    </row>
    <row r="1067" spans="1:21">
      <c r="A1067" s="29"/>
      <c r="B1067" s="29"/>
      <c r="C1067" s="29"/>
      <c r="D1067" s="29"/>
      <c r="E1067" s="29"/>
      <c r="F1067" s="29"/>
      <c r="G1067" s="29"/>
      <c r="H1067" s="29"/>
      <c r="J1067" s="29"/>
      <c r="K1067" s="29"/>
      <c r="L1067" s="19"/>
      <c r="M1067" s="19"/>
      <c r="N1067" s="30"/>
      <c r="O1067" s="30"/>
      <c r="P1067" s="32"/>
      <c r="Q1067" s="32"/>
      <c r="R1067" s="32"/>
      <c r="S1067" s="32"/>
      <c r="T1067" s="32"/>
      <c r="U1067" s="30"/>
    </row>
    <row r="1068" spans="1:21">
      <c r="A1068" s="29"/>
      <c r="B1068" s="29"/>
      <c r="C1068" s="29"/>
      <c r="D1068" s="29"/>
      <c r="E1068" s="29"/>
      <c r="F1068" s="29"/>
      <c r="G1068" s="29"/>
      <c r="H1068" s="29"/>
      <c r="J1068" s="29"/>
      <c r="K1068" s="29"/>
      <c r="L1068" s="19"/>
      <c r="M1068" s="19"/>
      <c r="N1068" s="30"/>
      <c r="O1068" s="30"/>
      <c r="P1068" s="32"/>
      <c r="Q1068" s="32"/>
      <c r="R1068" s="32"/>
      <c r="S1068" s="32"/>
      <c r="T1068" s="32"/>
      <c r="U1068" s="30"/>
    </row>
    <row r="1069" spans="1:21">
      <c r="A1069" s="29"/>
      <c r="B1069" s="29"/>
      <c r="C1069" s="29"/>
      <c r="D1069" s="29"/>
      <c r="E1069" s="29"/>
      <c r="F1069" s="29"/>
      <c r="G1069" s="29"/>
      <c r="H1069" s="29"/>
      <c r="J1069" s="29"/>
      <c r="K1069" s="29"/>
      <c r="L1069" s="19"/>
      <c r="M1069" s="19"/>
      <c r="N1069" s="30"/>
      <c r="O1069" s="30"/>
      <c r="P1069" s="32"/>
      <c r="Q1069" s="32"/>
      <c r="R1069" s="32"/>
      <c r="S1069" s="32"/>
      <c r="T1069" s="32"/>
      <c r="U1069" s="30"/>
    </row>
    <row r="1070" spans="1:21">
      <c r="A1070" s="29"/>
      <c r="B1070" s="29"/>
      <c r="C1070" s="29"/>
      <c r="D1070" s="29"/>
      <c r="E1070" s="29"/>
      <c r="F1070" s="29"/>
      <c r="G1070" s="29"/>
      <c r="H1070" s="29"/>
      <c r="J1070" s="29"/>
      <c r="K1070" s="29"/>
      <c r="L1070" s="19"/>
      <c r="M1070" s="19"/>
      <c r="N1070" s="30"/>
      <c r="O1070" s="30"/>
      <c r="P1070" s="32"/>
      <c r="Q1070" s="32"/>
      <c r="R1070" s="32"/>
      <c r="S1070" s="32"/>
      <c r="T1070" s="32"/>
      <c r="U1070" s="30"/>
    </row>
    <row r="1071" spans="1:21">
      <c r="A1071" s="29"/>
      <c r="B1071" s="29"/>
      <c r="C1071" s="29"/>
      <c r="D1071" s="29"/>
      <c r="E1071" s="29"/>
      <c r="F1071" s="29"/>
      <c r="G1071" s="29"/>
      <c r="H1071" s="29"/>
      <c r="J1071" s="29"/>
      <c r="K1071" s="29"/>
      <c r="L1071" s="19"/>
      <c r="M1071" s="19"/>
      <c r="N1071" s="30"/>
      <c r="O1071" s="30"/>
      <c r="P1071" s="32"/>
      <c r="Q1071" s="32"/>
      <c r="R1071" s="32"/>
      <c r="S1071" s="32"/>
      <c r="T1071" s="32"/>
      <c r="U1071" s="30"/>
    </row>
    <row r="1072" spans="1:21">
      <c r="A1072" s="29"/>
      <c r="B1072" s="29"/>
      <c r="C1072" s="29"/>
      <c r="D1072" s="29"/>
      <c r="E1072" s="29"/>
      <c r="F1072" s="29"/>
      <c r="G1072" s="29"/>
      <c r="H1072" s="29"/>
      <c r="J1072" s="29"/>
      <c r="K1072" s="29"/>
      <c r="L1072" s="19"/>
      <c r="M1072" s="19"/>
      <c r="N1072" s="30"/>
      <c r="O1072" s="30"/>
      <c r="P1072" s="32"/>
      <c r="Q1072" s="32"/>
      <c r="R1072" s="32"/>
      <c r="S1072" s="32"/>
      <c r="T1072" s="32"/>
      <c r="U1072" s="30"/>
    </row>
    <row r="1073" spans="1:21">
      <c r="A1073" s="29"/>
      <c r="B1073" s="29"/>
      <c r="C1073" s="29"/>
      <c r="D1073" s="29"/>
      <c r="E1073" s="29"/>
      <c r="F1073" s="29"/>
      <c r="G1073" s="29"/>
      <c r="H1073" s="29"/>
      <c r="J1073" s="29"/>
      <c r="K1073" s="29"/>
      <c r="L1073" s="19"/>
      <c r="M1073" s="19"/>
      <c r="N1073" s="30"/>
      <c r="O1073" s="30"/>
      <c r="P1073" s="32"/>
      <c r="Q1073" s="32"/>
      <c r="R1073" s="32"/>
      <c r="S1073" s="32"/>
      <c r="T1073" s="32"/>
      <c r="U1073" s="30"/>
    </row>
    <row r="1074" spans="1:21">
      <c r="A1074" s="29"/>
      <c r="B1074" s="29"/>
      <c r="C1074" s="29"/>
      <c r="D1074" s="29"/>
      <c r="E1074" s="29"/>
      <c r="F1074" s="29"/>
      <c r="G1074" s="29"/>
      <c r="H1074" s="29"/>
      <c r="J1074" s="29"/>
      <c r="K1074" s="29"/>
      <c r="L1074" s="19"/>
      <c r="M1074" s="19"/>
      <c r="N1074" s="30"/>
      <c r="O1074" s="30"/>
      <c r="P1074" s="32"/>
      <c r="Q1074" s="32"/>
      <c r="R1074" s="32"/>
      <c r="S1074" s="32"/>
      <c r="T1074" s="32"/>
      <c r="U1074" s="30"/>
    </row>
    <row r="1075" spans="1:21">
      <c r="A1075" s="29"/>
      <c r="B1075" s="29"/>
      <c r="C1075" s="29"/>
      <c r="D1075" s="29"/>
      <c r="E1075" s="29"/>
      <c r="F1075" s="29"/>
      <c r="G1075" s="29"/>
      <c r="H1075" s="29"/>
      <c r="J1075" s="29"/>
      <c r="K1075" s="29"/>
      <c r="L1075" s="19"/>
      <c r="M1075" s="19"/>
      <c r="N1075" s="30"/>
      <c r="O1075" s="30"/>
      <c r="P1075" s="32"/>
      <c r="Q1075" s="32"/>
      <c r="R1075" s="32"/>
      <c r="S1075" s="32"/>
      <c r="T1075" s="32"/>
      <c r="U1075" s="30"/>
    </row>
    <row r="1076" spans="1:21">
      <c r="A1076" s="29"/>
      <c r="B1076" s="29"/>
      <c r="C1076" s="29"/>
      <c r="D1076" s="29"/>
      <c r="E1076" s="29"/>
      <c r="F1076" s="29"/>
      <c r="G1076" s="29"/>
      <c r="H1076" s="29"/>
      <c r="J1076" s="29"/>
      <c r="K1076" s="29"/>
      <c r="L1076" s="19"/>
      <c r="M1076" s="19"/>
      <c r="N1076" s="30"/>
      <c r="O1076" s="30"/>
      <c r="P1076" s="32"/>
      <c r="Q1076" s="32"/>
      <c r="R1076" s="32"/>
      <c r="S1076" s="32"/>
      <c r="T1076" s="32"/>
      <c r="U1076" s="30"/>
    </row>
    <row r="1077" spans="1:21">
      <c r="A1077" s="29"/>
      <c r="B1077" s="29"/>
      <c r="C1077" s="29"/>
      <c r="D1077" s="29"/>
      <c r="E1077" s="29"/>
      <c r="F1077" s="29"/>
      <c r="G1077" s="29"/>
      <c r="H1077" s="29"/>
      <c r="J1077" s="29"/>
      <c r="K1077" s="29"/>
      <c r="L1077" s="19"/>
      <c r="M1077" s="19"/>
      <c r="N1077" s="30"/>
      <c r="O1077" s="30"/>
      <c r="P1077" s="32"/>
      <c r="Q1077" s="32"/>
      <c r="R1077" s="32"/>
      <c r="S1077" s="32"/>
      <c r="T1077" s="32"/>
      <c r="U1077" s="30"/>
    </row>
    <row r="1078" spans="1:21">
      <c r="A1078" s="29"/>
      <c r="B1078" s="29"/>
      <c r="C1078" s="29"/>
      <c r="D1078" s="29"/>
      <c r="E1078" s="29"/>
      <c r="F1078" s="29"/>
      <c r="G1078" s="29"/>
      <c r="H1078" s="29"/>
      <c r="J1078" s="29"/>
      <c r="K1078" s="29"/>
      <c r="L1078" s="19"/>
      <c r="M1078" s="19"/>
      <c r="N1078" s="30"/>
      <c r="O1078" s="30"/>
      <c r="P1078" s="32"/>
      <c r="Q1078" s="32"/>
      <c r="R1078" s="32"/>
      <c r="S1078" s="32"/>
      <c r="T1078" s="32"/>
      <c r="U1078" s="30"/>
    </row>
    <row r="1079" spans="1:21">
      <c r="A1079" s="29"/>
      <c r="B1079" s="29"/>
      <c r="C1079" s="29"/>
      <c r="D1079" s="29"/>
      <c r="E1079" s="29"/>
      <c r="F1079" s="29"/>
      <c r="G1079" s="29"/>
      <c r="H1079" s="29"/>
      <c r="J1079" s="29"/>
      <c r="K1079" s="29"/>
      <c r="L1079" s="19"/>
      <c r="M1079" s="19"/>
      <c r="N1079" s="30"/>
      <c r="O1079" s="30"/>
      <c r="P1079" s="32"/>
      <c r="Q1079" s="32"/>
      <c r="R1079" s="32"/>
      <c r="S1079" s="32"/>
      <c r="T1079" s="32"/>
      <c r="U1079" s="30"/>
    </row>
    <row r="1080" spans="1:21">
      <c r="A1080" s="29"/>
      <c r="B1080" s="29"/>
      <c r="C1080" s="29"/>
      <c r="D1080" s="29"/>
      <c r="E1080" s="29"/>
      <c r="F1080" s="29"/>
      <c r="G1080" s="29"/>
      <c r="H1080" s="29"/>
      <c r="J1080" s="29"/>
      <c r="K1080" s="29"/>
      <c r="L1080" s="19"/>
      <c r="M1080" s="19"/>
      <c r="N1080" s="30"/>
      <c r="O1080" s="30"/>
      <c r="P1080" s="32"/>
      <c r="Q1080" s="32"/>
      <c r="R1080" s="32"/>
      <c r="S1080" s="32"/>
      <c r="T1080" s="32"/>
      <c r="U1080" s="30"/>
    </row>
    <row r="1081" spans="1:21">
      <c r="A1081" s="29"/>
      <c r="B1081" s="29"/>
      <c r="C1081" s="29"/>
      <c r="D1081" s="29"/>
      <c r="E1081" s="29"/>
      <c r="F1081" s="29"/>
      <c r="G1081" s="29"/>
      <c r="H1081" s="29"/>
      <c r="J1081" s="29"/>
      <c r="K1081" s="29"/>
      <c r="L1081" s="19"/>
      <c r="M1081" s="19"/>
      <c r="N1081" s="30"/>
      <c r="O1081" s="30"/>
      <c r="P1081" s="32"/>
      <c r="Q1081" s="32"/>
      <c r="R1081" s="32"/>
      <c r="S1081" s="32"/>
      <c r="T1081" s="32"/>
      <c r="U1081" s="30"/>
    </row>
    <row r="1082" spans="1:21">
      <c r="A1082" s="29"/>
      <c r="B1082" s="29"/>
      <c r="C1082" s="29"/>
      <c r="D1082" s="29"/>
      <c r="E1082" s="29"/>
      <c r="F1082" s="29"/>
      <c r="G1082" s="29"/>
      <c r="H1082" s="29"/>
      <c r="J1082" s="29"/>
      <c r="K1082" s="29"/>
      <c r="L1082" s="19"/>
      <c r="M1082" s="19"/>
      <c r="N1082" s="30"/>
      <c r="O1082" s="30"/>
      <c r="P1082" s="32"/>
      <c r="Q1082" s="32"/>
      <c r="R1082" s="32"/>
      <c r="S1082" s="32"/>
      <c r="T1082" s="32"/>
      <c r="U1082" s="30"/>
    </row>
    <row r="1083" spans="1:21">
      <c r="A1083" s="29"/>
      <c r="B1083" s="29"/>
      <c r="C1083" s="29"/>
      <c r="D1083" s="29"/>
      <c r="E1083" s="29"/>
      <c r="F1083" s="29"/>
      <c r="G1083" s="29"/>
      <c r="H1083" s="29"/>
      <c r="J1083" s="29"/>
      <c r="K1083" s="29"/>
      <c r="L1083" s="19"/>
      <c r="M1083" s="19"/>
      <c r="N1083" s="30"/>
      <c r="O1083" s="30"/>
      <c r="P1083" s="32"/>
      <c r="Q1083" s="32"/>
      <c r="R1083" s="32"/>
      <c r="S1083" s="32"/>
      <c r="T1083" s="32"/>
      <c r="U1083" s="30"/>
    </row>
    <row r="1084" spans="1:21">
      <c r="A1084" s="29"/>
      <c r="B1084" s="29"/>
      <c r="C1084" s="29"/>
      <c r="D1084" s="29"/>
      <c r="E1084" s="29"/>
      <c r="F1084" s="29"/>
      <c r="G1084" s="29"/>
      <c r="H1084" s="29"/>
      <c r="J1084" s="29"/>
      <c r="K1084" s="29"/>
      <c r="L1084" s="19"/>
      <c r="M1084" s="19"/>
      <c r="N1084" s="30"/>
      <c r="O1084" s="30"/>
      <c r="P1084" s="32"/>
      <c r="Q1084" s="32"/>
      <c r="R1084" s="32"/>
      <c r="S1084" s="32"/>
      <c r="T1084" s="32"/>
      <c r="U1084" s="30"/>
    </row>
    <row r="1085" spans="1:21">
      <c r="A1085" s="29"/>
      <c r="B1085" s="29"/>
      <c r="C1085" s="29"/>
      <c r="D1085" s="29"/>
      <c r="E1085" s="29"/>
      <c r="F1085" s="29"/>
      <c r="G1085" s="29"/>
      <c r="H1085" s="29"/>
      <c r="J1085" s="29"/>
      <c r="K1085" s="29"/>
      <c r="L1085" s="19"/>
      <c r="M1085" s="19"/>
      <c r="N1085" s="30"/>
      <c r="O1085" s="30"/>
      <c r="P1085" s="32"/>
      <c r="Q1085" s="32"/>
      <c r="R1085" s="32"/>
      <c r="S1085" s="32"/>
      <c r="T1085" s="32"/>
      <c r="U1085" s="30"/>
    </row>
    <row r="1086" spans="1:21">
      <c r="A1086" s="29"/>
      <c r="B1086" s="29"/>
      <c r="C1086" s="29"/>
      <c r="D1086" s="29"/>
      <c r="E1086" s="29"/>
      <c r="F1086" s="29"/>
      <c r="G1086" s="29"/>
      <c r="H1086" s="29"/>
      <c r="J1086" s="29"/>
      <c r="K1086" s="29"/>
      <c r="L1086" s="19"/>
      <c r="M1086" s="19"/>
      <c r="N1086" s="30"/>
      <c r="O1086" s="30"/>
      <c r="P1086" s="32"/>
      <c r="Q1086" s="32"/>
      <c r="R1086" s="32"/>
      <c r="S1086" s="32"/>
      <c r="T1086" s="32"/>
      <c r="U1086" s="30"/>
    </row>
    <row r="1087" spans="1:21">
      <c r="A1087" s="29"/>
      <c r="B1087" s="29"/>
      <c r="C1087" s="29"/>
      <c r="D1087" s="29"/>
      <c r="E1087" s="29"/>
      <c r="F1087" s="29"/>
      <c r="G1087" s="29"/>
      <c r="H1087" s="29"/>
      <c r="J1087" s="29"/>
      <c r="K1087" s="29"/>
      <c r="L1087" s="19"/>
      <c r="M1087" s="19"/>
      <c r="N1087" s="30"/>
      <c r="O1087" s="30"/>
      <c r="P1087" s="32"/>
      <c r="Q1087" s="32"/>
      <c r="R1087" s="32"/>
      <c r="S1087" s="32"/>
      <c r="T1087" s="32"/>
      <c r="U1087" s="30"/>
    </row>
    <row r="1088" spans="1:21">
      <c r="A1088" s="29"/>
      <c r="B1088" s="29"/>
      <c r="C1088" s="29"/>
      <c r="D1088" s="29"/>
      <c r="E1088" s="29"/>
      <c r="F1088" s="29"/>
      <c r="G1088" s="29"/>
      <c r="H1088" s="29"/>
      <c r="J1088" s="29"/>
      <c r="K1088" s="29"/>
      <c r="L1088" s="19"/>
      <c r="M1088" s="19"/>
      <c r="N1088" s="30"/>
      <c r="O1088" s="30"/>
      <c r="P1088" s="32"/>
      <c r="Q1088" s="32"/>
      <c r="R1088" s="32"/>
      <c r="S1088" s="32"/>
      <c r="T1088" s="32"/>
      <c r="U1088" s="30"/>
    </row>
    <row r="1089" spans="1:21">
      <c r="A1089" s="29"/>
      <c r="B1089" s="29"/>
      <c r="C1089" s="29"/>
      <c r="D1089" s="29"/>
      <c r="E1089" s="29"/>
      <c r="F1089" s="29"/>
      <c r="G1089" s="29"/>
      <c r="H1089" s="29"/>
      <c r="J1089" s="29"/>
      <c r="K1089" s="29"/>
      <c r="L1089" s="19"/>
      <c r="M1089" s="19"/>
      <c r="N1089" s="30"/>
      <c r="O1089" s="30"/>
      <c r="P1089" s="32"/>
      <c r="Q1089" s="32"/>
      <c r="R1089" s="32"/>
      <c r="S1089" s="32"/>
      <c r="T1089" s="32"/>
      <c r="U1089" s="30"/>
    </row>
    <row r="1090" spans="1:21">
      <c r="A1090" s="29"/>
      <c r="B1090" s="29"/>
      <c r="C1090" s="29"/>
      <c r="D1090" s="29"/>
      <c r="E1090" s="29"/>
      <c r="F1090" s="29"/>
      <c r="G1090" s="29"/>
      <c r="H1090" s="29"/>
      <c r="J1090" s="29"/>
      <c r="K1090" s="29"/>
      <c r="L1090" s="19"/>
      <c r="M1090" s="19"/>
      <c r="N1090" s="30"/>
      <c r="O1090" s="30"/>
      <c r="P1090" s="32"/>
      <c r="Q1090" s="32"/>
      <c r="R1090" s="32"/>
      <c r="S1090" s="32"/>
      <c r="T1090" s="32"/>
      <c r="U1090" s="30"/>
    </row>
    <row r="1091" spans="1:21">
      <c r="A1091" s="29"/>
      <c r="B1091" s="29"/>
      <c r="C1091" s="29"/>
      <c r="D1091" s="29"/>
      <c r="E1091" s="29"/>
      <c r="F1091" s="29"/>
      <c r="G1091" s="29"/>
      <c r="H1091" s="29"/>
      <c r="J1091" s="29"/>
      <c r="K1091" s="29"/>
      <c r="L1091" s="19"/>
      <c r="M1091" s="19"/>
      <c r="N1091" s="30"/>
      <c r="O1091" s="30"/>
      <c r="P1091" s="32"/>
      <c r="Q1091" s="32"/>
      <c r="R1091" s="32"/>
      <c r="S1091" s="32"/>
      <c r="T1091" s="32"/>
      <c r="U1091" s="30"/>
    </row>
    <row r="1092" spans="1:21">
      <c r="A1092" s="29"/>
      <c r="B1092" s="29"/>
      <c r="C1092" s="29"/>
      <c r="D1092" s="29"/>
      <c r="E1092" s="29"/>
      <c r="F1092" s="29"/>
      <c r="G1092" s="29"/>
      <c r="H1092" s="29"/>
      <c r="J1092" s="29"/>
      <c r="K1092" s="29"/>
      <c r="L1092" s="19"/>
      <c r="M1092" s="19"/>
      <c r="N1092" s="30"/>
      <c r="O1092" s="30"/>
      <c r="P1092" s="32"/>
      <c r="Q1092" s="32"/>
      <c r="R1092" s="32"/>
      <c r="S1092" s="32"/>
      <c r="T1092" s="32"/>
      <c r="U1092" s="30"/>
    </row>
    <row r="1093" spans="1:21">
      <c r="A1093" s="29"/>
      <c r="B1093" s="29"/>
      <c r="C1093" s="29"/>
      <c r="D1093" s="29"/>
      <c r="E1093" s="29"/>
      <c r="F1093" s="29"/>
      <c r="G1093" s="29"/>
      <c r="H1093" s="29"/>
      <c r="J1093" s="29"/>
      <c r="K1093" s="29"/>
      <c r="L1093" s="19"/>
      <c r="M1093" s="19"/>
      <c r="N1093" s="30"/>
      <c r="O1093" s="30"/>
      <c r="P1093" s="32"/>
      <c r="Q1093" s="32"/>
      <c r="R1093" s="32"/>
      <c r="S1093" s="32"/>
      <c r="T1093" s="32"/>
      <c r="U1093" s="30"/>
    </row>
    <row r="1094" spans="1:21">
      <c r="A1094" s="29"/>
      <c r="B1094" s="29"/>
      <c r="C1094" s="29"/>
      <c r="D1094" s="29"/>
      <c r="E1094" s="29"/>
      <c r="F1094" s="29"/>
      <c r="G1094" s="29"/>
      <c r="H1094" s="29"/>
      <c r="J1094" s="29"/>
      <c r="K1094" s="29"/>
      <c r="L1094" s="19"/>
      <c r="M1094" s="19"/>
      <c r="N1094" s="30"/>
      <c r="O1094" s="30"/>
      <c r="P1094" s="32"/>
      <c r="Q1094" s="32"/>
      <c r="R1094" s="32"/>
      <c r="S1094" s="32"/>
      <c r="T1094" s="32"/>
      <c r="U1094" s="30"/>
    </row>
    <row r="1095" spans="1:21">
      <c r="A1095" s="29"/>
      <c r="B1095" s="29"/>
      <c r="C1095" s="29"/>
      <c r="D1095" s="29"/>
      <c r="E1095" s="29"/>
      <c r="F1095" s="29"/>
      <c r="G1095" s="29"/>
      <c r="H1095" s="29"/>
      <c r="J1095" s="29"/>
      <c r="K1095" s="29"/>
      <c r="L1095" s="19"/>
      <c r="M1095" s="19"/>
      <c r="N1095" s="30"/>
      <c r="O1095" s="30"/>
      <c r="P1095" s="32"/>
      <c r="Q1095" s="32"/>
      <c r="R1095" s="32"/>
      <c r="S1095" s="32"/>
      <c r="T1095" s="32"/>
      <c r="U1095" s="30"/>
    </row>
    <row r="1096" spans="1:21">
      <c r="A1096" s="29"/>
      <c r="B1096" s="29"/>
      <c r="C1096" s="29"/>
      <c r="D1096" s="29"/>
      <c r="E1096" s="29"/>
      <c r="F1096" s="29"/>
      <c r="G1096" s="29"/>
      <c r="H1096" s="29"/>
      <c r="J1096" s="29"/>
      <c r="K1096" s="29"/>
      <c r="L1096" s="19"/>
      <c r="M1096" s="19"/>
      <c r="N1096" s="30"/>
      <c r="O1096" s="30"/>
      <c r="P1096" s="32"/>
      <c r="Q1096" s="32"/>
      <c r="R1096" s="32"/>
      <c r="S1096" s="32"/>
      <c r="T1096" s="32"/>
      <c r="U1096" s="30"/>
    </row>
    <row r="1097" spans="1:21">
      <c r="A1097" s="29"/>
      <c r="B1097" s="29"/>
      <c r="C1097" s="29"/>
      <c r="D1097" s="29"/>
      <c r="E1097" s="29"/>
      <c r="F1097" s="29"/>
      <c r="G1097" s="29"/>
      <c r="H1097" s="29"/>
      <c r="J1097" s="29"/>
      <c r="K1097" s="29"/>
      <c r="L1097" s="19"/>
      <c r="M1097" s="19"/>
      <c r="N1097" s="30"/>
      <c r="O1097" s="30"/>
      <c r="P1097" s="32"/>
      <c r="Q1097" s="32"/>
      <c r="R1097" s="32"/>
      <c r="S1097" s="32"/>
      <c r="T1097" s="32"/>
      <c r="U1097" s="30"/>
    </row>
    <row r="1098" spans="1:21">
      <c r="A1098" s="29"/>
      <c r="B1098" s="29"/>
      <c r="C1098" s="29"/>
      <c r="D1098" s="29"/>
      <c r="E1098" s="29"/>
      <c r="F1098" s="29"/>
      <c r="G1098" s="29"/>
      <c r="H1098" s="29"/>
      <c r="J1098" s="29"/>
      <c r="K1098" s="29"/>
      <c r="L1098" s="19"/>
      <c r="M1098" s="19"/>
      <c r="N1098" s="30"/>
      <c r="O1098" s="30"/>
      <c r="P1098" s="32"/>
      <c r="Q1098" s="32"/>
      <c r="R1098" s="32"/>
      <c r="S1098" s="32"/>
      <c r="T1098" s="32"/>
      <c r="U1098" s="30"/>
    </row>
    <row r="1099" spans="1:21">
      <c r="A1099" s="29"/>
      <c r="B1099" s="29"/>
      <c r="C1099" s="29"/>
      <c r="D1099" s="29"/>
      <c r="E1099" s="29"/>
      <c r="F1099" s="29"/>
      <c r="G1099" s="29"/>
      <c r="H1099" s="29"/>
      <c r="J1099" s="29"/>
      <c r="K1099" s="29"/>
      <c r="L1099" s="19"/>
      <c r="M1099" s="19"/>
      <c r="N1099" s="30"/>
      <c r="O1099" s="30"/>
      <c r="P1099" s="32"/>
      <c r="Q1099" s="32"/>
      <c r="R1099" s="32"/>
      <c r="S1099" s="32"/>
      <c r="T1099" s="32"/>
      <c r="U1099" s="30"/>
    </row>
    <row r="1100" spans="1:21">
      <c r="A1100" s="29"/>
      <c r="B1100" s="29"/>
      <c r="C1100" s="29"/>
      <c r="D1100" s="29"/>
      <c r="E1100" s="29"/>
      <c r="F1100" s="29"/>
      <c r="G1100" s="29"/>
      <c r="H1100" s="29"/>
      <c r="J1100" s="29"/>
      <c r="K1100" s="29"/>
      <c r="L1100" s="19"/>
      <c r="M1100" s="19"/>
      <c r="N1100" s="30"/>
      <c r="O1100" s="30"/>
      <c r="P1100" s="32"/>
      <c r="Q1100" s="32"/>
      <c r="R1100" s="32"/>
      <c r="S1100" s="32"/>
      <c r="T1100" s="32"/>
      <c r="U1100" s="30"/>
    </row>
    <row r="1101" spans="1:21">
      <c r="A1101" s="29"/>
      <c r="B1101" s="29"/>
      <c r="C1101" s="29"/>
      <c r="D1101" s="29"/>
      <c r="E1101" s="29"/>
      <c r="F1101" s="29"/>
      <c r="G1101" s="29"/>
      <c r="H1101" s="29"/>
      <c r="J1101" s="29"/>
      <c r="K1101" s="29"/>
      <c r="L1101" s="19"/>
      <c r="M1101" s="19"/>
      <c r="N1101" s="30"/>
      <c r="O1101" s="30"/>
      <c r="P1101" s="32"/>
      <c r="Q1101" s="32"/>
      <c r="R1101" s="32"/>
      <c r="S1101" s="32"/>
      <c r="T1101" s="32"/>
      <c r="U1101" s="30"/>
    </row>
    <row r="1102" spans="1:21">
      <c r="A1102" s="29"/>
      <c r="B1102" s="29"/>
      <c r="C1102" s="29"/>
      <c r="D1102" s="29"/>
      <c r="E1102" s="29"/>
      <c r="F1102" s="29"/>
      <c r="G1102" s="29"/>
      <c r="H1102" s="29"/>
      <c r="J1102" s="29"/>
      <c r="K1102" s="29"/>
      <c r="L1102" s="19"/>
      <c r="M1102" s="19"/>
      <c r="N1102" s="30"/>
      <c r="O1102" s="30"/>
      <c r="P1102" s="32"/>
      <c r="Q1102" s="32"/>
      <c r="R1102" s="32"/>
      <c r="S1102" s="32"/>
      <c r="T1102" s="32"/>
      <c r="U1102" s="30"/>
    </row>
    <row r="1103" spans="1:21">
      <c r="A1103" s="29"/>
      <c r="B1103" s="29"/>
      <c r="C1103" s="29"/>
      <c r="D1103" s="29"/>
      <c r="E1103" s="29"/>
      <c r="F1103" s="29"/>
      <c r="G1103" s="29"/>
      <c r="H1103" s="29"/>
      <c r="J1103" s="29"/>
      <c r="K1103" s="29"/>
      <c r="L1103" s="19"/>
      <c r="M1103" s="19"/>
      <c r="N1103" s="30"/>
      <c r="O1103" s="30"/>
      <c r="P1103" s="32"/>
      <c r="Q1103" s="32"/>
      <c r="R1103" s="32"/>
      <c r="S1103" s="32"/>
      <c r="T1103" s="32"/>
      <c r="U1103" s="30"/>
    </row>
    <row r="1104" spans="1:21">
      <c r="A1104" s="29"/>
      <c r="B1104" s="29"/>
      <c r="C1104" s="29"/>
      <c r="D1104" s="29"/>
      <c r="E1104" s="29"/>
      <c r="F1104" s="29"/>
      <c r="G1104" s="29"/>
      <c r="H1104" s="29"/>
      <c r="J1104" s="29"/>
      <c r="K1104" s="29"/>
      <c r="L1104" s="19"/>
      <c r="M1104" s="19"/>
      <c r="N1104" s="30"/>
      <c r="O1104" s="30"/>
      <c r="P1104" s="32"/>
      <c r="Q1104" s="32"/>
      <c r="R1104" s="32"/>
      <c r="S1104" s="32"/>
      <c r="T1104" s="32"/>
      <c r="U1104" s="30"/>
    </row>
    <row r="1105" spans="1:21">
      <c r="A1105" s="29"/>
      <c r="B1105" s="29"/>
      <c r="C1105" s="29"/>
      <c r="D1105" s="29"/>
      <c r="E1105" s="29"/>
      <c r="F1105" s="29"/>
      <c r="G1105" s="29"/>
      <c r="H1105" s="29"/>
      <c r="J1105" s="29"/>
      <c r="K1105" s="29"/>
      <c r="L1105" s="19"/>
      <c r="M1105" s="19"/>
      <c r="N1105" s="30"/>
      <c r="O1105" s="30"/>
      <c r="P1105" s="32"/>
      <c r="Q1105" s="32"/>
      <c r="R1105" s="32"/>
      <c r="S1105" s="32"/>
      <c r="T1105" s="32"/>
      <c r="U1105" s="30"/>
    </row>
    <row r="1106" spans="1:21">
      <c r="A1106" s="29"/>
      <c r="B1106" s="29"/>
      <c r="C1106" s="29"/>
      <c r="D1106" s="29"/>
      <c r="E1106" s="29"/>
      <c r="F1106" s="29"/>
      <c r="G1106" s="29"/>
      <c r="H1106" s="29"/>
      <c r="J1106" s="29"/>
      <c r="K1106" s="29"/>
      <c r="L1106" s="19"/>
      <c r="M1106" s="19"/>
      <c r="N1106" s="30"/>
      <c r="O1106" s="30"/>
      <c r="P1106" s="32"/>
      <c r="Q1106" s="32"/>
      <c r="R1106" s="32"/>
      <c r="S1106" s="32"/>
      <c r="T1106" s="32"/>
      <c r="U1106" s="30"/>
    </row>
    <row r="1107" spans="1:21">
      <c r="A1107" s="29"/>
      <c r="B1107" s="29"/>
      <c r="C1107" s="29"/>
      <c r="D1107" s="29"/>
      <c r="E1107" s="29"/>
      <c r="F1107" s="29"/>
      <c r="G1107" s="29"/>
      <c r="H1107" s="29"/>
      <c r="J1107" s="29"/>
      <c r="K1107" s="29"/>
      <c r="L1107" s="19"/>
      <c r="M1107" s="19"/>
      <c r="N1107" s="30"/>
      <c r="O1107" s="30"/>
      <c r="P1107" s="32"/>
      <c r="Q1107" s="32"/>
      <c r="R1107" s="32"/>
      <c r="S1107" s="32"/>
      <c r="T1107" s="32"/>
      <c r="U1107" s="30"/>
    </row>
    <row r="1108" spans="1:21">
      <c r="A1108" s="29"/>
      <c r="B1108" s="29"/>
      <c r="C1108" s="29"/>
      <c r="D1108" s="29"/>
      <c r="E1108" s="29"/>
      <c r="F1108" s="29"/>
      <c r="G1108" s="29"/>
      <c r="H1108" s="29"/>
      <c r="J1108" s="29"/>
      <c r="K1108" s="29"/>
      <c r="L1108" s="19"/>
      <c r="M1108" s="19"/>
      <c r="N1108" s="30"/>
      <c r="O1108" s="30"/>
      <c r="P1108" s="32"/>
      <c r="Q1108" s="32"/>
      <c r="R1108" s="32"/>
      <c r="S1108" s="32"/>
      <c r="T1108" s="32"/>
      <c r="U1108" s="30"/>
    </row>
    <row r="1109" spans="1:21">
      <c r="A1109" s="29"/>
      <c r="B1109" s="29"/>
      <c r="C1109" s="29"/>
      <c r="D1109" s="29"/>
      <c r="E1109" s="29"/>
      <c r="F1109" s="29"/>
      <c r="G1109" s="29"/>
      <c r="H1109" s="29"/>
      <c r="J1109" s="29"/>
      <c r="K1109" s="29"/>
      <c r="L1109" s="19"/>
      <c r="M1109" s="19"/>
      <c r="N1109" s="30"/>
      <c r="O1109" s="30"/>
      <c r="P1109" s="32"/>
      <c r="Q1109" s="32"/>
      <c r="R1109" s="32"/>
      <c r="S1109" s="32"/>
      <c r="T1109" s="32"/>
      <c r="U1109" s="30"/>
    </row>
    <row r="1110" spans="1:21">
      <c r="A1110" s="29"/>
      <c r="B1110" s="29"/>
      <c r="C1110" s="29"/>
      <c r="D1110" s="29"/>
      <c r="E1110" s="29"/>
      <c r="F1110" s="29"/>
      <c r="G1110" s="29"/>
      <c r="H1110" s="29"/>
      <c r="J1110" s="29"/>
      <c r="K1110" s="29"/>
      <c r="L1110" s="19"/>
      <c r="M1110" s="19"/>
      <c r="N1110" s="30"/>
      <c r="O1110" s="30"/>
      <c r="P1110" s="32"/>
      <c r="Q1110" s="32"/>
      <c r="R1110" s="32"/>
      <c r="S1110" s="32"/>
      <c r="T1110" s="32"/>
      <c r="U1110" s="30"/>
    </row>
    <row r="1111" spans="1:21">
      <c r="A1111" s="29"/>
      <c r="B1111" s="29"/>
      <c r="C1111" s="29"/>
      <c r="D1111" s="29"/>
      <c r="E1111" s="29"/>
      <c r="F1111" s="29"/>
      <c r="G1111" s="29"/>
      <c r="H1111" s="29"/>
      <c r="J1111" s="29"/>
      <c r="K1111" s="29"/>
      <c r="L1111" s="19"/>
      <c r="M1111" s="19"/>
      <c r="N1111" s="30"/>
      <c r="O1111" s="30"/>
      <c r="P1111" s="32"/>
      <c r="Q1111" s="32"/>
      <c r="R1111" s="32"/>
      <c r="S1111" s="32"/>
      <c r="T1111" s="32"/>
      <c r="U1111" s="30"/>
    </row>
    <row r="1112" spans="1:21">
      <c r="A1112" s="29"/>
      <c r="B1112" s="29"/>
      <c r="C1112" s="29"/>
      <c r="D1112" s="29"/>
      <c r="E1112" s="29"/>
      <c r="F1112" s="29"/>
      <c r="G1112" s="29"/>
      <c r="H1112" s="29"/>
      <c r="J1112" s="29"/>
      <c r="K1112" s="29"/>
      <c r="L1112" s="19"/>
      <c r="M1112" s="19"/>
      <c r="N1112" s="30"/>
      <c r="O1112" s="30"/>
      <c r="P1112" s="32"/>
      <c r="Q1112" s="32"/>
      <c r="R1112" s="32"/>
      <c r="S1112" s="32"/>
      <c r="T1112" s="32"/>
      <c r="U1112" s="30"/>
    </row>
    <row r="1113" spans="1:21">
      <c r="A1113" s="29"/>
      <c r="B1113" s="29"/>
      <c r="C1113" s="29"/>
      <c r="D1113" s="29"/>
      <c r="E1113" s="29"/>
      <c r="F1113" s="29"/>
      <c r="G1113" s="29"/>
      <c r="H1113" s="29"/>
      <c r="J1113" s="29"/>
      <c r="K1113" s="29"/>
      <c r="L1113" s="19"/>
      <c r="M1113" s="19"/>
      <c r="N1113" s="30"/>
      <c r="O1113" s="30"/>
      <c r="P1113" s="32"/>
      <c r="Q1113" s="32"/>
      <c r="R1113" s="32"/>
      <c r="S1113" s="32"/>
      <c r="T1113" s="32"/>
      <c r="U1113" s="30"/>
    </row>
    <row r="1114" spans="1:21">
      <c r="A1114" s="29"/>
      <c r="B1114" s="29"/>
      <c r="C1114" s="29"/>
      <c r="D1114" s="29"/>
      <c r="E1114" s="29"/>
      <c r="F1114" s="29"/>
      <c r="G1114" s="29"/>
      <c r="H1114" s="29"/>
      <c r="J1114" s="29"/>
      <c r="K1114" s="29"/>
      <c r="L1114" s="19"/>
      <c r="M1114" s="19"/>
      <c r="N1114" s="30"/>
      <c r="O1114" s="30"/>
      <c r="P1114" s="32"/>
      <c r="Q1114" s="32"/>
      <c r="R1114" s="32"/>
      <c r="S1114" s="32"/>
      <c r="T1114" s="32"/>
      <c r="U1114" s="30"/>
    </row>
    <row r="1115" spans="1:21">
      <c r="A1115" s="29"/>
      <c r="B1115" s="29"/>
      <c r="C1115" s="29"/>
      <c r="D1115" s="29"/>
      <c r="E1115" s="29"/>
      <c r="F1115" s="29"/>
      <c r="G1115" s="29"/>
      <c r="H1115" s="29"/>
      <c r="J1115" s="29"/>
      <c r="K1115" s="29"/>
      <c r="L1115" s="19"/>
      <c r="M1115" s="19"/>
      <c r="N1115" s="30"/>
      <c r="O1115" s="30"/>
      <c r="P1115" s="32"/>
      <c r="Q1115" s="32"/>
      <c r="R1115" s="32"/>
      <c r="S1115" s="32"/>
      <c r="T1115" s="32"/>
      <c r="U1115" s="30"/>
    </row>
    <row r="1116" spans="1:21">
      <c r="A1116" s="29"/>
      <c r="B1116" s="29"/>
      <c r="C1116" s="29"/>
      <c r="D1116" s="29"/>
      <c r="E1116" s="29"/>
      <c r="F1116" s="29"/>
      <c r="G1116" s="29"/>
      <c r="H1116" s="29"/>
      <c r="J1116" s="29"/>
      <c r="K1116" s="29"/>
      <c r="L1116" s="19"/>
      <c r="M1116" s="19"/>
      <c r="N1116" s="30"/>
      <c r="O1116" s="30"/>
      <c r="P1116" s="32"/>
      <c r="Q1116" s="32"/>
      <c r="R1116" s="32"/>
      <c r="S1116" s="32"/>
      <c r="T1116" s="32"/>
      <c r="U1116" s="30"/>
    </row>
    <row r="1117" spans="1:21">
      <c r="A1117" s="29"/>
      <c r="B1117" s="29"/>
      <c r="C1117" s="29"/>
      <c r="D1117" s="29"/>
      <c r="E1117" s="29"/>
      <c r="F1117" s="29"/>
      <c r="G1117" s="29"/>
      <c r="H1117" s="29"/>
      <c r="J1117" s="29"/>
      <c r="K1117" s="29"/>
      <c r="L1117" s="19"/>
      <c r="M1117" s="19"/>
      <c r="N1117" s="30"/>
      <c r="O1117" s="30"/>
      <c r="P1117" s="32"/>
      <c r="Q1117" s="32"/>
      <c r="R1117" s="32"/>
      <c r="S1117" s="32"/>
      <c r="T1117" s="32"/>
      <c r="U1117" s="30"/>
    </row>
    <row r="1118" spans="1:21">
      <c r="A1118" s="29"/>
      <c r="B1118" s="29"/>
      <c r="C1118" s="29"/>
      <c r="D1118" s="29"/>
      <c r="E1118" s="29"/>
      <c r="F1118" s="29"/>
      <c r="G1118" s="29"/>
      <c r="H1118" s="29"/>
      <c r="J1118" s="29"/>
      <c r="K1118" s="29"/>
      <c r="L1118" s="19"/>
      <c r="M1118" s="19"/>
      <c r="N1118" s="30"/>
      <c r="O1118" s="30"/>
      <c r="P1118" s="32"/>
      <c r="Q1118" s="32"/>
      <c r="R1118" s="32"/>
      <c r="S1118" s="32"/>
      <c r="T1118" s="32"/>
      <c r="U1118" s="30"/>
    </row>
    <row r="1119" spans="1:21">
      <c r="A1119" s="29"/>
      <c r="B1119" s="29"/>
      <c r="C1119" s="29"/>
      <c r="D1119" s="29"/>
      <c r="E1119" s="29"/>
      <c r="F1119" s="29"/>
      <c r="G1119" s="29"/>
      <c r="H1119" s="29"/>
      <c r="J1119" s="29"/>
      <c r="K1119" s="29"/>
      <c r="L1119" s="19"/>
      <c r="M1119" s="19"/>
      <c r="N1119" s="30"/>
      <c r="O1119" s="30"/>
      <c r="P1119" s="32"/>
      <c r="Q1119" s="32"/>
      <c r="R1119" s="32"/>
      <c r="S1119" s="32"/>
      <c r="T1119" s="32"/>
      <c r="U1119" s="30"/>
    </row>
    <row r="1120" spans="1:21">
      <c r="A1120" s="29"/>
      <c r="B1120" s="29"/>
      <c r="C1120" s="29"/>
      <c r="D1120" s="29"/>
      <c r="E1120" s="29"/>
      <c r="F1120" s="29"/>
      <c r="G1120" s="29"/>
      <c r="H1120" s="29"/>
      <c r="J1120" s="29"/>
      <c r="K1120" s="29"/>
      <c r="L1120" s="19"/>
      <c r="M1120" s="19"/>
      <c r="N1120" s="30"/>
      <c r="O1120" s="30"/>
      <c r="P1120" s="32"/>
      <c r="Q1120" s="32"/>
      <c r="R1120" s="32"/>
      <c r="S1120" s="32"/>
      <c r="T1120" s="32"/>
      <c r="U1120" s="30"/>
    </row>
    <row r="1121" spans="1:21">
      <c r="A1121" s="29"/>
      <c r="B1121" s="29"/>
      <c r="C1121" s="29"/>
      <c r="D1121" s="29"/>
      <c r="E1121" s="29"/>
      <c r="F1121" s="29"/>
      <c r="G1121" s="29"/>
      <c r="H1121" s="29"/>
      <c r="J1121" s="29"/>
      <c r="K1121" s="29"/>
      <c r="L1121" s="19"/>
      <c r="M1121" s="19"/>
      <c r="N1121" s="30"/>
      <c r="O1121" s="30"/>
      <c r="P1121" s="32"/>
      <c r="Q1121" s="32"/>
      <c r="R1121" s="32"/>
      <c r="S1121" s="32"/>
      <c r="T1121" s="32"/>
      <c r="U1121" s="30"/>
    </row>
    <row r="1122" spans="1:21">
      <c r="A1122" s="29"/>
      <c r="B1122" s="29"/>
      <c r="C1122" s="29"/>
      <c r="D1122" s="29"/>
      <c r="E1122" s="29"/>
      <c r="F1122" s="29"/>
      <c r="G1122" s="29"/>
      <c r="H1122" s="29"/>
      <c r="J1122" s="29"/>
      <c r="K1122" s="29"/>
      <c r="L1122" s="19"/>
      <c r="M1122" s="19"/>
      <c r="N1122" s="30"/>
      <c r="O1122" s="30"/>
      <c r="P1122" s="32"/>
      <c r="Q1122" s="32"/>
      <c r="R1122" s="32"/>
      <c r="S1122" s="32"/>
      <c r="T1122" s="32"/>
      <c r="U1122" s="30"/>
    </row>
    <row r="1123" spans="1:21">
      <c r="A1123" s="29"/>
      <c r="B1123" s="29"/>
      <c r="C1123" s="29"/>
      <c r="D1123" s="29"/>
      <c r="E1123" s="29"/>
      <c r="F1123" s="29"/>
      <c r="G1123" s="29"/>
      <c r="H1123" s="29"/>
      <c r="J1123" s="29"/>
      <c r="K1123" s="29"/>
      <c r="L1123" s="19"/>
      <c r="M1123" s="19"/>
      <c r="N1123" s="30"/>
      <c r="O1123" s="30"/>
      <c r="P1123" s="32"/>
      <c r="Q1123" s="32"/>
      <c r="R1123" s="32"/>
      <c r="S1123" s="32"/>
      <c r="T1123" s="32"/>
      <c r="U1123" s="30"/>
    </row>
    <row r="1124" spans="1:21">
      <c r="A1124" s="29"/>
      <c r="B1124" s="29"/>
      <c r="C1124" s="29"/>
      <c r="D1124" s="29"/>
      <c r="E1124" s="29"/>
      <c r="F1124" s="29"/>
      <c r="G1124" s="29"/>
      <c r="H1124" s="29"/>
      <c r="J1124" s="29"/>
      <c r="K1124" s="29"/>
      <c r="L1124" s="19"/>
      <c r="M1124" s="19"/>
      <c r="N1124" s="30"/>
      <c r="O1124" s="30"/>
      <c r="P1124" s="32"/>
      <c r="Q1124" s="32"/>
      <c r="R1124" s="32"/>
      <c r="S1124" s="32"/>
      <c r="T1124" s="32"/>
      <c r="U1124" s="30"/>
    </row>
    <row r="1125" spans="1:21">
      <c r="A1125" s="29"/>
      <c r="B1125" s="29"/>
      <c r="C1125" s="29"/>
      <c r="D1125" s="29"/>
      <c r="E1125" s="29"/>
      <c r="F1125" s="29"/>
      <c r="G1125" s="29"/>
      <c r="H1125" s="29"/>
      <c r="J1125" s="29"/>
      <c r="K1125" s="29"/>
      <c r="L1125" s="19"/>
      <c r="M1125" s="19"/>
      <c r="N1125" s="30"/>
      <c r="O1125" s="30"/>
      <c r="P1125" s="32"/>
      <c r="Q1125" s="32"/>
      <c r="R1125" s="32"/>
      <c r="S1125" s="32"/>
      <c r="T1125" s="32"/>
      <c r="U1125" s="30"/>
    </row>
    <row r="1126" spans="1:21">
      <c r="A1126" s="29"/>
      <c r="B1126" s="29"/>
      <c r="C1126" s="29"/>
      <c r="D1126" s="29"/>
      <c r="E1126" s="29"/>
      <c r="F1126" s="29"/>
      <c r="G1126" s="29"/>
      <c r="H1126" s="29"/>
      <c r="J1126" s="29"/>
      <c r="K1126" s="29"/>
      <c r="L1126" s="19"/>
      <c r="M1126" s="19"/>
      <c r="N1126" s="30"/>
      <c r="O1126" s="30"/>
      <c r="P1126" s="32"/>
      <c r="Q1126" s="32"/>
      <c r="R1126" s="32"/>
      <c r="S1126" s="32"/>
      <c r="T1126" s="32"/>
      <c r="U1126" s="30"/>
    </row>
    <row r="1127" spans="1:21">
      <c r="A1127" s="29"/>
      <c r="B1127" s="29"/>
      <c r="C1127" s="29"/>
      <c r="D1127" s="29"/>
      <c r="E1127" s="29"/>
      <c r="F1127" s="29"/>
      <c r="G1127" s="29"/>
      <c r="H1127" s="29"/>
      <c r="J1127" s="29"/>
      <c r="K1127" s="29"/>
      <c r="L1127" s="19"/>
      <c r="M1127" s="19"/>
      <c r="N1127" s="30"/>
      <c r="O1127" s="30"/>
      <c r="P1127" s="32"/>
      <c r="Q1127" s="32"/>
      <c r="R1127" s="32"/>
      <c r="S1127" s="32"/>
      <c r="T1127" s="32"/>
      <c r="U1127" s="30"/>
    </row>
    <row r="1128" spans="1:21">
      <c r="A1128" s="29"/>
      <c r="B1128" s="29"/>
      <c r="C1128" s="29"/>
      <c r="D1128" s="29"/>
      <c r="E1128" s="29"/>
      <c r="F1128" s="29"/>
      <c r="G1128" s="29"/>
      <c r="H1128" s="29"/>
      <c r="J1128" s="29"/>
      <c r="K1128" s="29"/>
      <c r="L1128" s="19"/>
      <c r="M1128" s="19"/>
      <c r="N1128" s="30"/>
      <c r="O1128" s="30"/>
      <c r="P1128" s="32"/>
      <c r="Q1128" s="32"/>
      <c r="R1128" s="32"/>
      <c r="S1128" s="32"/>
      <c r="T1128" s="32"/>
      <c r="U1128" s="30"/>
    </row>
    <row r="1129" spans="1:21">
      <c r="A1129" s="29"/>
      <c r="B1129" s="29"/>
      <c r="C1129" s="29"/>
      <c r="D1129" s="29"/>
      <c r="E1129" s="29"/>
      <c r="F1129" s="29"/>
      <c r="G1129" s="29"/>
      <c r="H1129" s="29"/>
      <c r="J1129" s="29"/>
      <c r="K1129" s="29"/>
      <c r="L1129" s="19"/>
      <c r="M1129" s="19"/>
      <c r="N1129" s="30"/>
      <c r="O1129" s="30"/>
      <c r="P1129" s="32"/>
      <c r="Q1129" s="32"/>
      <c r="R1129" s="32"/>
      <c r="S1129" s="32"/>
      <c r="T1129" s="32"/>
      <c r="U1129" s="30"/>
    </row>
    <row r="1130" spans="1:21">
      <c r="A1130" s="29"/>
      <c r="B1130" s="29"/>
      <c r="C1130" s="29"/>
      <c r="D1130" s="29"/>
      <c r="E1130" s="29"/>
      <c r="F1130" s="29"/>
      <c r="G1130" s="29"/>
      <c r="H1130" s="29"/>
      <c r="J1130" s="29"/>
      <c r="K1130" s="29"/>
      <c r="L1130" s="19"/>
      <c r="M1130" s="19"/>
      <c r="N1130" s="30"/>
      <c r="O1130" s="30"/>
      <c r="P1130" s="32"/>
      <c r="Q1130" s="32"/>
      <c r="R1130" s="32"/>
      <c r="S1130" s="32"/>
      <c r="T1130" s="32"/>
      <c r="U1130" s="30"/>
    </row>
    <row r="1131" spans="1:21">
      <c r="A1131" s="29"/>
      <c r="B1131" s="29"/>
      <c r="C1131" s="29"/>
      <c r="D1131" s="29"/>
      <c r="E1131" s="29"/>
      <c r="F1131" s="29"/>
      <c r="G1131" s="29"/>
      <c r="H1131" s="29"/>
      <c r="J1131" s="29"/>
      <c r="K1131" s="29"/>
      <c r="L1131" s="19"/>
      <c r="M1131" s="19"/>
      <c r="N1131" s="30"/>
      <c r="O1131" s="30"/>
      <c r="P1131" s="32"/>
      <c r="Q1131" s="32"/>
      <c r="R1131" s="32"/>
      <c r="S1131" s="32"/>
      <c r="T1131" s="32"/>
      <c r="U1131" s="30"/>
    </row>
    <row r="1132" spans="1:21">
      <c r="A1132" s="29"/>
      <c r="B1132" s="29"/>
      <c r="C1132" s="29"/>
      <c r="D1132" s="29"/>
      <c r="E1132" s="29"/>
      <c r="F1132" s="29"/>
      <c r="G1132" s="29"/>
      <c r="H1132" s="29"/>
      <c r="J1132" s="29"/>
      <c r="K1132" s="29"/>
      <c r="L1132" s="19"/>
      <c r="M1132" s="19"/>
      <c r="N1132" s="30"/>
      <c r="O1132" s="30"/>
      <c r="P1132" s="32"/>
      <c r="Q1132" s="32"/>
      <c r="R1132" s="32"/>
      <c r="S1132" s="32"/>
      <c r="T1132" s="32"/>
      <c r="U1132" s="30"/>
    </row>
    <row r="1133" spans="1:21">
      <c r="A1133" s="29"/>
      <c r="B1133" s="29"/>
      <c r="C1133" s="29"/>
      <c r="D1133" s="29"/>
      <c r="E1133" s="29"/>
      <c r="F1133" s="29"/>
      <c r="G1133" s="29"/>
      <c r="H1133" s="29"/>
      <c r="J1133" s="29"/>
      <c r="K1133" s="29"/>
      <c r="L1133" s="19"/>
      <c r="M1133" s="19"/>
      <c r="N1133" s="30"/>
      <c r="O1133" s="30"/>
      <c r="P1133" s="32"/>
      <c r="Q1133" s="32"/>
      <c r="R1133" s="32"/>
      <c r="S1133" s="32"/>
      <c r="T1133" s="32"/>
      <c r="U1133" s="30"/>
    </row>
    <row r="1134" spans="1:21">
      <c r="A1134" s="29"/>
      <c r="B1134" s="29"/>
      <c r="C1134" s="29"/>
      <c r="D1134" s="29"/>
      <c r="E1134" s="29"/>
      <c r="F1134" s="29"/>
      <c r="G1134" s="29"/>
      <c r="H1134" s="29"/>
      <c r="J1134" s="29"/>
      <c r="K1134" s="29"/>
      <c r="L1134" s="19"/>
      <c r="M1134" s="19"/>
      <c r="N1134" s="30"/>
      <c r="O1134" s="30"/>
      <c r="P1134" s="32"/>
      <c r="Q1134" s="32"/>
      <c r="R1134" s="32"/>
      <c r="S1134" s="32"/>
      <c r="T1134" s="32"/>
      <c r="U1134" s="30"/>
    </row>
    <row r="1135" spans="1:21">
      <c r="A1135" s="29"/>
      <c r="B1135" s="29"/>
      <c r="C1135" s="29"/>
      <c r="D1135" s="29"/>
      <c r="E1135" s="29"/>
      <c r="F1135" s="29"/>
      <c r="G1135" s="29"/>
      <c r="H1135" s="29"/>
      <c r="J1135" s="29"/>
      <c r="K1135" s="29"/>
      <c r="L1135" s="19"/>
      <c r="M1135" s="19"/>
      <c r="N1135" s="30"/>
      <c r="O1135" s="30"/>
      <c r="P1135" s="32"/>
      <c r="Q1135" s="32"/>
      <c r="R1135" s="32"/>
      <c r="S1135" s="32"/>
      <c r="T1135" s="32"/>
      <c r="U1135" s="30"/>
    </row>
    <row r="1136" spans="1:21">
      <c r="A1136" s="29"/>
      <c r="B1136" s="29"/>
      <c r="C1136" s="29"/>
      <c r="D1136" s="29"/>
      <c r="E1136" s="29"/>
      <c r="F1136" s="29"/>
      <c r="G1136" s="29"/>
      <c r="H1136" s="29"/>
      <c r="J1136" s="29"/>
      <c r="K1136" s="29"/>
      <c r="L1136" s="19"/>
      <c r="M1136" s="19"/>
      <c r="N1136" s="30"/>
      <c r="O1136" s="30"/>
      <c r="P1136" s="32"/>
      <c r="Q1136" s="32"/>
      <c r="R1136" s="32"/>
      <c r="S1136" s="32"/>
      <c r="T1136" s="32"/>
      <c r="U1136" s="30"/>
    </row>
    <row r="1137" spans="1:21">
      <c r="A1137" s="29"/>
      <c r="B1137" s="29"/>
      <c r="C1137" s="29"/>
      <c r="D1137" s="29"/>
      <c r="E1137" s="29"/>
      <c r="F1137" s="29"/>
      <c r="G1137" s="29"/>
      <c r="H1137" s="29"/>
      <c r="J1137" s="29"/>
      <c r="K1137" s="29"/>
      <c r="L1137" s="19"/>
      <c r="M1137" s="19"/>
      <c r="N1137" s="30"/>
      <c r="O1137" s="30"/>
      <c r="P1137" s="32"/>
      <c r="Q1137" s="32"/>
      <c r="R1137" s="32"/>
      <c r="S1137" s="32"/>
      <c r="T1137" s="32"/>
      <c r="U1137" s="30"/>
    </row>
    <row r="1138" spans="1:21">
      <c r="A1138" s="29"/>
      <c r="B1138" s="29"/>
      <c r="C1138" s="29"/>
      <c r="D1138" s="29"/>
      <c r="E1138" s="29"/>
      <c r="F1138" s="29"/>
      <c r="G1138" s="29"/>
      <c r="H1138" s="29"/>
      <c r="J1138" s="29"/>
      <c r="K1138" s="29"/>
      <c r="L1138" s="19"/>
      <c r="M1138" s="19"/>
      <c r="N1138" s="30"/>
      <c r="O1138" s="30"/>
      <c r="P1138" s="32"/>
      <c r="Q1138" s="32"/>
      <c r="R1138" s="32"/>
      <c r="S1138" s="32"/>
      <c r="T1138" s="32"/>
      <c r="U1138" s="30"/>
    </row>
    <row r="1139" spans="1:21">
      <c r="A1139" s="29"/>
      <c r="B1139" s="29"/>
      <c r="C1139" s="29"/>
      <c r="D1139" s="29"/>
      <c r="E1139" s="29"/>
      <c r="F1139" s="29"/>
      <c r="G1139" s="29"/>
      <c r="H1139" s="29"/>
      <c r="J1139" s="29"/>
      <c r="K1139" s="29"/>
      <c r="L1139" s="19"/>
      <c r="M1139" s="19"/>
      <c r="N1139" s="30"/>
      <c r="O1139" s="30"/>
      <c r="P1139" s="32"/>
      <c r="Q1139" s="32"/>
      <c r="R1139" s="32"/>
      <c r="S1139" s="32"/>
      <c r="T1139" s="32"/>
      <c r="U1139" s="30"/>
    </row>
    <row r="1140" spans="1:21">
      <c r="A1140" s="29"/>
      <c r="B1140" s="29"/>
      <c r="C1140" s="29"/>
      <c r="D1140" s="29"/>
      <c r="E1140" s="29"/>
      <c r="F1140" s="29"/>
      <c r="G1140" s="29"/>
      <c r="H1140" s="29"/>
      <c r="J1140" s="29"/>
      <c r="K1140" s="29"/>
      <c r="L1140" s="19"/>
      <c r="M1140" s="19"/>
      <c r="N1140" s="30"/>
      <c r="O1140" s="30"/>
      <c r="P1140" s="32"/>
      <c r="Q1140" s="32"/>
      <c r="R1140" s="32"/>
      <c r="S1140" s="32"/>
      <c r="T1140" s="32"/>
      <c r="U1140" s="30"/>
    </row>
    <row r="1141" spans="1:21">
      <c r="A1141" s="29"/>
      <c r="B1141" s="29"/>
      <c r="C1141" s="29"/>
      <c r="D1141" s="29"/>
      <c r="E1141" s="29"/>
      <c r="F1141" s="29"/>
      <c r="G1141" s="29"/>
      <c r="H1141" s="29"/>
      <c r="J1141" s="29"/>
      <c r="K1141" s="29"/>
      <c r="L1141" s="19"/>
      <c r="M1141" s="19"/>
      <c r="N1141" s="30"/>
      <c r="O1141" s="30"/>
      <c r="P1141" s="32"/>
      <c r="Q1141" s="32"/>
      <c r="R1141" s="32"/>
      <c r="S1141" s="32"/>
      <c r="T1141" s="32"/>
      <c r="U1141" s="30"/>
    </row>
    <row r="1142" spans="1:21">
      <c r="A1142" s="29"/>
      <c r="B1142" s="29"/>
      <c r="C1142" s="29"/>
      <c r="D1142" s="29"/>
      <c r="E1142" s="29"/>
      <c r="F1142" s="29"/>
      <c r="G1142" s="29"/>
      <c r="H1142" s="29"/>
      <c r="J1142" s="29"/>
      <c r="K1142" s="29"/>
      <c r="L1142" s="19"/>
      <c r="M1142" s="19"/>
      <c r="N1142" s="30"/>
      <c r="O1142" s="30"/>
      <c r="P1142" s="32"/>
      <c r="Q1142" s="32"/>
      <c r="R1142" s="32"/>
      <c r="S1142" s="32"/>
      <c r="T1142" s="32"/>
      <c r="U1142" s="30"/>
    </row>
    <row r="1143" spans="1:21">
      <c r="A1143" s="29"/>
      <c r="B1143" s="29"/>
      <c r="C1143" s="29"/>
      <c r="D1143" s="29"/>
      <c r="E1143" s="29"/>
      <c r="F1143" s="29"/>
      <c r="G1143" s="29"/>
      <c r="H1143" s="29"/>
      <c r="J1143" s="29"/>
      <c r="K1143" s="29"/>
      <c r="L1143" s="19"/>
      <c r="M1143" s="19"/>
      <c r="N1143" s="30"/>
      <c r="O1143" s="30"/>
      <c r="P1143" s="32"/>
      <c r="Q1143" s="32"/>
      <c r="R1143" s="32"/>
      <c r="S1143" s="32"/>
      <c r="T1143" s="32"/>
      <c r="U1143" s="30"/>
    </row>
    <row r="1144" spans="1:21">
      <c r="A1144" s="29"/>
      <c r="B1144" s="29"/>
      <c r="C1144" s="29"/>
      <c r="D1144" s="29"/>
      <c r="E1144" s="29"/>
      <c r="F1144" s="29"/>
      <c r="G1144" s="29"/>
      <c r="H1144" s="29"/>
      <c r="J1144" s="29"/>
      <c r="K1144" s="29"/>
      <c r="L1144" s="19"/>
      <c r="M1144" s="19"/>
      <c r="N1144" s="30"/>
      <c r="O1144" s="30"/>
      <c r="P1144" s="32"/>
      <c r="Q1144" s="32"/>
      <c r="R1144" s="32"/>
      <c r="S1144" s="32"/>
      <c r="T1144" s="32"/>
      <c r="U1144" s="30"/>
    </row>
    <row r="1145" spans="1:21">
      <c r="A1145" s="29"/>
      <c r="B1145" s="29"/>
      <c r="C1145" s="29"/>
      <c r="D1145" s="29"/>
      <c r="E1145" s="29"/>
      <c r="F1145" s="29"/>
      <c r="G1145" s="29"/>
      <c r="H1145" s="29"/>
      <c r="J1145" s="29"/>
      <c r="K1145" s="29"/>
      <c r="L1145" s="19"/>
      <c r="M1145" s="19"/>
      <c r="N1145" s="30"/>
      <c r="O1145" s="30"/>
      <c r="P1145" s="32"/>
      <c r="Q1145" s="32"/>
      <c r="R1145" s="32"/>
      <c r="S1145" s="32"/>
      <c r="T1145" s="32"/>
      <c r="U1145" s="30"/>
    </row>
    <row r="1146" spans="1:21">
      <c r="A1146" s="29"/>
      <c r="B1146" s="29"/>
      <c r="C1146" s="29"/>
      <c r="D1146" s="29"/>
      <c r="E1146" s="29"/>
      <c r="F1146" s="29"/>
      <c r="G1146" s="29"/>
      <c r="H1146" s="29"/>
      <c r="J1146" s="29"/>
      <c r="K1146" s="29"/>
      <c r="L1146" s="19"/>
      <c r="M1146" s="19"/>
      <c r="N1146" s="30"/>
      <c r="O1146" s="30"/>
      <c r="P1146" s="32"/>
      <c r="Q1146" s="32"/>
      <c r="R1146" s="32"/>
      <c r="S1146" s="32"/>
      <c r="T1146" s="32"/>
      <c r="U1146" s="30"/>
    </row>
    <row r="1147" spans="1:21">
      <c r="A1147" s="29"/>
      <c r="B1147" s="29"/>
      <c r="C1147" s="29"/>
      <c r="D1147" s="29"/>
      <c r="E1147" s="29"/>
      <c r="F1147" s="29"/>
      <c r="G1147" s="29"/>
      <c r="H1147" s="29"/>
      <c r="J1147" s="29"/>
      <c r="K1147" s="29"/>
      <c r="L1147" s="19"/>
      <c r="M1147" s="19"/>
      <c r="N1147" s="30"/>
      <c r="O1147" s="30"/>
      <c r="P1147" s="32"/>
      <c r="Q1147" s="32"/>
      <c r="R1147" s="32"/>
      <c r="S1147" s="32"/>
      <c r="T1147" s="32"/>
      <c r="U1147" s="30"/>
    </row>
    <row r="1148" spans="1:21">
      <c r="A1148" s="29"/>
      <c r="B1148" s="29"/>
      <c r="C1148" s="29"/>
      <c r="D1148" s="29"/>
      <c r="E1148" s="29"/>
      <c r="F1148" s="29"/>
      <c r="G1148" s="29"/>
      <c r="H1148" s="29"/>
      <c r="J1148" s="29"/>
      <c r="K1148" s="29"/>
      <c r="L1148" s="19"/>
      <c r="M1148" s="19"/>
      <c r="N1148" s="30"/>
      <c r="O1148" s="30"/>
      <c r="P1148" s="32"/>
      <c r="Q1148" s="32"/>
      <c r="R1148" s="32"/>
      <c r="S1148" s="32"/>
      <c r="T1148" s="32"/>
      <c r="U1148" s="30"/>
    </row>
    <row r="1149" spans="1:21">
      <c r="A1149" s="29"/>
      <c r="B1149" s="29"/>
      <c r="C1149" s="29"/>
      <c r="D1149" s="29"/>
      <c r="E1149" s="29"/>
      <c r="F1149" s="29"/>
      <c r="G1149" s="29"/>
      <c r="H1149" s="29"/>
      <c r="J1149" s="29"/>
      <c r="K1149" s="29"/>
      <c r="L1149" s="19"/>
      <c r="M1149" s="19"/>
      <c r="N1149" s="30"/>
      <c r="O1149" s="30"/>
      <c r="P1149" s="32"/>
      <c r="Q1149" s="32"/>
      <c r="R1149" s="32"/>
      <c r="S1149" s="32"/>
      <c r="T1149" s="32"/>
      <c r="U1149" s="30"/>
    </row>
    <row r="1150" spans="1:21">
      <c r="A1150" s="29"/>
      <c r="B1150" s="29"/>
      <c r="C1150" s="29"/>
      <c r="D1150" s="29"/>
      <c r="E1150" s="29"/>
      <c r="F1150" s="29"/>
      <c r="G1150" s="29"/>
      <c r="H1150" s="29"/>
      <c r="J1150" s="29"/>
      <c r="K1150" s="29"/>
      <c r="L1150" s="19"/>
      <c r="M1150" s="19"/>
      <c r="N1150" s="30"/>
      <c r="O1150" s="30"/>
      <c r="P1150" s="32"/>
      <c r="Q1150" s="32"/>
      <c r="R1150" s="32"/>
      <c r="S1150" s="32"/>
      <c r="T1150" s="32"/>
      <c r="U1150" s="30"/>
    </row>
    <row r="1151" spans="1:21">
      <c r="A1151" s="29"/>
      <c r="B1151" s="29"/>
      <c r="C1151" s="29"/>
      <c r="D1151" s="29"/>
      <c r="E1151" s="29"/>
      <c r="F1151" s="29"/>
      <c r="G1151" s="29"/>
      <c r="H1151" s="29"/>
      <c r="J1151" s="29"/>
      <c r="K1151" s="29"/>
      <c r="L1151" s="19"/>
      <c r="M1151" s="19"/>
      <c r="N1151" s="30"/>
      <c r="O1151" s="30"/>
      <c r="P1151" s="32"/>
      <c r="Q1151" s="32"/>
      <c r="R1151" s="32"/>
      <c r="S1151" s="32"/>
      <c r="T1151" s="32"/>
      <c r="U1151" s="30"/>
    </row>
    <row r="1152" spans="1:21">
      <c r="A1152" s="29"/>
      <c r="B1152" s="29"/>
      <c r="C1152" s="29"/>
      <c r="D1152" s="29"/>
      <c r="E1152" s="29"/>
      <c r="F1152" s="29"/>
      <c r="G1152" s="29"/>
      <c r="H1152" s="29"/>
      <c r="J1152" s="29"/>
      <c r="K1152" s="29"/>
      <c r="L1152" s="19"/>
      <c r="M1152" s="19"/>
      <c r="N1152" s="30"/>
      <c r="O1152" s="30"/>
      <c r="P1152" s="32"/>
      <c r="Q1152" s="32"/>
      <c r="R1152" s="32"/>
      <c r="S1152" s="32"/>
      <c r="T1152" s="32"/>
      <c r="U1152" s="30"/>
    </row>
    <row r="1153" spans="1:21">
      <c r="A1153" s="29"/>
      <c r="B1153" s="29"/>
      <c r="C1153" s="29"/>
      <c r="D1153" s="29"/>
      <c r="E1153" s="29"/>
      <c r="F1153" s="29"/>
      <c r="G1153" s="29"/>
      <c r="H1153" s="29"/>
      <c r="J1153" s="29"/>
      <c r="K1153" s="29"/>
      <c r="L1153" s="19"/>
      <c r="M1153" s="19"/>
      <c r="N1153" s="30"/>
      <c r="O1153" s="30"/>
      <c r="P1153" s="32"/>
      <c r="Q1153" s="32"/>
      <c r="R1153" s="32"/>
      <c r="S1153" s="32"/>
      <c r="T1153" s="32"/>
      <c r="U1153" s="30"/>
    </row>
    <row r="1154" spans="1:21">
      <c r="A1154" s="29"/>
      <c r="B1154" s="29"/>
      <c r="C1154" s="29"/>
      <c r="D1154" s="29"/>
      <c r="E1154" s="29"/>
      <c r="F1154" s="29"/>
      <c r="G1154" s="29"/>
      <c r="H1154" s="29"/>
      <c r="J1154" s="29"/>
      <c r="K1154" s="29"/>
      <c r="L1154" s="19"/>
      <c r="M1154" s="19"/>
      <c r="N1154" s="30"/>
      <c r="O1154" s="30"/>
      <c r="P1154" s="32"/>
      <c r="Q1154" s="32"/>
      <c r="R1154" s="32"/>
      <c r="S1154" s="32"/>
      <c r="T1154" s="32"/>
      <c r="U1154" s="30"/>
    </row>
    <row r="1155" spans="1:21">
      <c r="A1155" s="29"/>
      <c r="B1155" s="29"/>
      <c r="C1155" s="29"/>
      <c r="D1155" s="29"/>
      <c r="E1155" s="29"/>
      <c r="F1155" s="29"/>
      <c r="G1155" s="29"/>
      <c r="H1155" s="29"/>
      <c r="J1155" s="29"/>
      <c r="K1155" s="29"/>
      <c r="L1155" s="19"/>
      <c r="M1155" s="19"/>
      <c r="N1155" s="30"/>
      <c r="O1155" s="30"/>
      <c r="P1155" s="32"/>
      <c r="Q1155" s="32"/>
      <c r="R1155" s="32"/>
      <c r="S1155" s="32"/>
      <c r="T1155" s="32"/>
      <c r="U1155" s="30"/>
    </row>
    <row r="1156" spans="1:21">
      <c r="A1156" s="29"/>
      <c r="B1156" s="29"/>
      <c r="C1156" s="29"/>
      <c r="D1156" s="29"/>
      <c r="E1156" s="29"/>
      <c r="F1156" s="29"/>
      <c r="G1156" s="29"/>
      <c r="H1156" s="29"/>
      <c r="J1156" s="29"/>
      <c r="K1156" s="29"/>
      <c r="L1156" s="19"/>
      <c r="M1156" s="19"/>
      <c r="N1156" s="30"/>
      <c r="O1156" s="30"/>
      <c r="P1156" s="32"/>
      <c r="Q1156" s="32"/>
      <c r="R1156" s="32"/>
      <c r="S1156" s="32"/>
      <c r="T1156" s="32"/>
      <c r="U1156" s="30"/>
    </row>
    <row r="1157" spans="1:21">
      <c r="A1157" s="29"/>
      <c r="B1157" s="29"/>
      <c r="C1157" s="29"/>
      <c r="D1157" s="29"/>
      <c r="E1157" s="29"/>
      <c r="F1157" s="29"/>
      <c r="G1157" s="29"/>
      <c r="H1157" s="29"/>
      <c r="J1157" s="29"/>
      <c r="K1157" s="29"/>
      <c r="L1157" s="19"/>
      <c r="M1157" s="19"/>
      <c r="N1157" s="30"/>
      <c r="O1157" s="30"/>
      <c r="P1157" s="32"/>
      <c r="Q1157" s="32"/>
      <c r="R1157" s="32"/>
      <c r="S1157" s="32"/>
      <c r="T1157" s="32"/>
      <c r="U1157" s="30"/>
    </row>
    <row r="1158" spans="1:21">
      <c r="A1158" s="29"/>
      <c r="B1158" s="29"/>
      <c r="C1158" s="29"/>
      <c r="D1158" s="29"/>
      <c r="E1158" s="29"/>
      <c r="F1158" s="29"/>
      <c r="G1158" s="29"/>
      <c r="H1158" s="29"/>
      <c r="J1158" s="29"/>
      <c r="K1158" s="29"/>
      <c r="L1158" s="19"/>
      <c r="M1158" s="19"/>
      <c r="N1158" s="30"/>
      <c r="O1158" s="30"/>
      <c r="P1158" s="32"/>
      <c r="Q1158" s="32"/>
      <c r="R1158" s="32"/>
      <c r="S1158" s="32"/>
      <c r="T1158" s="32"/>
      <c r="U1158" s="30"/>
    </row>
    <row r="1159" spans="1:21">
      <c r="A1159" s="29"/>
      <c r="B1159" s="29"/>
      <c r="C1159" s="29"/>
      <c r="D1159" s="29"/>
      <c r="E1159" s="29"/>
      <c r="F1159" s="29"/>
      <c r="G1159" s="29"/>
      <c r="H1159" s="29"/>
      <c r="J1159" s="29"/>
      <c r="K1159" s="29"/>
      <c r="L1159" s="19"/>
      <c r="M1159" s="19"/>
      <c r="N1159" s="30"/>
      <c r="O1159" s="30"/>
      <c r="P1159" s="32"/>
      <c r="Q1159" s="32"/>
      <c r="R1159" s="32"/>
      <c r="S1159" s="32"/>
      <c r="T1159" s="32"/>
      <c r="U1159" s="30"/>
    </row>
    <row r="1160" spans="1:21">
      <c r="A1160" s="29"/>
      <c r="B1160" s="29"/>
      <c r="C1160" s="29"/>
      <c r="D1160" s="29"/>
      <c r="E1160" s="29"/>
      <c r="F1160" s="29"/>
      <c r="G1160" s="29"/>
      <c r="H1160" s="29"/>
      <c r="J1160" s="29"/>
      <c r="K1160" s="29"/>
      <c r="L1160" s="19"/>
      <c r="M1160" s="19"/>
      <c r="N1160" s="30"/>
      <c r="O1160" s="30"/>
      <c r="P1160" s="32"/>
      <c r="Q1160" s="32"/>
      <c r="R1160" s="32"/>
      <c r="S1160" s="32"/>
      <c r="T1160" s="32"/>
      <c r="U1160" s="30"/>
    </row>
    <row r="1161" spans="1:21">
      <c r="A1161" s="29"/>
      <c r="B1161" s="29"/>
      <c r="C1161" s="29"/>
      <c r="D1161" s="29"/>
      <c r="E1161" s="29"/>
      <c r="F1161" s="29"/>
      <c r="G1161" s="29"/>
      <c r="H1161" s="29"/>
      <c r="J1161" s="29"/>
      <c r="K1161" s="29"/>
      <c r="L1161" s="19"/>
      <c r="M1161" s="19"/>
      <c r="N1161" s="30"/>
      <c r="O1161" s="30"/>
      <c r="P1161" s="32"/>
      <c r="Q1161" s="32"/>
      <c r="R1161" s="32"/>
      <c r="S1161" s="32"/>
      <c r="T1161" s="32"/>
      <c r="U1161" s="30"/>
    </row>
    <row r="1162" spans="1:21">
      <c r="A1162" s="29"/>
      <c r="B1162" s="29"/>
      <c r="C1162" s="29"/>
      <c r="D1162" s="29"/>
      <c r="E1162" s="29"/>
      <c r="F1162" s="29"/>
      <c r="G1162" s="29"/>
      <c r="H1162" s="29"/>
      <c r="J1162" s="29"/>
      <c r="K1162" s="29"/>
      <c r="L1162" s="19"/>
      <c r="M1162" s="19"/>
      <c r="N1162" s="30"/>
      <c r="O1162" s="30"/>
      <c r="P1162" s="32"/>
      <c r="Q1162" s="32"/>
      <c r="R1162" s="32"/>
      <c r="S1162" s="32"/>
      <c r="T1162" s="32"/>
      <c r="U1162" s="30"/>
    </row>
    <row r="1163" spans="1:21">
      <c r="A1163" s="29"/>
      <c r="B1163" s="29"/>
      <c r="C1163" s="29"/>
      <c r="D1163" s="29"/>
      <c r="E1163" s="29"/>
      <c r="F1163" s="29"/>
      <c r="G1163" s="29"/>
      <c r="H1163" s="29"/>
      <c r="J1163" s="29"/>
      <c r="K1163" s="29"/>
      <c r="L1163" s="19"/>
      <c r="M1163" s="19"/>
      <c r="N1163" s="30"/>
      <c r="O1163" s="30"/>
      <c r="P1163" s="32"/>
      <c r="Q1163" s="32"/>
      <c r="R1163" s="32"/>
      <c r="S1163" s="32"/>
      <c r="T1163" s="32"/>
      <c r="U1163" s="30"/>
    </row>
    <row r="1164" spans="1:21">
      <c r="A1164" s="29"/>
      <c r="B1164" s="29"/>
      <c r="C1164" s="29"/>
      <c r="D1164" s="29"/>
      <c r="E1164" s="29"/>
      <c r="F1164" s="29"/>
      <c r="G1164" s="29"/>
      <c r="H1164" s="29"/>
      <c r="J1164" s="29"/>
      <c r="K1164" s="29"/>
      <c r="L1164" s="19"/>
      <c r="M1164" s="19"/>
      <c r="N1164" s="30"/>
      <c r="O1164" s="30"/>
      <c r="P1164" s="32"/>
      <c r="Q1164" s="32"/>
      <c r="R1164" s="32"/>
      <c r="S1164" s="32"/>
      <c r="T1164" s="32"/>
      <c r="U1164" s="30"/>
    </row>
    <row r="1165" spans="1:21">
      <c r="A1165" s="29"/>
      <c r="B1165" s="29"/>
      <c r="C1165" s="29"/>
      <c r="D1165" s="29"/>
      <c r="E1165" s="29"/>
      <c r="F1165" s="29"/>
      <c r="G1165" s="29"/>
      <c r="H1165" s="29"/>
      <c r="J1165" s="29"/>
      <c r="K1165" s="29"/>
      <c r="L1165" s="19"/>
      <c r="M1165" s="19"/>
      <c r="N1165" s="30"/>
      <c r="O1165" s="30"/>
      <c r="P1165" s="32"/>
      <c r="Q1165" s="32"/>
      <c r="R1165" s="32"/>
      <c r="S1165" s="32"/>
      <c r="T1165" s="32"/>
      <c r="U1165" s="30"/>
    </row>
    <row r="1166" spans="1:21">
      <c r="A1166" s="29"/>
      <c r="B1166" s="29"/>
      <c r="C1166" s="29"/>
      <c r="D1166" s="29"/>
      <c r="E1166" s="29"/>
      <c r="F1166" s="29"/>
      <c r="G1166" s="29"/>
      <c r="H1166" s="29"/>
      <c r="J1166" s="29"/>
      <c r="K1166" s="29"/>
      <c r="L1166" s="19"/>
      <c r="M1166" s="19"/>
      <c r="N1166" s="30"/>
      <c r="O1166" s="30"/>
      <c r="P1166" s="32"/>
      <c r="Q1166" s="32"/>
      <c r="R1166" s="32"/>
      <c r="S1166" s="32"/>
      <c r="T1166" s="32"/>
      <c r="U1166" s="30"/>
    </row>
    <row r="1167" spans="1:21">
      <c r="A1167" s="29"/>
      <c r="B1167" s="29"/>
      <c r="C1167" s="29"/>
      <c r="D1167" s="29"/>
      <c r="E1167" s="29"/>
      <c r="F1167" s="29"/>
      <c r="G1167" s="29"/>
      <c r="H1167" s="29"/>
      <c r="J1167" s="29"/>
      <c r="K1167" s="29"/>
      <c r="L1167" s="19"/>
      <c r="M1167" s="19"/>
      <c r="N1167" s="30"/>
      <c r="O1167" s="30"/>
      <c r="P1167" s="32"/>
      <c r="Q1167" s="32"/>
      <c r="R1167" s="32"/>
      <c r="S1167" s="32"/>
      <c r="T1167" s="32"/>
      <c r="U1167" s="30"/>
    </row>
    <row r="1168" spans="1:21">
      <c r="A1168" s="29"/>
      <c r="B1168" s="29"/>
      <c r="C1168" s="29"/>
      <c r="D1168" s="29"/>
      <c r="E1168" s="29"/>
      <c r="F1168" s="29"/>
      <c r="G1168" s="29"/>
      <c r="H1168" s="29"/>
      <c r="J1168" s="29"/>
      <c r="K1168" s="29"/>
      <c r="L1168" s="19"/>
      <c r="M1168" s="19"/>
      <c r="N1168" s="30"/>
      <c r="O1168" s="30"/>
      <c r="P1168" s="32"/>
      <c r="Q1168" s="32"/>
      <c r="R1168" s="32"/>
      <c r="S1168" s="32"/>
      <c r="T1168" s="32"/>
      <c r="U1168" s="30"/>
    </row>
    <row r="1169" spans="1:21">
      <c r="A1169" s="29"/>
      <c r="B1169" s="29"/>
      <c r="C1169" s="29"/>
      <c r="D1169" s="29"/>
      <c r="E1169" s="29"/>
      <c r="F1169" s="29"/>
      <c r="G1169" s="29"/>
      <c r="H1169" s="29"/>
      <c r="J1169" s="29"/>
      <c r="K1169" s="29"/>
      <c r="L1169" s="19"/>
      <c r="M1169" s="19"/>
      <c r="N1169" s="30"/>
      <c r="O1169" s="30"/>
      <c r="P1169" s="32"/>
      <c r="Q1169" s="32"/>
      <c r="R1169" s="32"/>
      <c r="S1169" s="32"/>
      <c r="T1169" s="32"/>
      <c r="U1169" s="30"/>
    </row>
    <row r="1170" spans="1:21">
      <c r="A1170" s="29"/>
      <c r="B1170" s="29"/>
      <c r="C1170" s="29"/>
      <c r="D1170" s="29"/>
      <c r="E1170" s="29"/>
      <c r="F1170" s="29"/>
      <c r="G1170" s="29"/>
      <c r="H1170" s="29"/>
      <c r="J1170" s="29"/>
      <c r="K1170" s="29"/>
      <c r="L1170" s="19"/>
      <c r="M1170" s="19"/>
      <c r="N1170" s="30"/>
      <c r="O1170" s="30"/>
      <c r="P1170" s="32"/>
      <c r="Q1170" s="32"/>
      <c r="R1170" s="32"/>
      <c r="S1170" s="32"/>
      <c r="T1170" s="32"/>
      <c r="U1170" s="30"/>
    </row>
    <row r="1171" spans="1:21">
      <c r="A1171" s="29"/>
      <c r="B1171" s="29"/>
      <c r="C1171" s="29"/>
      <c r="D1171" s="29"/>
      <c r="E1171" s="29"/>
      <c r="F1171" s="29"/>
      <c r="G1171" s="29"/>
      <c r="H1171" s="29"/>
      <c r="J1171" s="29"/>
      <c r="K1171" s="29"/>
      <c r="L1171" s="19"/>
      <c r="M1171" s="19"/>
      <c r="N1171" s="30"/>
      <c r="O1171" s="30"/>
      <c r="P1171" s="32"/>
      <c r="Q1171" s="32"/>
      <c r="R1171" s="32"/>
      <c r="S1171" s="32"/>
      <c r="T1171" s="32"/>
      <c r="U1171" s="30"/>
    </row>
    <row r="1172" spans="1:21">
      <c r="A1172" s="29"/>
      <c r="B1172" s="29"/>
      <c r="C1172" s="29"/>
      <c r="D1172" s="29"/>
      <c r="E1172" s="29"/>
      <c r="F1172" s="29"/>
      <c r="G1172" s="29"/>
      <c r="H1172" s="29"/>
      <c r="J1172" s="29"/>
      <c r="K1172" s="29"/>
      <c r="L1172" s="19"/>
      <c r="M1172" s="19"/>
      <c r="N1172" s="30"/>
      <c r="O1172" s="30"/>
      <c r="P1172" s="32"/>
      <c r="Q1172" s="32"/>
      <c r="R1172" s="32"/>
      <c r="S1172" s="32"/>
      <c r="T1172" s="32"/>
      <c r="U1172" s="30"/>
    </row>
    <row r="1173" spans="1:21">
      <c r="A1173" s="29"/>
      <c r="B1173" s="29"/>
      <c r="C1173" s="29"/>
      <c r="D1173" s="29"/>
      <c r="E1173" s="29"/>
      <c r="F1173" s="29"/>
      <c r="G1173" s="29"/>
      <c r="H1173" s="29"/>
      <c r="J1173" s="29"/>
      <c r="K1173" s="29"/>
      <c r="L1173" s="19"/>
      <c r="M1173" s="19"/>
      <c r="N1173" s="30"/>
      <c r="O1173" s="30"/>
      <c r="P1173" s="32"/>
      <c r="Q1173" s="32"/>
      <c r="R1173" s="32"/>
      <c r="S1173" s="32"/>
      <c r="T1173" s="32"/>
      <c r="U1173" s="30"/>
    </row>
    <row r="1174" spans="1:21">
      <c r="A1174" s="29"/>
      <c r="B1174" s="29"/>
      <c r="C1174" s="29"/>
      <c r="D1174" s="29"/>
      <c r="E1174" s="29"/>
      <c r="F1174" s="29"/>
      <c r="G1174" s="29"/>
      <c r="H1174" s="29"/>
      <c r="J1174" s="29"/>
      <c r="K1174" s="29"/>
      <c r="L1174" s="19"/>
      <c r="M1174" s="19"/>
      <c r="N1174" s="30"/>
      <c r="O1174" s="30"/>
      <c r="P1174" s="32"/>
      <c r="Q1174" s="32"/>
      <c r="R1174" s="32"/>
      <c r="S1174" s="32"/>
      <c r="T1174" s="32"/>
      <c r="U1174" s="30"/>
    </row>
    <row r="1175" spans="1:21">
      <c r="A1175" s="29"/>
      <c r="B1175" s="29"/>
      <c r="C1175" s="29"/>
      <c r="D1175" s="29"/>
      <c r="E1175" s="29"/>
      <c r="F1175" s="29"/>
      <c r="G1175" s="29"/>
      <c r="H1175" s="29"/>
      <c r="J1175" s="29"/>
      <c r="K1175" s="29"/>
      <c r="L1175" s="19"/>
      <c r="M1175" s="19"/>
      <c r="N1175" s="30"/>
      <c r="O1175" s="30"/>
      <c r="P1175" s="32"/>
      <c r="Q1175" s="32"/>
      <c r="R1175" s="32"/>
      <c r="S1175" s="32"/>
      <c r="T1175" s="32"/>
      <c r="U1175" s="30"/>
    </row>
    <row r="1176" spans="1:21">
      <c r="A1176" s="29"/>
      <c r="B1176" s="29"/>
      <c r="C1176" s="29"/>
      <c r="D1176" s="29"/>
      <c r="E1176" s="29"/>
      <c r="F1176" s="29"/>
      <c r="G1176" s="29"/>
      <c r="H1176" s="29"/>
      <c r="J1176" s="29"/>
      <c r="K1176" s="29"/>
      <c r="L1176" s="19"/>
      <c r="M1176" s="19"/>
      <c r="N1176" s="30"/>
      <c r="O1176" s="30"/>
      <c r="P1176" s="32"/>
      <c r="Q1176" s="32"/>
      <c r="R1176" s="32"/>
      <c r="S1176" s="32"/>
      <c r="T1176" s="32"/>
      <c r="U1176" s="30"/>
    </row>
    <row r="1177" spans="1:21">
      <c r="A1177" s="29"/>
      <c r="B1177" s="29"/>
      <c r="C1177" s="29"/>
      <c r="D1177" s="29"/>
      <c r="E1177" s="29"/>
      <c r="F1177" s="29"/>
      <c r="G1177" s="29"/>
      <c r="H1177" s="29"/>
      <c r="J1177" s="29"/>
      <c r="K1177" s="29"/>
      <c r="L1177" s="19"/>
      <c r="M1177" s="19"/>
      <c r="N1177" s="30"/>
      <c r="O1177" s="30"/>
      <c r="P1177" s="32"/>
      <c r="Q1177" s="32"/>
      <c r="R1177" s="32"/>
      <c r="S1177" s="32"/>
      <c r="T1177" s="32"/>
      <c r="U1177" s="30"/>
    </row>
    <row r="1178" spans="1:21">
      <c r="A1178" s="29"/>
      <c r="B1178" s="29"/>
      <c r="C1178" s="29"/>
      <c r="D1178" s="29"/>
      <c r="E1178" s="29"/>
      <c r="F1178" s="29"/>
      <c r="G1178" s="29"/>
      <c r="H1178" s="29"/>
      <c r="J1178" s="29"/>
      <c r="K1178" s="29"/>
      <c r="L1178" s="19"/>
      <c r="M1178" s="19"/>
      <c r="N1178" s="30"/>
      <c r="O1178" s="30"/>
      <c r="P1178" s="32"/>
      <c r="Q1178" s="32"/>
      <c r="R1178" s="32"/>
      <c r="S1178" s="32"/>
      <c r="T1178" s="32"/>
      <c r="U1178" s="30"/>
    </row>
    <row r="1179" spans="1:21">
      <c r="A1179" s="29"/>
      <c r="B1179" s="29"/>
      <c r="C1179" s="29"/>
      <c r="D1179" s="29"/>
      <c r="E1179" s="29"/>
      <c r="F1179" s="29"/>
      <c r="G1179" s="29"/>
      <c r="H1179" s="29"/>
      <c r="J1179" s="29"/>
      <c r="K1179" s="29"/>
      <c r="L1179" s="19"/>
      <c r="M1179" s="19"/>
      <c r="N1179" s="30"/>
      <c r="O1179" s="30"/>
      <c r="P1179" s="32"/>
      <c r="Q1179" s="32"/>
      <c r="R1179" s="32"/>
      <c r="S1179" s="32"/>
      <c r="T1179" s="32"/>
      <c r="U1179" s="30"/>
    </row>
    <row r="1180" spans="1:21">
      <c r="A1180" s="29"/>
      <c r="B1180" s="29"/>
      <c r="C1180" s="29"/>
      <c r="D1180" s="29"/>
      <c r="E1180" s="29"/>
      <c r="F1180" s="29"/>
      <c r="G1180" s="29"/>
      <c r="H1180" s="29"/>
      <c r="J1180" s="29"/>
      <c r="K1180" s="29"/>
      <c r="L1180" s="19"/>
      <c r="M1180" s="19"/>
      <c r="N1180" s="30"/>
      <c r="O1180" s="30"/>
      <c r="P1180" s="32"/>
      <c r="Q1180" s="32"/>
      <c r="R1180" s="32"/>
      <c r="S1180" s="32"/>
      <c r="T1180" s="32"/>
      <c r="U1180" s="30"/>
    </row>
    <row r="1181" spans="1:21">
      <c r="A1181" s="29"/>
      <c r="B1181" s="29"/>
      <c r="C1181" s="29"/>
      <c r="D1181" s="29"/>
      <c r="E1181" s="29"/>
      <c r="F1181" s="29"/>
      <c r="G1181" s="29"/>
      <c r="H1181" s="29"/>
      <c r="J1181" s="29"/>
      <c r="K1181" s="29"/>
      <c r="L1181" s="19"/>
      <c r="M1181" s="19"/>
      <c r="N1181" s="30"/>
      <c r="O1181" s="30"/>
      <c r="P1181" s="32"/>
      <c r="Q1181" s="32"/>
      <c r="R1181" s="32"/>
      <c r="S1181" s="32"/>
      <c r="T1181" s="32"/>
      <c r="U1181" s="30"/>
    </row>
    <row r="1182" spans="1:21">
      <c r="A1182" s="29"/>
      <c r="B1182" s="29"/>
      <c r="C1182" s="29"/>
      <c r="D1182" s="29"/>
      <c r="E1182" s="29"/>
      <c r="F1182" s="29"/>
      <c r="G1182" s="29"/>
      <c r="H1182" s="29"/>
      <c r="J1182" s="29"/>
      <c r="K1182" s="29"/>
      <c r="L1182" s="19"/>
      <c r="M1182" s="19"/>
      <c r="N1182" s="30"/>
      <c r="O1182" s="30"/>
      <c r="P1182" s="32"/>
      <c r="Q1182" s="32"/>
      <c r="R1182" s="32"/>
      <c r="S1182" s="32"/>
      <c r="T1182" s="32"/>
      <c r="U1182" s="30"/>
    </row>
    <row r="1183" spans="1:21">
      <c r="A1183" s="29"/>
      <c r="B1183" s="29"/>
      <c r="C1183" s="29"/>
      <c r="D1183" s="29"/>
      <c r="E1183" s="29"/>
      <c r="F1183" s="29"/>
      <c r="G1183" s="29"/>
      <c r="H1183" s="29"/>
      <c r="J1183" s="29"/>
      <c r="K1183" s="29"/>
      <c r="L1183" s="19"/>
      <c r="M1183" s="19"/>
      <c r="N1183" s="30"/>
      <c r="O1183" s="30"/>
      <c r="P1183" s="32"/>
      <c r="Q1183" s="32"/>
      <c r="R1183" s="32"/>
      <c r="S1183" s="32"/>
      <c r="T1183" s="32"/>
      <c r="U1183" s="30"/>
    </row>
    <row r="1184" spans="1:21">
      <c r="A1184" s="29"/>
      <c r="B1184" s="29"/>
      <c r="C1184" s="29"/>
      <c r="D1184" s="29"/>
      <c r="E1184" s="29"/>
      <c r="F1184" s="29"/>
      <c r="G1184" s="29"/>
      <c r="H1184" s="29"/>
      <c r="J1184" s="29"/>
      <c r="K1184" s="29"/>
      <c r="L1184" s="19"/>
      <c r="M1184" s="19"/>
      <c r="N1184" s="30"/>
      <c r="O1184" s="30"/>
      <c r="P1184" s="32"/>
      <c r="Q1184" s="32"/>
      <c r="R1184" s="32"/>
      <c r="S1184" s="32"/>
      <c r="T1184" s="32"/>
      <c r="U1184" s="30"/>
    </row>
    <row r="1185" spans="1:21">
      <c r="A1185" s="29"/>
      <c r="B1185" s="29"/>
      <c r="C1185" s="29"/>
      <c r="D1185" s="29"/>
      <c r="E1185" s="29"/>
      <c r="F1185" s="29"/>
      <c r="G1185" s="29"/>
      <c r="H1185" s="29"/>
      <c r="J1185" s="29"/>
      <c r="K1185" s="29"/>
      <c r="L1185" s="19"/>
      <c r="M1185" s="19"/>
      <c r="N1185" s="30"/>
      <c r="O1185" s="30"/>
      <c r="P1185" s="32"/>
      <c r="Q1185" s="32"/>
      <c r="R1185" s="32"/>
      <c r="S1185" s="32"/>
      <c r="T1185" s="32"/>
      <c r="U1185" s="30"/>
    </row>
    <row r="1186" spans="1:21">
      <c r="A1186" s="29"/>
      <c r="B1186" s="29"/>
      <c r="C1186" s="29"/>
      <c r="D1186" s="29"/>
      <c r="E1186" s="29"/>
      <c r="F1186" s="29"/>
      <c r="G1186" s="29"/>
      <c r="H1186" s="29"/>
      <c r="J1186" s="29"/>
      <c r="K1186" s="29"/>
      <c r="L1186" s="19"/>
      <c r="M1186" s="19"/>
      <c r="N1186" s="30"/>
      <c r="O1186" s="30"/>
      <c r="P1186" s="32"/>
      <c r="Q1186" s="32"/>
      <c r="R1186" s="32"/>
      <c r="S1186" s="32"/>
      <c r="T1186" s="32"/>
      <c r="U1186" s="30"/>
    </row>
    <row r="1187" spans="1:21">
      <c r="A1187" s="29"/>
      <c r="B1187" s="29"/>
      <c r="C1187" s="29"/>
      <c r="D1187" s="29"/>
      <c r="E1187" s="29"/>
      <c r="F1187" s="29"/>
      <c r="G1187" s="29"/>
      <c r="H1187" s="29"/>
      <c r="J1187" s="29"/>
      <c r="K1187" s="29"/>
      <c r="L1187" s="19"/>
      <c r="M1187" s="19"/>
      <c r="N1187" s="30"/>
      <c r="O1187" s="30"/>
      <c r="P1187" s="32"/>
      <c r="Q1187" s="32"/>
      <c r="R1187" s="32"/>
      <c r="S1187" s="32"/>
      <c r="T1187" s="32"/>
      <c r="U1187" s="30"/>
    </row>
    <row r="1188" spans="1:21">
      <c r="A1188" s="29"/>
      <c r="B1188" s="29"/>
      <c r="C1188" s="29"/>
      <c r="D1188" s="29"/>
      <c r="E1188" s="29"/>
      <c r="F1188" s="29"/>
      <c r="G1188" s="29"/>
      <c r="H1188" s="29"/>
      <c r="J1188" s="29"/>
      <c r="K1188" s="29"/>
      <c r="L1188" s="19"/>
      <c r="M1188" s="19"/>
      <c r="N1188" s="30"/>
      <c r="O1188" s="30"/>
      <c r="P1188" s="32"/>
      <c r="Q1188" s="32"/>
      <c r="R1188" s="32"/>
      <c r="S1188" s="32"/>
      <c r="T1188" s="32"/>
      <c r="U1188" s="30"/>
    </row>
    <row r="1189" spans="1:21">
      <c r="A1189" s="29"/>
      <c r="B1189" s="29"/>
      <c r="C1189" s="29"/>
      <c r="D1189" s="29"/>
      <c r="E1189" s="29"/>
      <c r="F1189" s="29"/>
      <c r="G1189" s="29"/>
      <c r="H1189" s="29"/>
      <c r="J1189" s="29"/>
      <c r="K1189" s="29"/>
      <c r="L1189" s="19"/>
      <c r="M1189" s="19"/>
      <c r="N1189" s="30"/>
      <c r="O1189" s="30"/>
      <c r="P1189" s="32"/>
      <c r="Q1189" s="32"/>
      <c r="R1189" s="32"/>
      <c r="S1189" s="32"/>
      <c r="T1189" s="32"/>
      <c r="U1189" s="30"/>
    </row>
    <row r="1190" spans="1:21">
      <c r="A1190" s="29"/>
      <c r="B1190" s="29"/>
      <c r="C1190" s="29"/>
      <c r="D1190" s="29"/>
      <c r="E1190" s="29"/>
      <c r="F1190" s="29"/>
      <c r="G1190" s="29"/>
      <c r="H1190" s="29"/>
      <c r="J1190" s="29"/>
      <c r="K1190" s="29"/>
      <c r="L1190" s="19"/>
      <c r="M1190" s="19"/>
      <c r="N1190" s="30"/>
      <c r="O1190" s="30"/>
      <c r="P1190" s="32"/>
      <c r="Q1190" s="32"/>
      <c r="R1190" s="32"/>
      <c r="S1190" s="32"/>
      <c r="T1190" s="32"/>
      <c r="U1190" s="30"/>
    </row>
    <row r="1191" spans="1:21">
      <c r="A1191" s="29"/>
      <c r="B1191" s="29"/>
      <c r="C1191" s="29"/>
      <c r="D1191" s="29"/>
      <c r="E1191" s="29"/>
      <c r="F1191" s="29"/>
      <c r="G1191" s="29"/>
      <c r="H1191" s="29"/>
      <c r="J1191" s="29"/>
      <c r="K1191" s="29"/>
      <c r="L1191" s="19"/>
      <c r="M1191" s="19"/>
      <c r="N1191" s="30"/>
      <c r="O1191" s="30"/>
      <c r="P1191" s="32"/>
      <c r="Q1191" s="32"/>
      <c r="R1191" s="32"/>
      <c r="S1191" s="32"/>
      <c r="T1191" s="32"/>
      <c r="U1191" s="30"/>
    </row>
    <row r="1192" spans="1:21">
      <c r="A1192" s="29"/>
      <c r="B1192" s="29"/>
      <c r="C1192" s="29"/>
      <c r="D1192" s="29"/>
      <c r="E1192" s="29"/>
      <c r="F1192" s="29"/>
      <c r="G1192" s="29"/>
      <c r="H1192" s="29"/>
      <c r="J1192" s="29"/>
      <c r="K1192" s="29"/>
      <c r="L1192" s="19"/>
      <c r="M1192" s="19"/>
      <c r="N1192" s="30"/>
      <c r="O1192" s="30"/>
      <c r="P1192" s="32"/>
      <c r="Q1192" s="32"/>
      <c r="R1192" s="32"/>
      <c r="S1192" s="32"/>
      <c r="T1192" s="32"/>
      <c r="U1192" s="30"/>
    </row>
    <row r="1193" spans="1:21">
      <c r="A1193" s="29"/>
      <c r="B1193" s="29"/>
      <c r="C1193" s="29"/>
      <c r="D1193" s="29"/>
      <c r="E1193" s="29"/>
      <c r="F1193" s="29"/>
      <c r="G1193" s="29"/>
      <c r="H1193" s="29"/>
      <c r="J1193" s="29"/>
      <c r="K1193" s="29"/>
      <c r="L1193" s="19"/>
      <c r="M1193" s="19"/>
      <c r="N1193" s="30"/>
      <c r="O1193" s="30"/>
      <c r="P1193" s="32"/>
      <c r="Q1193" s="32"/>
      <c r="R1193" s="32"/>
      <c r="S1193" s="32"/>
      <c r="T1193" s="32"/>
      <c r="U1193" s="30"/>
    </row>
    <row r="1194" spans="1:21">
      <c r="A1194" s="29"/>
      <c r="B1194" s="29"/>
      <c r="C1194" s="29"/>
      <c r="D1194" s="29"/>
      <c r="E1194" s="29"/>
      <c r="F1194" s="29"/>
      <c r="G1194" s="29"/>
      <c r="H1194" s="29"/>
      <c r="J1194" s="29"/>
      <c r="K1194" s="29"/>
      <c r="L1194" s="19"/>
      <c r="M1194" s="19"/>
      <c r="N1194" s="30"/>
      <c r="O1194" s="30"/>
      <c r="P1194" s="32"/>
      <c r="Q1194" s="32"/>
      <c r="R1194" s="32"/>
      <c r="S1194" s="32"/>
      <c r="T1194" s="32"/>
      <c r="U1194" s="30"/>
    </row>
    <row r="1195" spans="1:21">
      <c r="A1195" s="29"/>
      <c r="B1195" s="29"/>
      <c r="C1195" s="29"/>
      <c r="D1195" s="29"/>
      <c r="E1195" s="29"/>
      <c r="F1195" s="29"/>
      <c r="G1195" s="29"/>
      <c r="H1195" s="29"/>
      <c r="J1195" s="29"/>
      <c r="K1195" s="29"/>
      <c r="L1195" s="19"/>
      <c r="M1195" s="19"/>
      <c r="N1195" s="30"/>
      <c r="O1195" s="30"/>
      <c r="P1195" s="32"/>
      <c r="Q1195" s="32"/>
      <c r="R1195" s="32"/>
      <c r="S1195" s="32"/>
      <c r="T1195" s="32"/>
      <c r="U1195" s="30"/>
    </row>
    <row r="1196" spans="1:21">
      <c r="A1196" s="29"/>
      <c r="B1196" s="29"/>
      <c r="C1196" s="29"/>
      <c r="D1196" s="29"/>
      <c r="E1196" s="29"/>
      <c r="F1196" s="29"/>
      <c r="G1196" s="29"/>
      <c r="H1196" s="29"/>
      <c r="J1196" s="29"/>
      <c r="K1196" s="29"/>
      <c r="L1196" s="19"/>
      <c r="M1196" s="19"/>
      <c r="N1196" s="30"/>
      <c r="O1196" s="30"/>
      <c r="P1196" s="32"/>
      <c r="Q1196" s="32"/>
      <c r="R1196" s="32"/>
      <c r="S1196" s="32"/>
      <c r="T1196" s="32"/>
      <c r="U1196" s="30"/>
    </row>
    <row r="1197" spans="1:21">
      <c r="A1197" s="29"/>
      <c r="B1197" s="29"/>
      <c r="C1197" s="29"/>
      <c r="D1197" s="29"/>
      <c r="E1197" s="29"/>
      <c r="F1197" s="29"/>
      <c r="G1197" s="29"/>
      <c r="H1197" s="29"/>
      <c r="J1197" s="29"/>
      <c r="K1197" s="29"/>
      <c r="L1197" s="19"/>
      <c r="M1197" s="19"/>
      <c r="N1197" s="30"/>
      <c r="O1197" s="30"/>
      <c r="P1197" s="32"/>
      <c r="Q1197" s="32"/>
      <c r="R1197" s="32"/>
      <c r="S1197" s="32"/>
      <c r="T1197" s="32"/>
      <c r="U1197" s="30"/>
    </row>
    <row r="1198" spans="1:21">
      <c r="A1198" s="29"/>
      <c r="B1198" s="29"/>
      <c r="C1198" s="29"/>
      <c r="D1198" s="29"/>
      <c r="E1198" s="29"/>
      <c r="F1198" s="29"/>
      <c r="G1198" s="29"/>
      <c r="H1198" s="29"/>
      <c r="J1198" s="29"/>
      <c r="K1198" s="29"/>
      <c r="L1198" s="19"/>
      <c r="M1198" s="19"/>
      <c r="N1198" s="30"/>
      <c r="O1198" s="30"/>
      <c r="P1198" s="32"/>
      <c r="Q1198" s="32"/>
      <c r="R1198" s="32"/>
      <c r="S1198" s="32"/>
      <c r="T1198" s="32"/>
      <c r="U1198" s="30"/>
    </row>
    <row r="1199" spans="1:21">
      <c r="A1199" s="29"/>
      <c r="B1199" s="29"/>
      <c r="C1199" s="29"/>
      <c r="D1199" s="29"/>
      <c r="E1199" s="29"/>
      <c r="F1199" s="29"/>
      <c r="G1199" s="29"/>
      <c r="H1199" s="29"/>
      <c r="J1199" s="29"/>
      <c r="K1199" s="29"/>
      <c r="L1199" s="19"/>
      <c r="M1199" s="19"/>
      <c r="N1199" s="30"/>
      <c r="O1199" s="30"/>
      <c r="P1199" s="32"/>
      <c r="Q1199" s="32"/>
      <c r="R1199" s="32"/>
      <c r="S1199" s="32"/>
      <c r="T1199" s="32"/>
      <c r="U1199" s="30"/>
    </row>
    <row r="1200" spans="1:21">
      <c r="A1200" s="29"/>
      <c r="B1200" s="29"/>
      <c r="C1200" s="29"/>
      <c r="D1200" s="29"/>
      <c r="E1200" s="29"/>
      <c r="F1200" s="29"/>
      <c r="G1200" s="29"/>
      <c r="H1200" s="29"/>
      <c r="J1200" s="29"/>
      <c r="K1200" s="29"/>
      <c r="L1200" s="19"/>
      <c r="M1200" s="19"/>
      <c r="N1200" s="30"/>
      <c r="O1200" s="30"/>
      <c r="P1200" s="32"/>
      <c r="Q1200" s="32"/>
      <c r="R1200" s="32"/>
      <c r="S1200" s="32"/>
      <c r="T1200" s="32"/>
      <c r="U1200" s="30"/>
    </row>
    <row r="1201" spans="1:21">
      <c r="A1201" s="29"/>
      <c r="B1201" s="29"/>
      <c r="C1201" s="29"/>
      <c r="D1201" s="29"/>
      <c r="E1201" s="29"/>
      <c r="F1201" s="29"/>
      <c r="G1201" s="29"/>
      <c r="H1201" s="29"/>
      <c r="J1201" s="29"/>
      <c r="K1201" s="29"/>
      <c r="L1201" s="19"/>
      <c r="M1201" s="19"/>
      <c r="N1201" s="30"/>
      <c r="O1201" s="30"/>
      <c r="P1201" s="32"/>
      <c r="Q1201" s="32"/>
      <c r="R1201" s="32"/>
      <c r="S1201" s="32"/>
      <c r="T1201" s="32"/>
      <c r="U1201" s="30"/>
    </row>
    <row r="1202" spans="1:21">
      <c r="A1202" s="29"/>
      <c r="B1202" s="29"/>
      <c r="C1202" s="29"/>
      <c r="D1202" s="29"/>
      <c r="E1202" s="29"/>
      <c r="F1202" s="29"/>
      <c r="G1202" s="29"/>
      <c r="H1202" s="29"/>
      <c r="J1202" s="29"/>
      <c r="K1202" s="29"/>
      <c r="L1202" s="19"/>
      <c r="M1202" s="19"/>
      <c r="N1202" s="30"/>
      <c r="O1202" s="30"/>
      <c r="P1202" s="32"/>
      <c r="Q1202" s="32"/>
      <c r="R1202" s="32"/>
      <c r="S1202" s="32"/>
      <c r="T1202" s="32"/>
      <c r="U1202" s="30"/>
    </row>
    <row r="1203" spans="1:21">
      <c r="A1203" s="29"/>
      <c r="B1203" s="29"/>
      <c r="C1203" s="29"/>
      <c r="D1203" s="29"/>
      <c r="E1203" s="29"/>
      <c r="F1203" s="29"/>
      <c r="G1203" s="29"/>
      <c r="H1203" s="29"/>
      <c r="J1203" s="29"/>
      <c r="K1203" s="29"/>
      <c r="L1203" s="19"/>
      <c r="M1203" s="19"/>
      <c r="N1203" s="30"/>
      <c r="O1203" s="30"/>
      <c r="P1203" s="32"/>
      <c r="Q1203" s="32"/>
      <c r="R1203" s="32"/>
      <c r="S1203" s="32"/>
      <c r="T1203" s="32"/>
      <c r="U1203" s="30"/>
    </row>
    <row r="1204" spans="1:21">
      <c r="A1204" s="29"/>
      <c r="B1204" s="29"/>
      <c r="C1204" s="29"/>
      <c r="D1204" s="29"/>
      <c r="E1204" s="29"/>
      <c r="F1204" s="29"/>
      <c r="G1204" s="29"/>
      <c r="H1204" s="29"/>
      <c r="J1204" s="29"/>
      <c r="K1204" s="29"/>
      <c r="L1204" s="19"/>
      <c r="M1204" s="19"/>
      <c r="N1204" s="30"/>
      <c r="O1204" s="30"/>
      <c r="P1204" s="32"/>
      <c r="Q1204" s="32"/>
      <c r="R1204" s="32"/>
      <c r="S1204" s="32"/>
      <c r="T1204" s="32"/>
      <c r="U1204" s="30"/>
    </row>
    <row r="1205" spans="1:21">
      <c r="A1205" s="29"/>
      <c r="B1205" s="29"/>
      <c r="C1205" s="29"/>
      <c r="D1205" s="29"/>
      <c r="E1205" s="29"/>
      <c r="F1205" s="29"/>
      <c r="G1205" s="29"/>
      <c r="H1205" s="29"/>
      <c r="J1205" s="29"/>
      <c r="K1205" s="29"/>
      <c r="L1205" s="19"/>
      <c r="M1205" s="19"/>
      <c r="N1205" s="30"/>
      <c r="O1205" s="30"/>
      <c r="P1205" s="32"/>
      <c r="Q1205" s="32"/>
      <c r="R1205" s="32"/>
      <c r="S1205" s="32"/>
      <c r="T1205" s="32"/>
      <c r="U1205" s="30"/>
    </row>
    <row r="1206" spans="1:21">
      <c r="A1206" s="29"/>
      <c r="B1206" s="29"/>
      <c r="C1206" s="29"/>
      <c r="D1206" s="29"/>
      <c r="E1206" s="29"/>
      <c r="F1206" s="29"/>
      <c r="G1206" s="29"/>
      <c r="H1206" s="29"/>
      <c r="J1206" s="29"/>
      <c r="K1206" s="29"/>
      <c r="L1206" s="19"/>
      <c r="M1206" s="19"/>
      <c r="N1206" s="30"/>
      <c r="O1206" s="30"/>
      <c r="P1206" s="32"/>
      <c r="Q1206" s="32"/>
      <c r="R1206" s="32"/>
      <c r="S1206" s="32"/>
      <c r="T1206" s="32"/>
      <c r="U1206" s="30"/>
    </row>
    <row r="1207" spans="1:21">
      <c r="A1207" s="29"/>
      <c r="B1207" s="29"/>
      <c r="C1207" s="29"/>
      <c r="D1207" s="29"/>
      <c r="E1207" s="29"/>
      <c r="F1207" s="29"/>
      <c r="G1207" s="29"/>
      <c r="H1207" s="29"/>
      <c r="J1207" s="29"/>
      <c r="K1207" s="29"/>
      <c r="L1207" s="19"/>
      <c r="M1207" s="19"/>
      <c r="N1207" s="30"/>
      <c r="O1207" s="30"/>
      <c r="P1207" s="32"/>
      <c r="Q1207" s="32"/>
      <c r="R1207" s="32"/>
      <c r="S1207" s="32"/>
      <c r="T1207" s="32"/>
      <c r="U1207" s="30"/>
    </row>
    <row r="1208" spans="1:21">
      <c r="A1208" s="29"/>
      <c r="B1208" s="29"/>
      <c r="C1208" s="29"/>
      <c r="D1208" s="29"/>
      <c r="E1208" s="29"/>
      <c r="F1208" s="29"/>
      <c r="G1208" s="29"/>
      <c r="H1208" s="29"/>
      <c r="J1208" s="29"/>
      <c r="K1208" s="29"/>
      <c r="L1208" s="19"/>
      <c r="M1208" s="19"/>
      <c r="N1208" s="30"/>
      <c r="O1208" s="30"/>
      <c r="P1208" s="32"/>
      <c r="Q1208" s="32"/>
      <c r="R1208" s="32"/>
      <c r="S1208" s="32"/>
      <c r="T1208" s="32"/>
      <c r="U1208" s="30"/>
    </row>
    <row r="1209" spans="1:21">
      <c r="A1209" s="29"/>
      <c r="B1209" s="29"/>
      <c r="C1209" s="29"/>
      <c r="D1209" s="29"/>
      <c r="E1209" s="29"/>
      <c r="F1209" s="29"/>
      <c r="G1209" s="29"/>
      <c r="H1209" s="29"/>
      <c r="J1209" s="29"/>
      <c r="K1209" s="29"/>
      <c r="L1209" s="19"/>
      <c r="M1209" s="19"/>
      <c r="N1209" s="30"/>
      <c r="O1209" s="30"/>
      <c r="P1209" s="32"/>
      <c r="Q1209" s="32"/>
      <c r="R1209" s="32"/>
      <c r="S1209" s="32"/>
      <c r="T1209" s="32"/>
      <c r="U1209" s="30"/>
    </row>
    <row r="1210" spans="1:21">
      <c r="A1210" s="29"/>
      <c r="B1210" s="29"/>
      <c r="C1210" s="29"/>
      <c r="D1210" s="29"/>
      <c r="E1210" s="29"/>
      <c r="F1210" s="29"/>
      <c r="G1210" s="29"/>
      <c r="H1210" s="29"/>
      <c r="J1210" s="29"/>
      <c r="K1210" s="29"/>
      <c r="L1210" s="19"/>
      <c r="M1210" s="19"/>
      <c r="N1210" s="30"/>
      <c r="O1210" s="30"/>
      <c r="P1210" s="32"/>
      <c r="Q1210" s="32"/>
      <c r="R1210" s="32"/>
      <c r="S1210" s="32"/>
      <c r="T1210" s="32"/>
      <c r="U1210" s="30"/>
    </row>
    <row r="1211" spans="1:21">
      <c r="A1211" s="29"/>
      <c r="B1211" s="29"/>
      <c r="C1211" s="29"/>
      <c r="D1211" s="29"/>
      <c r="E1211" s="29"/>
      <c r="F1211" s="29"/>
      <c r="G1211" s="29"/>
      <c r="H1211" s="29"/>
      <c r="J1211" s="29"/>
      <c r="K1211" s="29"/>
      <c r="L1211" s="19"/>
      <c r="M1211" s="19"/>
      <c r="N1211" s="30"/>
      <c r="O1211" s="30"/>
      <c r="P1211" s="32"/>
      <c r="Q1211" s="32"/>
      <c r="R1211" s="32"/>
      <c r="S1211" s="32"/>
      <c r="T1211" s="32"/>
      <c r="U1211" s="30"/>
    </row>
    <row r="1212" spans="1:21">
      <c r="A1212" s="29"/>
      <c r="B1212" s="29"/>
      <c r="C1212" s="29"/>
      <c r="D1212" s="29"/>
      <c r="E1212" s="29"/>
      <c r="F1212" s="29"/>
      <c r="G1212" s="29"/>
      <c r="H1212" s="29"/>
      <c r="J1212" s="29"/>
      <c r="K1212" s="29"/>
      <c r="L1212" s="19"/>
      <c r="M1212" s="19"/>
      <c r="N1212" s="30"/>
      <c r="O1212" s="30"/>
      <c r="P1212" s="32"/>
      <c r="Q1212" s="32"/>
      <c r="R1212" s="32"/>
      <c r="S1212" s="32"/>
      <c r="T1212" s="32"/>
      <c r="U1212" s="30"/>
    </row>
    <row r="1213" spans="1:21">
      <c r="A1213" s="29"/>
      <c r="B1213" s="29"/>
      <c r="C1213" s="29"/>
      <c r="D1213" s="29"/>
      <c r="E1213" s="29"/>
      <c r="F1213" s="29"/>
      <c r="G1213" s="29"/>
      <c r="H1213" s="29"/>
      <c r="J1213" s="29"/>
      <c r="K1213" s="29"/>
      <c r="L1213" s="19"/>
      <c r="M1213" s="19"/>
      <c r="N1213" s="30"/>
      <c r="O1213" s="30"/>
      <c r="P1213" s="32"/>
      <c r="Q1213" s="32"/>
      <c r="R1213" s="32"/>
      <c r="S1213" s="32"/>
      <c r="T1213" s="32"/>
      <c r="U1213" s="30"/>
    </row>
    <row r="1214" spans="1:21">
      <c r="A1214" s="29"/>
      <c r="B1214" s="29"/>
      <c r="C1214" s="29"/>
      <c r="D1214" s="29"/>
      <c r="E1214" s="29"/>
      <c r="F1214" s="29"/>
      <c r="G1214" s="29"/>
      <c r="H1214" s="29"/>
      <c r="J1214" s="29"/>
      <c r="K1214" s="29"/>
      <c r="L1214" s="19"/>
      <c r="M1214" s="19"/>
      <c r="N1214" s="30"/>
      <c r="O1214" s="30"/>
      <c r="P1214" s="32"/>
      <c r="Q1214" s="32"/>
      <c r="R1214" s="32"/>
      <c r="S1214" s="32"/>
      <c r="T1214" s="32"/>
      <c r="U1214" s="30"/>
    </row>
    <row r="1215" spans="1:21">
      <c r="A1215" s="29"/>
      <c r="B1215" s="29"/>
      <c r="C1215" s="29"/>
      <c r="D1215" s="29"/>
      <c r="E1215" s="29"/>
      <c r="F1215" s="29"/>
      <c r="G1215" s="29"/>
      <c r="H1215" s="29"/>
      <c r="J1215" s="29"/>
      <c r="K1215" s="29"/>
      <c r="L1215" s="19"/>
      <c r="M1215" s="19"/>
      <c r="N1215" s="30"/>
      <c r="O1215" s="30"/>
      <c r="P1215" s="32"/>
      <c r="Q1215" s="32"/>
      <c r="R1215" s="32"/>
      <c r="S1215" s="32"/>
      <c r="T1215" s="32"/>
      <c r="U1215" s="30"/>
    </row>
    <row r="1216" spans="1:21">
      <c r="A1216" s="29"/>
      <c r="B1216" s="29"/>
      <c r="C1216" s="29"/>
      <c r="D1216" s="29"/>
      <c r="E1216" s="29"/>
      <c r="F1216" s="29"/>
      <c r="G1216" s="29"/>
      <c r="H1216" s="29"/>
      <c r="J1216" s="29"/>
      <c r="K1216" s="29"/>
      <c r="L1216" s="19"/>
      <c r="M1216" s="19"/>
      <c r="N1216" s="30"/>
      <c r="O1216" s="30"/>
      <c r="P1216" s="32"/>
      <c r="Q1216" s="32"/>
      <c r="R1216" s="32"/>
      <c r="S1216" s="32"/>
      <c r="T1216" s="32"/>
      <c r="U1216" s="30"/>
    </row>
    <row r="1217" spans="1:21">
      <c r="A1217" s="29"/>
      <c r="B1217" s="29"/>
      <c r="C1217" s="29"/>
      <c r="D1217" s="29"/>
      <c r="E1217" s="29"/>
      <c r="F1217" s="29"/>
      <c r="G1217" s="29"/>
      <c r="H1217" s="29"/>
      <c r="J1217" s="29"/>
      <c r="K1217" s="29"/>
      <c r="L1217" s="19"/>
      <c r="M1217" s="19"/>
      <c r="N1217" s="30"/>
      <c r="O1217" s="30"/>
      <c r="P1217" s="32"/>
      <c r="Q1217" s="32"/>
      <c r="R1217" s="32"/>
      <c r="S1217" s="32"/>
      <c r="T1217" s="32"/>
      <c r="U1217" s="30"/>
    </row>
    <row r="1218" spans="1:21">
      <c r="A1218" s="29"/>
      <c r="B1218" s="29"/>
      <c r="C1218" s="29"/>
      <c r="D1218" s="29"/>
      <c r="E1218" s="29"/>
      <c r="F1218" s="29"/>
      <c r="G1218" s="29"/>
      <c r="H1218" s="29"/>
      <c r="J1218" s="29"/>
      <c r="K1218" s="29"/>
      <c r="L1218" s="19"/>
      <c r="M1218" s="19"/>
      <c r="N1218" s="30"/>
      <c r="O1218" s="30"/>
      <c r="P1218" s="32"/>
      <c r="Q1218" s="32"/>
      <c r="R1218" s="32"/>
      <c r="S1218" s="32"/>
      <c r="T1218" s="32"/>
      <c r="U1218" s="30"/>
    </row>
    <row r="1219" spans="1:21">
      <c r="A1219" s="29"/>
      <c r="B1219" s="29"/>
      <c r="C1219" s="29"/>
      <c r="D1219" s="29"/>
      <c r="E1219" s="29"/>
      <c r="F1219" s="29"/>
      <c r="G1219" s="29"/>
      <c r="H1219" s="29"/>
      <c r="J1219" s="29"/>
      <c r="K1219" s="29"/>
      <c r="L1219" s="19"/>
      <c r="M1219" s="19"/>
      <c r="N1219" s="30"/>
      <c r="O1219" s="30"/>
      <c r="P1219" s="32"/>
      <c r="Q1219" s="32"/>
      <c r="R1219" s="32"/>
      <c r="S1219" s="32"/>
      <c r="T1219" s="32"/>
      <c r="U1219" s="30"/>
    </row>
    <row r="1220" spans="1:21">
      <c r="A1220" s="29"/>
      <c r="B1220" s="29"/>
      <c r="C1220" s="29"/>
      <c r="D1220" s="29"/>
      <c r="E1220" s="29"/>
      <c r="F1220" s="29"/>
      <c r="G1220" s="29"/>
      <c r="H1220" s="29"/>
      <c r="J1220" s="29"/>
      <c r="K1220" s="29"/>
      <c r="L1220" s="19"/>
      <c r="M1220" s="19"/>
      <c r="N1220" s="30"/>
      <c r="O1220" s="30"/>
      <c r="P1220" s="32"/>
      <c r="Q1220" s="32"/>
      <c r="R1220" s="32"/>
      <c r="S1220" s="32"/>
      <c r="T1220" s="32"/>
      <c r="U1220" s="30"/>
    </row>
    <row r="1221" spans="1:21">
      <c r="A1221" s="29"/>
      <c r="B1221" s="29"/>
      <c r="C1221" s="29"/>
      <c r="D1221" s="29"/>
      <c r="E1221" s="29"/>
      <c r="F1221" s="29"/>
      <c r="G1221" s="29"/>
      <c r="H1221" s="29"/>
      <c r="J1221" s="29"/>
      <c r="K1221" s="29"/>
      <c r="L1221" s="19"/>
      <c r="M1221" s="19"/>
      <c r="N1221" s="30"/>
      <c r="O1221" s="30"/>
      <c r="P1221" s="32"/>
      <c r="Q1221" s="32"/>
      <c r="R1221" s="32"/>
      <c r="S1221" s="32"/>
      <c r="T1221" s="32"/>
      <c r="U1221" s="30"/>
    </row>
    <row r="1222" spans="1:21">
      <c r="A1222" s="29"/>
      <c r="B1222" s="29"/>
      <c r="C1222" s="29"/>
      <c r="D1222" s="29"/>
      <c r="E1222" s="29"/>
      <c r="F1222" s="29"/>
      <c r="G1222" s="29"/>
      <c r="H1222" s="29"/>
      <c r="J1222" s="29"/>
      <c r="K1222" s="29"/>
      <c r="L1222" s="19"/>
      <c r="M1222" s="19"/>
      <c r="N1222" s="30"/>
      <c r="O1222" s="30"/>
      <c r="P1222" s="32"/>
      <c r="Q1222" s="32"/>
      <c r="R1222" s="32"/>
      <c r="S1222" s="32"/>
      <c r="T1222" s="32"/>
      <c r="U1222" s="30"/>
    </row>
    <row r="1223" spans="1:21">
      <c r="A1223" s="29"/>
      <c r="B1223" s="29"/>
      <c r="C1223" s="29"/>
      <c r="D1223" s="29"/>
      <c r="E1223" s="29"/>
      <c r="F1223" s="29"/>
      <c r="G1223" s="29"/>
      <c r="H1223" s="29"/>
      <c r="J1223" s="29"/>
      <c r="K1223" s="29"/>
      <c r="L1223" s="19"/>
      <c r="M1223" s="19"/>
      <c r="N1223" s="30"/>
      <c r="O1223" s="30"/>
      <c r="P1223" s="32"/>
      <c r="Q1223" s="32"/>
      <c r="R1223" s="32"/>
      <c r="S1223" s="32"/>
      <c r="T1223" s="32"/>
      <c r="U1223" s="30"/>
    </row>
    <row r="1224" spans="1:21">
      <c r="A1224" s="29"/>
      <c r="B1224" s="29"/>
      <c r="C1224" s="29"/>
      <c r="D1224" s="29"/>
      <c r="E1224" s="29"/>
      <c r="F1224" s="29"/>
      <c r="G1224" s="29"/>
      <c r="H1224" s="29"/>
      <c r="J1224" s="29"/>
      <c r="K1224" s="29"/>
      <c r="L1224" s="19"/>
      <c r="M1224" s="19"/>
      <c r="N1224" s="30"/>
      <c r="O1224" s="30"/>
      <c r="P1224" s="32"/>
      <c r="Q1224" s="32"/>
      <c r="R1224" s="32"/>
      <c r="S1224" s="32"/>
      <c r="T1224" s="32"/>
      <c r="U1224" s="30"/>
    </row>
    <row r="1225" spans="1:21">
      <c r="A1225" s="29"/>
      <c r="B1225" s="29"/>
      <c r="C1225" s="29"/>
      <c r="D1225" s="29"/>
      <c r="E1225" s="29"/>
      <c r="F1225" s="29"/>
      <c r="G1225" s="29"/>
      <c r="H1225" s="29"/>
      <c r="J1225" s="29"/>
      <c r="K1225" s="29"/>
      <c r="L1225" s="19"/>
      <c r="M1225" s="19"/>
      <c r="N1225" s="30"/>
      <c r="O1225" s="30"/>
      <c r="P1225" s="32"/>
      <c r="Q1225" s="32"/>
      <c r="R1225" s="32"/>
      <c r="S1225" s="32"/>
      <c r="T1225" s="32"/>
      <c r="U1225" s="30"/>
    </row>
    <row r="1226" spans="1:21">
      <c r="A1226" s="29"/>
      <c r="B1226" s="29"/>
      <c r="C1226" s="29"/>
      <c r="D1226" s="29"/>
      <c r="E1226" s="29"/>
      <c r="F1226" s="29"/>
      <c r="G1226" s="29"/>
      <c r="H1226" s="29"/>
      <c r="J1226" s="29"/>
      <c r="K1226" s="29"/>
      <c r="L1226" s="19"/>
      <c r="M1226" s="19"/>
      <c r="N1226" s="30"/>
      <c r="O1226" s="30"/>
      <c r="P1226" s="32"/>
      <c r="Q1226" s="32"/>
      <c r="R1226" s="32"/>
      <c r="S1226" s="32"/>
      <c r="T1226" s="32"/>
      <c r="U1226" s="30"/>
    </row>
    <row r="1227" spans="1:21">
      <c r="A1227" s="29"/>
      <c r="B1227" s="29"/>
      <c r="C1227" s="29"/>
      <c r="D1227" s="29"/>
      <c r="E1227" s="29"/>
      <c r="F1227" s="29"/>
      <c r="G1227" s="29"/>
      <c r="H1227" s="29"/>
      <c r="J1227" s="29"/>
      <c r="K1227" s="29"/>
      <c r="L1227" s="19"/>
      <c r="M1227" s="19"/>
      <c r="N1227" s="30"/>
      <c r="O1227" s="30"/>
      <c r="P1227" s="32"/>
      <c r="Q1227" s="32"/>
      <c r="R1227" s="32"/>
      <c r="S1227" s="32"/>
      <c r="T1227" s="32"/>
      <c r="U1227" s="30"/>
    </row>
    <row r="1228" spans="1:21">
      <c r="A1228" s="29"/>
      <c r="B1228" s="29"/>
      <c r="C1228" s="29"/>
      <c r="D1228" s="29"/>
      <c r="E1228" s="29"/>
      <c r="F1228" s="29"/>
      <c r="G1228" s="29"/>
      <c r="H1228" s="29"/>
      <c r="J1228" s="29"/>
      <c r="K1228" s="29"/>
      <c r="L1228" s="19"/>
      <c r="M1228" s="19"/>
      <c r="N1228" s="30"/>
      <c r="O1228" s="30"/>
      <c r="P1228" s="32"/>
      <c r="Q1228" s="32"/>
      <c r="R1228" s="32"/>
      <c r="S1228" s="32"/>
      <c r="T1228" s="32"/>
      <c r="U1228" s="30"/>
    </row>
    <row r="1229" spans="1:21">
      <c r="A1229" s="29"/>
      <c r="B1229" s="29"/>
      <c r="C1229" s="29"/>
      <c r="D1229" s="29"/>
      <c r="E1229" s="29"/>
      <c r="F1229" s="29"/>
      <c r="G1229" s="29"/>
      <c r="H1229" s="29"/>
      <c r="J1229" s="29"/>
      <c r="K1229" s="29"/>
      <c r="L1229" s="19"/>
      <c r="M1229" s="19"/>
      <c r="N1229" s="30"/>
      <c r="O1229" s="30"/>
      <c r="P1229" s="32"/>
      <c r="Q1229" s="32"/>
      <c r="R1229" s="32"/>
      <c r="S1229" s="32"/>
      <c r="T1229" s="32"/>
      <c r="U1229" s="30"/>
    </row>
    <row r="1230" spans="1:21">
      <c r="A1230" s="29"/>
      <c r="B1230" s="29"/>
      <c r="C1230" s="29"/>
      <c r="D1230" s="29"/>
      <c r="E1230" s="29"/>
      <c r="F1230" s="29"/>
      <c r="G1230" s="29"/>
      <c r="H1230" s="29"/>
      <c r="J1230" s="29"/>
      <c r="K1230" s="29"/>
      <c r="L1230" s="19"/>
      <c r="M1230" s="19"/>
      <c r="N1230" s="30"/>
      <c r="O1230" s="30"/>
      <c r="P1230" s="32"/>
      <c r="Q1230" s="32"/>
      <c r="R1230" s="32"/>
      <c r="S1230" s="32"/>
      <c r="T1230" s="32"/>
      <c r="U1230" s="30"/>
    </row>
    <row r="1231" spans="1:21">
      <c r="A1231" s="29"/>
      <c r="B1231" s="29"/>
      <c r="C1231" s="29"/>
      <c r="D1231" s="29"/>
      <c r="E1231" s="29"/>
      <c r="F1231" s="29"/>
      <c r="G1231" s="29"/>
      <c r="H1231" s="29"/>
      <c r="J1231" s="29"/>
      <c r="K1231" s="29"/>
      <c r="L1231" s="19"/>
      <c r="M1231" s="19"/>
      <c r="N1231" s="30"/>
      <c r="O1231" s="30"/>
      <c r="P1231" s="32"/>
      <c r="Q1231" s="32"/>
      <c r="R1231" s="32"/>
      <c r="S1231" s="32"/>
      <c r="T1231" s="32"/>
      <c r="U1231" s="30"/>
    </row>
    <row r="1232" spans="1:21">
      <c r="A1232" s="29"/>
      <c r="B1232" s="29"/>
      <c r="C1232" s="29"/>
      <c r="D1232" s="29"/>
      <c r="E1232" s="29"/>
      <c r="F1232" s="29"/>
      <c r="G1232" s="29"/>
      <c r="H1232" s="29"/>
      <c r="J1232" s="29"/>
      <c r="K1232" s="29"/>
      <c r="L1232" s="19"/>
      <c r="M1232" s="19"/>
      <c r="N1232" s="30"/>
      <c r="O1232" s="30"/>
      <c r="P1232" s="32"/>
      <c r="Q1232" s="32"/>
      <c r="R1232" s="32"/>
      <c r="S1232" s="32"/>
      <c r="T1232" s="32"/>
      <c r="U1232" s="30"/>
    </row>
    <row r="1233" spans="1:21">
      <c r="A1233" s="29"/>
      <c r="B1233" s="29"/>
      <c r="C1233" s="29"/>
      <c r="D1233" s="29"/>
      <c r="E1233" s="29"/>
      <c r="F1233" s="29"/>
      <c r="G1233" s="29"/>
      <c r="H1233" s="29"/>
      <c r="J1233" s="29"/>
      <c r="K1233" s="29"/>
      <c r="L1233" s="19"/>
      <c r="M1233" s="19"/>
      <c r="N1233" s="30"/>
      <c r="O1233" s="30"/>
      <c r="P1233" s="32"/>
      <c r="Q1233" s="32"/>
      <c r="R1233" s="32"/>
      <c r="S1233" s="32"/>
      <c r="T1233" s="32"/>
      <c r="U1233" s="30"/>
    </row>
    <row r="1234" spans="1:21">
      <c r="A1234" s="29"/>
      <c r="B1234" s="29"/>
      <c r="C1234" s="29"/>
      <c r="D1234" s="29"/>
      <c r="E1234" s="29"/>
      <c r="F1234" s="29"/>
      <c r="G1234" s="29"/>
      <c r="H1234" s="29"/>
      <c r="J1234" s="29"/>
      <c r="K1234" s="29"/>
      <c r="L1234" s="19"/>
      <c r="M1234" s="19"/>
      <c r="N1234" s="30"/>
      <c r="O1234" s="30"/>
      <c r="P1234" s="32"/>
      <c r="Q1234" s="32"/>
      <c r="R1234" s="32"/>
      <c r="S1234" s="32"/>
      <c r="T1234" s="32"/>
      <c r="U1234" s="30"/>
    </row>
    <row r="1235" spans="1:21">
      <c r="A1235" s="29"/>
      <c r="B1235" s="29"/>
      <c r="C1235" s="29"/>
      <c r="D1235" s="29"/>
      <c r="E1235" s="29"/>
      <c r="F1235" s="29"/>
      <c r="G1235" s="29"/>
      <c r="H1235" s="29"/>
      <c r="J1235" s="29"/>
      <c r="K1235" s="29"/>
      <c r="L1235" s="19"/>
      <c r="M1235" s="19"/>
      <c r="N1235" s="30"/>
      <c r="O1235" s="30"/>
      <c r="P1235" s="32"/>
      <c r="Q1235" s="32"/>
      <c r="R1235" s="32"/>
      <c r="S1235" s="32"/>
      <c r="T1235" s="32"/>
      <c r="U1235" s="30"/>
    </row>
    <row r="1236" spans="1:21">
      <c r="A1236" s="29"/>
      <c r="B1236" s="29"/>
      <c r="C1236" s="29"/>
      <c r="D1236" s="29"/>
      <c r="E1236" s="29"/>
      <c r="F1236" s="29"/>
      <c r="G1236" s="29"/>
      <c r="H1236" s="29"/>
      <c r="J1236" s="29"/>
      <c r="K1236" s="29"/>
      <c r="L1236" s="19"/>
      <c r="M1236" s="19"/>
      <c r="N1236" s="30"/>
      <c r="O1236" s="30"/>
      <c r="P1236" s="32"/>
      <c r="Q1236" s="32"/>
      <c r="R1236" s="32"/>
      <c r="S1236" s="32"/>
      <c r="T1236" s="32"/>
      <c r="U1236" s="30"/>
    </row>
    <row r="1237" spans="1:21">
      <c r="A1237" s="29"/>
      <c r="B1237" s="29"/>
      <c r="C1237" s="29"/>
      <c r="D1237" s="29"/>
      <c r="E1237" s="29"/>
      <c r="F1237" s="29"/>
      <c r="G1237" s="29"/>
      <c r="H1237" s="29"/>
      <c r="J1237" s="29"/>
      <c r="K1237" s="29"/>
      <c r="L1237" s="19"/>
      <c r="M1237" s="19"/>
      <c r="N1237" s="30"/>
      <c r="O1237" s="30"/>
      <c r="P1237" s="32"/>
      <c r="Q1237" s="32"/>
      <c r="R1237" s="32"/>
      <c r="S1237" s="32"/>
      <c r="T1237" s="32"/>
      <c r="U1237" s="30"/>
    </row>
    <row r="1238" spans="1:21">
      <c r="A1238" s="29"/>
      <c r="B1238" s="29"/>
      <c r="C1238" s="29"/>
      <c r="D1238" s="29"/>
      <c r="E1238" s="29"/>
      <c r="F1238" s="29"/>
      <c r="G1238" s="29"/>
      <c r="H1238" s="29"/>
      <c r="J1238" s="29"/>
      <c r="K1238" s="29"/>
      <c r="L1238" s="19"/>
      <c r="M1238" s="19"/>
      <c r="N1238" s="30"/>
      <c r="O1238" s="30"/>
      <c r="P1238" s="32"/>
      <c r="Q1238" s="32"/>
      <c r="R1238" s="32"/>
      <c r="S1238" s="32"/>
      <c r="T1238" s="32"/>
      <c r="U1238" s="30"/>
    </row>
    <row r="1239" spans="1:21">
      <c r="A1239" s="29"/>
      <c r="B1239" s="29"/>
      <c r="C1239" s="29"/>
      <c r="D1239" s="29"/>
      <c r="E1239" s="29"/>
      <c r="F1239" s="29"/>
      <c r="G1239" s="29"/>
      <c r="H1239" s="29"/>
      <c r="J1239" s="29"/>
      <c r="K1239" s="29"/>
      <c r="L1239" s="19"/>
      <c r="M1239" s="19"/>
      <c r="N1239" s="30"/>
      <c r="O1239" s="30"/>
      <c r="P1239" s="32"/>
      <c r="Q1239" s="32"/>
      <c r="R1239" s="32"/>
      <c r="S1239" s="32"/>
      <c r="T1239" s="32"/>
      <c r="U1239" s="30"/>
    </row>
    <row r="1240" spans="1:21">
      <c r="A1240" s="29"/>
      <c r="B1240" s="29"/>
      <c r="C1240" s="29"/>
      <c r="D1240" s="29"/>
      <c r="E1240" s="29"/>
      <c r="F1240" s="29"/>
      <c r="G1240" s="29"/>
      <c r="H1240" s="29"/>
      <c r="J1240" s="29"/>
      <c r="K1240" s="29"/>
      <c r="L1240" s="19"/>
      <c r="M1240" s="19"/>
      <c r="N1240" s="30"/>
      <c r="O1240" s="30"/>
      <c r="P1240" s="32"/>
      <c r="Q1240" s="32"/>
      <c r="R1240" s="32"/>
      <c r="S1240" s="32"/>
      <c r="T1240" s="32"/>
      <c r="U1240" s="30"/>
    </row>
    <row r="1241" spans="1:21">
      <c r="A1241" s="29"/>
      <c r="B1241" s="29"/>
      <c r="C1241" s="29"/>
      <c r="D1241" s="29"/>
      <c r="E1241" s="29"/>
      <c r="F1241" s="29"/>
      <c r="G1241" s="29"/>
      <c r="H1241" s="29"/>
      <c r="J1241" s="29"/>
      <c r="K1241" s="29"/>
      <c r="L1241" s="19"/>
      <c r="M1241" s="19"/>
      <c r="N1241" s="30"/>
      <c r="O1241" s="30"/>
      <c r="P1241" s="32"/>
      <c r="Q1241" s="32"/>
      <c r="R1241" s="32"/>
      <c r="S1241" s="32"/>
      <c r="T1241" s="32"/>
      <c r="U1241" s="30"/>
    </row>
    <row r="1242" spans="1:21">
      <c r="A1242" s="29"/>
      <c r="B1242" s="29"/>
      <c r="C1242" s="29"/>
      <c r="D1242" s="29"/>
      <c r="E1242" s="29"/>
      <c r="F1242" s="29"/>
      <c r="G1242" s="29"/>
      <c r="H1242" s="29"/>
      <c r="J1242" s="29"/>
      <c r="K1242" s="29"/>
      <c r="L1242" s="19"/>
      <c r="M1242" s="19"/>
      <c r="N1242" s="30"/>
      <c r="O1242" s="30"/>
      <c r="P1242" s="32"/>
      <c r="Q1242" s="32"/>
      <c r="R1242" s="32"/>
      <c r="S1242" s="32"/>
      <c r="T1242" s="32"/>
      <c r="U1242" s="30"/>
    </row>
    <row r="1243" spans="1:21">
      <c r="A1243" s="29"/>
      <c r="B1243" s="29"/>
      <c r="C1243" s="29"/>
      <c r="D1243" s="29"/>
      <c r="E1243" s="29"/>
      <c r="F1243" s="29"/>
      <c r="G1243" s="29"/>
      <c r="H1243" s="29"/>
      <c r="J1243" s="29"/>
      <c r="K1243" s="29"/>
      <c r="L1243" s="19"/>
      <c r="M1243" s="19"/>
      <c r="N1243" s="30"/>
      <c r="O1243" s="30"/>
      <c r="P1243" s="32"/>
      <c r="Q1243" s="32"/>
      <c r="R1243" s="32"/>
      <c r="S1243" s="32"/>
      <c r="T1243" s="32"/>
      <c r="U1243" s="30"/>
    </row>
    <row r="1244" spans="1:21">
      <c r="A1244" s="29"/>
      <c r="B1244" s="29"/>
      <c r="C1244" s="29"/>
      <c r="D1244" s="29"/>
      <c r="E1244" s="29"/>
      <c r="F1244" s="29"/>
      <c r="G1244" s="29"/>
      <c r="H1244" s="29"/>
      <c r="J1244" s="29"/>
      <c r="K1244" s="29"/>
      <c r="L1244" s="19"/>
      <c r="M1244" s="19"/>
      <c r="N1244" s="30"/>
      <c r="O1244" s="30"/>
      <c r="P1244" s="32"/>
      <c r="Q1244" s="32"/>
      <c r="R1244" s="32"/>
      <c r="S1244" s="32"/>
      <c r="T1244" s="32"/>
      <c r="U1244" s="30"/>
    </row>
    <row r="1245" spans="1:21">
      <c r="A1245" s="29"/>
      <c r="B1245" s="29"/>
      <c r="C1245" s="29"/>
      <c r="D1245" s="29"/>
      <c r="E1245" s="29"/>
      <c r="F1245" s="29"/>
      <c r="G1245" s="29"/>
      <c r="H1245" s="29"/>
      <c r="J1245" s="29"/>
      <c r="K1245" s="29"/>
      <c r="L1245" s="19"/>
      <c r="M1245" s="19"/>
      <c r="N1245" s="30"/>
      <c r="O1245" s="30"/>
      <c r="P1245" s="32"/>
      <c r="Q1245" s="32"/>
      <c r="R1245" s="32"/>
      <c r="S1245" s="32"/>
      <c r="T1245" s="32"/>
      <c r="U1245" s="30"/>
    </row>
    <row r="1246" spans="1:21">
      <c r="A1246" s="29"/>
      <c r="B1246" s="29"/>
      <c r="C1246" s="29"/>
      <c r="D1246" s="29"/>
      <c r="E1246" s="29"/>
      <c r="F1246" s="29"/>
      <c r="G1246" s="29"/>
      <c r="H1246" s="29"/>
      <c r="J1246" s="29"/>
      <c r="K1246" s="29"/>
      <c r="L1246" s="19"/>
      <c r="M1246" s="19"/>
      <c r="N1246" s="30"/>
      <c r="O1246" s="30"/>
      <c r="P1246" s="32"/>
      <c r="Q1246" s="32"/>
      <c r="R1246" s="32"/>
      <c r="S1246" s="32"/>
      <c r="T1246" s="32"/>
      <c r="U1246" s="30"/>
    </row>
    <row r="1247" spans="1:21">
      <c r="A1247" s="29"/>
      <c r="B1247" s="29"/>
      <c r="C1247" s="29"/>
      <c r="D1247" s="29"/>
      <c r="E1247" s="29"/>
      <c r="F1247" s="29"/>
      <c r="G1247" s="29"/>
      <c r="H1247" s="29"/>
      <c r="J1247" s="29"/>
      <c r="K1247" s="29"/>
      <c r="L1247" s="19"/>
      <c r="M1247" s="19"/>
      <c r="N1247" s="30"/>
      <c r="O1247" s="30"/>
      <c r="P1247" s="32"/>
      <c r="Q1247" s="32"/>
      <c r="R1247" s="32"/>
      <c r="S1247" s="32"/>
      <c r="T1247" s="32"/>
      <c r="U1247" s="30"/>
    </row>
    <row r="1248" spans="1:21">
      <c r="A1248" s="29"/>
      <c r="B1248" s="29"/>
      <c r="C1248" s="29"/>
      <c r="D1248" s="29"/>
      <c r="E1248" s="29"/>
      <c r="F1248" s="29"/>
      <c r="G1248" s="29"/>
      <c r="H1248" s="29"/>
      <c r="J1248" s="29"/>
      <c r="K1248" s="29"/>
      <c r="L1248" s="19"/>
      <c r="M1248" s="19"/>
      <c r="N1248" s="30"/>
      <c r="O1248" s="30"/>
      <c r="P1248" s="32"/>
      <c r="Q1248" s="32"/>
      <c r="R1248" s="32"/>
      <c r="S1248" s="32"/>
      <c r="T1248" s="32"/>
      <c r="U1248" s="30"/>
    </row>
    <row r="1249" spans="1:21">
      <c r="A1249" s="29"/>
      <c r="B1249" s="29"/>
      <c r="C1249" s="29"/>
      <c r="D1249" s="29"/>
      <c r="E1249" s="29"/>
      <c r="F1249" s="29"/>
      <c r="G1249" s="29"/>
      <c r="H1249" s="29"/>
      <c r="J1249" s="29"/>
      <c r="K1249" s="29"/>
      <c r="L1249" s="19"/>
      <c r="M1249" s="19"/>
      <c r="N1249" s="30"/>
      <c r="O1249" s="30"/>
      <c r="P1249" s="32"/>
      <c r="Q1249" s="32"/>
      <c r="R1249" s="32"/>
      <c r="S1249" s="32"/>
      <c r="T1249" s="32"/>
      <c r="U1249" s="30"/>
    </row>
    <row r="1250" spans="1:21">
      <c r="A1250" s="29"/>
      <c r="B1250" s="29"/>
      <c r="C1250" s="29"/>
      <c r="D1250" s="29"/>
      <c r="E1250" s="29"/>
      <c r="F1250" s="29"/>
      <c r="G1250" s="29"/>
      <c r="H1250" s="29"/>
      <c r="J1250" s="29"/>
      <c r="K1250" s="29"/>
      <c r="L1250" s="19"/>
      <c r="M1250" s="19"/>
      <c r="N1250" s="30"/>
      <c r="O1250" s="30"/>
      <c r="P1250" s="32"/>
      <c r="Q1250" s="32"/>
      <c r="R1250" s="32"/>
      <c r="S1250" s="32"/>
      <c r="T1250" s="32"/>
      <c r="U1250" s="30"/>
    </row>
    <row r="1251" spans="1:21">
      <c r="A1251" s="29"/>
      <c r="B1251" s="29"/>
      <c r="C1251" s="29"/>
      <c r="D1251" s="29"/>
      <c r="E1251" s="29"/>
      <c r="F1251" s="29"/>
      <c r="G1251" s="29"/>
      <c r="H1251" s="29"/>
      <c r="J1251" s="29"/>
      <c r="K1251" s="29"/>
      <c r="L1251" s="19"/>
      <c r="M1251" s="19"/>
      <c r="N1251" s="30"/>
      <c r="O1251" s="30"/>
      <c r="P1251" s="32"/>
      <c r="Q1251" s="32"/>
      <c r="R1251" s="32"/>
      <c r="S1251" s="32"/>
      <c r="T1251" s="32"/>
      <c r="U1251" s="30"/>
    </row>
    <row r="1252" spans="1:21">
      <c r="A1252" s="29"/>
      <c r="B1252" s="29"/>
      <c r="C1252" s="29"/>
      <c r="D1252" s="29"/>
      <c r="E1252" s="29"/>
      <c r="F1252" s="29"/>
      <c r="G1252" s="29"/>
      <c r="H1252" s="29"/>
      <c r="J1252" s="29"/>
      <c r="K1252" s="29"/>
      <c r="L1252" s="19"/>
      <c r="M1252" s="19"/>
      <c r="N1252" s="30"/>
      <c r="O1252" s="30"/>
      <c r="P1252" s="32"/>
      <c r="Q1252" s="32"/>
      <c r="R1252" s="32"/>
      <c r="S1252" s="32"/>
      <c r="T1252" s="32"/>
      <c r="U1252" s="30"/>
    </row>
    <row r="1253" spans="1:21">
      <c r="A1253" s="29"/>
      <c r="B1253" s="29"/>
      <c r="C1253" s="29"/>
      <c r="D1253" s="29"/>
      <c r="E1253" s="29"/>
      <c r="F1253" s="29"/>
      <c r="G1253" s="29"/>
      <c r="H1253" s="29"/>
      <c r="J1253" s="29"/>
      <c r="K1253" s="29"/>
      <c r="L1253" s="19"/>
      <c r="M1253" s="19"/>
      <c r="N1253" s="30"/>
      <c r="O1253" s="30"/>
      <c r="P1253" s="32"/>
      <c r="Q1253" s="32"/>
      <c r="R1253" s="32"/>
      <c r="S1253" s="32"/>
      <c r="T1253" s="32"/>
      <c r="U1253" s="30"/>
    </row>
    <row r="1254" spans="1:21">
      <c r="A1254" s="29"/>
      <c r="B1254" s="29"/>
      <c r="C1254" s="29"/>
      <c r="D1254" s="29"/>
      <c r="E1254" s="29"/>
      <c r="F1254" s="29"/>
      <c r="G1254" s="29"/>
      <c r="H1254" s="29"/>
      <c r="J1254" s="29"/>
      <c r="K1254" s="29"/>
      <c r="L1254" s="19"/>
      <c r="M1254" s="19"/>
      <c r="N1254" s="30"/>
      <c r="O1254" s="30"/>
      <c r="P1254" s="32"/>
      <c r="Q1254" s="32"/>
      <c r="R1254" s="32"/>
      <c r="S1254" s="32"/>
      <c r="T1254" s="32"/>
      <c r="U1254" s="30"/>
    </row>
    <row r="1255" spans="1:21">
      <c r="A1255" s="29"/>
      <c r="B1255" s="29"/>
      <c r="C1255" s="29"/>
      <c r="D1255" s="29"/>
      <c r="E1255" s="29"/>
      <c r="F1255" s="29"/>
      <c r="G1255" s="29"/>
      <c r="H1255" s="29"/>
      <c r="J1255" s="29"/>
      <c r="K1255" s="29"/>
      <c r="L1255" s="19"/>
      <c r="M1255" s="19"/>
      <c r="N1255" s="30"/>
      <c r="O1255" s="30"/>
      <c r="P1255" s="32"/>
      <c r="Q1255" s="32"/>
      <c r="R1255" s="32"/>
      <c r="S1255" s="32"/>
      <c r="T1255" s="32"/>
      <c r="U1255" s="30"/>
    </row>
    <row r="1256" spans="1:21">
      <c r="A1256" s="29"/>
      <c r="B1256" s="29"/>
      <c r="C1256" s="29"/>
      <c r="D1256" s="29"/>
      <c r="E1256" s="29"/>
      <c r="F1256" s="29"/>
      <c r="G1256" s="29"/>
      <c r="H1256" s="29"/>
      <c r="J1256" s="29"/>
      <c r="K1256" s="29"/>
      <c r="L1256" s="19"/>
      <c r="M1256" s="19"/>
      <c r="N1256" s="30"/>
      <c r="O1256" s="30"/>
      <c r="P1256" s="32"/>
      <c r="Q1256" s="32"/>
      <c r="R1256" s="32"/>
      <c r="S1256" s="32"/>
      <c r="T1256" s="32"/>
      <c r="U1256" s="30"/>
    </row>
    <row r="1257" spans="1:21">
      <c r="A1257" s="29"/>
      <c r="B1257" s="29"/>
      <c r="C1257" s="29"/>
      <c r="D1257" s="29"/>
      <c r="E1257" s="29"/>
      <c r="F1257" s="29"/>
      <c r="G1257" s="29"/>
      <c r="H1257" s="29"/>
      <c r="J1257" s="29"/>
      <c r="K1257" s="29"/>
      <c r="L1257" s="19"/>
      <c r="M1257" s="19"/>
      <c r="N1257" s="30"/>
      <c r="O1257" s="30"/>
      <c r="P1257" s="32"/>
      <c r="Q1257" s="32"/>
      <c r="R1257" s="32"/>
      <c r="S1257" s="32"/>
      <c r="T1257" s="32"/>
      <c r="U1257" s="30"/>
    </row>
    <row r="1258" spans="1:21">
      <c r="A1258" s="29"/>
      <c r="B1258" s="29"/>
      <c r="C1258" s="29"/>
      <c r="D1258" s="29"/>
      <c r="E1258" s="29"/>
      <c r="F1258" s="29"/>
      <c r="G1258" s="29"/>
      <c r="H1258" s="29"/>
      <c r="J1258" s="29"/>
      <c r="K1258" s="29"/>
      <c r="L1258" s="19"/>
      <c r="M1258" s="19"/>
      <c r="N1258" s="30"/>
      <c r="O1258" s="30"/>
      <c r="P1258" s="32"/>
      <c r="Q1258" s="32"/>
      <c r="R1258" s="32"/>
      <c r="S1258" s="32"/>
      <c r="T1258" s="32"/>
      <c r="U1258" s="30"/>
    </row>
    <row r="1259" spans="1:21">
      <c r="A1259" s="29"/>
      <c r="B1259" s="29"/>
      <c r="C1259" s="29"/>
      <c r="D1259" s="29"/>
      <c r="E1259" s="29"/>
      <c r="F1259" s="29"/>
      <c r="G1259" s="29"/>
      <c r="H1259" s="29"/>
      <c r="J1259" s="29"/>
      <c r="K1259" s="29"/>
      <c r="L1259" s="19"/>
      <c r="M1259" s="19"/>
      <c r="N1259" s="30"/>
      <c r="O1259" s="30"/>
      <c r="P1259" s="32"/>
      <c r="Q1259" s="32"/>
      <c r="R1259" s="32"/>
      <c r="S1259" s="32"/>
      <c r="T1259" s="32"/>
      <c r="U1259" s="30"/>
    </row>
    <row r="1260" spans="1:21">
      <c r="A1260" s="29"/>
      <c r="B1260" s="29"/>
      <c r="C1260" s="29"/>
      <c r="D1260" s="29"/>
      <c r="E1260" s="29"/>
      <c r="F1260" s="29"/>
      <c r="G1260" s="29"/>
      <c r="H1260" s="29"/>
      <c r="J1260" s="29"/>
      <c r="K1260" s="29"/>
      <c r="L1260" s="19"/>
      <c r="M1260" s="19"/>
      <c r="N1260" s="30"/>
      <c r="O1260" s="30"/>
      <c r="P1260" s="32"/>
      <c r="Q1260" s="32"/>
      <c r="R1260" s="32"/>
      <c r="S1260" s="32"/>
      <c r="T1260" s="32"/>
      <c r="U1260" s="30"/>
    </row>
    <row r="1261" spans="1:21">
      <c r="A1261" s="29"/>
      <c r="B1261" s="29"/>
      <c r="C1261" s="29"/>
      <c r="D1261" s="29"/>
      <c r="E1261" s="29"/>
      <c r="F1261" s="29"/>
      <c r="G1261" s="29"/>
      <c r="H1261" s="29"/>
      <c r="J1261" s="29"/>
      <c r="K1261" s="29"/>
      <c r="L1261" s="19"/>
      <c r="M1261" s="19"/>
      <c r="N1261" s="30"/>
      <c r="O1261" s="30"/>
      <c r="P1261" s="32"/>
      <c r="Q1261" s="32"/>
      <c r="R1261" s="32"/>
      <c r="S1261" s="32"/>
      <c r="T1261" s="32"/>
      <c r="U1261" s="30"/>
    </row>
    <row r="1262" spans="1:21">
      <c r="A1262" s="29"/>
      <c r="B1262" s="29"/>
      <c r="C1262" s="29"/>
      <c r="D1262" s="29"/>
      <c r="E1262" s="29"/>
      <c r="F1262" s="29"/>
      <c r="G1262" s="29"/>
      <c r="H1262" s="29"/>
      <c r="J1262" s="29"/>
      <c r="K1262" s="29"/>
      <c r="L1262" s="19"/>
      <c r="M1262" s="19"/>
      <c r="N1262" s="30"/>
      <c r="O1262" s="30"/>
      <c r="P1262" s="32"/>
      <c r="Q1262" s="32"/>
      <c r="R1262" s="32"/>
      <c r="S1262" s="32"/>
      <c r="T1262" s="32"/>
      <c r="U1262" s="30"/>
    </row>
    <row r="1263" spans="1:21">
      <c r="A1263" s="29"/>
      <c r="B1263" s="29"/>
      <c r="C1263" s="29"/>
      <c r="D1263" s="29"/>
      <c r="E1263" s="29"/>
      <c r="F1263" s="29"/>
      <c r="G1263" s="29"/>
      <c r="H1263" s="29"/>
      <c r="J1263" s="29"/>
      <c r="K1263" s="29"/>
      <c r="L1263" s="19"/>
      <c r="M1263" s="19"/>
      <c r="N1263" s="30"/>
      <c r="O1263" s="30"/>
      <c r="P1263" s="32"/>
      <c r="Q1263" s="32"/>
      <c r="R1263" s="32"/>
      <c r="S1263" s="32"/>
      <c r="T1263" s="32"/>
      <c r="U1263" s="30"/>
    </row>
    <row r="1264" spans="1:21">
      <c r="A1264" s="29"/>
      <c r="B1264" s="29"/>
      <c r="C1264" s="29"/>
      <c r="D1264" s="29"/>
      <c r="E1264" s="29"/>
      <c r="F1264" s="29"/>
      <c r="G1264" s="29"/>
      <c r="H1264" s="29"/>
      <c r="J1264" s="29"/>
      <c r="K1264" s="29"/>
      <c r="L1264" s="19"/>
      <c r="M1264" s="19"/>
      <c r="N1264" s="30"/>
      <c r="O1264" s="30"/>
      <c r="P1264" s="32"/>
      <c r="Q1264" s="32"/>
      <c r="R1264" s="32"/>
      <c r="S1264" s="32"/>
      <c r="T1264" s="32"/>
      <c r="U1264" s="30"/>
    </row>
    <row r="1265" spans="1:21">
      <c r="A1265" s="29"/>
      <c r="B1265" s="29"/>
      <c r="C1265" s="29"/>
      <c r="D1265" s="29"/>
      <c r="E1265" s="29"/>
      <c r="F1265" s="29"/>
      <c r="G1265" s="29"/>
      <c r="H1265" s="29"/>
      <c r="J1265" s="29"/>
      <c r="K1265" s="29"/>
      <c r="L1265" s="19"/>
      <c r="M1265" s="19"/>
      <c r="N1265" s="30"/>
      <c r="O1265" s="30"/>
      <c r="P1265" s="32"/>
      <c r="Q1265" s="32"/>
      <c r="R1265" s="32"/>
      <c r="S1265" s="32"/>
      <c r="T1265" s="32"/>
      <c r="U1265" s="30"/>
    </row>
    <row r="1266" spans="1:21">
      <c r="A1266" s="29"/>
      <c r="B1266" s="29"/>
      <c r="C1266" s="29"/>
      <c r="D1266" s="29"/>
      <c r="E1266" s="29"/>
      <c r="F1266" s="29"/>
      <c r="G1266" s="29"/>
      <c r="H1266" s="29"/>
      <c r="J1266" s="29"/>
      <c r="K1266" s="29"/>
      <c r="L1266" s="19"/>
      <c r="M1266" s="19"/>
      <c r="N1266" s="30"/>
      <c r="O1266" s="30"/>
      <c r="P1266" s="32"/>
      <c r="Q1266" s="32"/>
      <c r="R1266" s="32"/>
      <c r="S1266" s="32"/>
      <c r="T1266" s="32"/>
      <c r="U1266" s="30"/>
    </row>
    <row r="1267" spans="1:21">
      <c r="A1267" s="29"/>
      <c r="B1267" s="29"/>
      <c r="C1267" s="29"/>
      <c r="D1267" s="29"/>
      <c r="E1267" s="29"/>
      <c r="F1267" s="29"/>
      <c r="G1267" s="29"/>
      <c r="H1267" s="29"/>
      <c r="J1267" s="29"/>
      <c r="K1267" s="29"/>
      <c r="L1267" s="19"/>
      <c r="M1267" s="19"/>
      <c r="N1267" s="30"/>
      <c r="O1267" s="30"/>
      <c r="P1267" s="32"/>
      <c r="Q1267" s="32"/>
      <c r="R1267" s="32"/>
      <c r="S1267" s="32"/>
      <c r="T1267" s="32"/>
      <c r="U1267" s="30"/>
    </row>
    <row r="1268" spans="1:21">
      <c r="A1268" s="29"/>
      <c r="B1268" s="29"/>
      <c r="C1268" s="29"/>
      <c r="D1268" s="29"/>
      <c r="E1268" s="29"/>
      <c r="F1268" s="29"/>
      <c r="G1268" s="29"/>
      <c r="H1268" s="29"/>
      <c r="J1268" s="29"/>
      <c r="K1268" s="29"/>
      <c r="L1268" s="19"/>
      <c r="M1268" s="19"/>
      <c r="N1268" s="30"/>
      <c r="O1268" s="30"/>
      <c r="P1268" s="32"/>
      <c r="Q1268" s="32"/>
      <c r="R1268" s="32"/>
      <c r="S1268" s="32"/>
      <c r="T1268" s="32"/>
      <c r="U1268" s="30"/>
    </row>
    <row r="1269" spans="1:21">
      <c r="A1269" s="29"/>
      <c r="B1269" s="29"/>
      <c r="C1269" s="29"/>
      <c r="D1269" s="29"/>
      <c r="E1269" s="29"/>
      <c r="F1269" s="29"/>
      <c r="G1269" s="29"/>
      <c r="H1269" s="29"/>
      <c r="J1269" s="29"/>
      <c r="K1269" s="29"/>
      <c r="L1269" s="19"/>
      <c r="M1269" s="19"/>
      <c r="N1269" s="30"/>
      <c r="O1269" s="30"/>
      <c r="P1269" s="32"/>
      <c r="Q1269" s="32"/>
      <c r="R1269" s="32"/>
      <c r="S1269" s="32"/>
      <c r="T1269" s="32"/>
      <c r="U1269" s="30"/>
    </row>
    <row r="1270" spans="1:21">
      <c r="A1270" s="29"/>
      <c r="B1270" s="29"/>
      <c r="C1270" s="29"/>
      <c r="D1270" s="29"/>
      <c r="E1270" s="29"/>
      <c r="F1270" s="29"/>
      <c r="G1270" s="29"/>
      <c r="H1270" s="29"/>
      <c r="J1270" s="29"/>
      <c r="K1270" s="29"/>
      <c r="L1270" s="19"/>
      <c r="M1270" s="19"/>
      <c r="N1270" s="30"/>
      <c r="O1270" s="30"/>
      <c r="P1270" s="32"/>
      <c r="Q1270" s="32"/>
      <c r="R1270" s="32"/>
      <c r="S1270" s="32"/>
      <c r="T1270" s="32"/>
      <c r="U1270" s="30"/>
    </row>
    <row r="1271" spans="1:21">
      <c r="A1271" s="29"/>
      <c r="B1271" s="29"/>
      <c r="C1271" s="29"/>
      <c r="D1271" s="29"/>
      <c r="E1271" s="29"/>
      <c r="F1271" s="29"/>
      <c r="G1271" s="29"/>
      <c r="H1271" s="29"/>
      <c r="J1271" s="29"/>
      <c r="K1271" s="29"/>
      <c r="L1271" s="19"/>
      <c r="M1271" s="19"/>
      <c r="N1271" s="30"/>
      <c r="O1271" s="30"/>
      <c r="P1271" s="32"/>
      <c r="Q1271" s="32"/>
      <c r="R1271" s="32"/>
      <c r="S1271" s="32"/>
      <c r="T1271" s="32"/>
      <c r="U1271" s="30"/>
    </row>
    <row r="1272" spans="1:21">
      <c r="A1272" s="29"/>
      <c r="B1272" s="29"/>
      <c r="C1272" s="29"/>
      <c r="D1272" s="29"/>
      <c r="E1272" s="29"/>
      <c r="F1272" s="29"/>
      <c r="G1272" s="29"/>
      <c r="H1272" s="29"/>
      <c r="J1272" s="29"/>
      <c r="K1272" s="29"/>
      <c r="L1272" s="19"/>
      <c r="M1272" s="19"/>
      <c r="N1272" s="30"/>
      <c r="O1272" s="30"/>
      <c r="P1272" s="32"/>
      <c r="Q1272" s="32"/>
      <c r="R1272" s="32"/>
      <c r="S1272" s="32"/>
      <c r="T1272" s="32"/>
      <c r="U1272" s="30"/>
    </row>
    <row r="1273" spans="1:21">
      <c r="A1273" s="29"/>
      <c r="B1273" s="29"/>
      <c r="C1273" s="29"/>
      <c r="D1273" s="29"/>
      <c r="E1273" s="29"/>
      <c r="F1273" s="29"/>
      <c r="G1273" s="29"/>
      <c r="H1273" s="29"/>
      <c r="J1273" s="29"/>
      <c r="K1273" s="29"/>
      <c r="L1273" s="19"/>
      <c r="M1273" s="19"/>
      <c r="N1273" s="30"/>
      <c r="O1273" s="30"/>
      <c r="P1273" s="32"/>
      <c r="Q1273" s="32"/>
      <c r="R1273" s="32"/>
      <c r="S1273" s="32"/>
      <c r="T1273" s="32"/>
      <c r="U1273" s="30"/>
    </row>
    <row r="1274" spans="1:21">
      <c r="A1274" s="29"/>
      <c r="B1274" s="29"/>
      <c r="C1274" s="29"/>
      <c r="D1274" s="29"/>
      <c r="E1274" s="29"/>
      <c r="F1274" s="29"/>
      <c r="G1274" s="29"/>
      <c r="H1274" s="29"/>
      <c r="J1274" s="29"/>
      <c r="K1274" s="29"/>
      <c r="L1274" s="19"/>
      <c r="M1274" s="19"/>
      <c r="N1274" s="30"/>
      <c r="O1274" s="30"/>
      <c r="P1274" s="32"/>
      <c r="Q1274" s="32"/>
      <c r="R1274" s="32"/>
      <c r="S1274" s="32"/>
      <c r="T1274" s="32"/>
      <c r="U1274" s="30"/>
    </row>
    <row r="1275" spans="1:21">
      <c r="A1275" s="29"/>
      <c r="B1275" s="29"/>
      <c r="C1275" s="29"/>
      <c r="D1275" s="29"/>
      <c r="E1275" s="29"/>
      <c r="F1275" s="29"/>
      <c r="G1275" s="29"/>
      <c r="H1275" s="29"/>
      <c r="J1275" s="29"/>
      <c r="K1275" s="29"/>
      <c r="L1275" s="19"/>
      <c r="M1275" s="19"/>
      <c r="N1275" s="30"/>
      <c r="O1275" s="30"/>
      <c r="P1275" s="32"/>
      <c r="Q1275" s="32"/>
      <c r="R1275" s="32"/>
      <c r="S1275" s="32"/>
      <c r="T1275" s="32"/>
      <c r="U1275" s="30"/>
    </row>
    <row r="1276" spans="1:21">
      <c r="A1276" s="29"/>
      <c r="B1276" s="29"/>
      <c r="C1276" s="29"/>
      <c r="D1276" s="29"/>
      <c r="E1276" s="29"/>
      <c r="F1276" s="29"/>
      <c r="G1276" s="29"/>
      <c r="H1276" s="29"/>
      <c r="J1276" s="29"/>
      <c r="K1276" s="29"/>
      <c r="L1276" s="19"/>
      <c r="M1276" s="19"/>
      <c r="N1276" s="30"/>
      <c r="O1276" s="30"/>
      <c r="P1276" s="32"/>
      <c r="Q1276" s="32"/>
      <c r="R1276" s="32"/>
      <c r="S1276" s="32"/>
      <c r="T1276" s="32"/>
      <c r="U1276" s="30"/>
    </row>
    <row r="1277" spans="1:21">
      <c r="A1277" s="29"/>
      <c r="B1277" s="29"/>
      <c r="C1277" s="29"/>
      <c r="D1277" s="29"/>
      <c r="E1277" s="29"/>
      <c r="F1277" s="29"/>
      <c r="G1277" s="29"/>
      <c r="H1277" s="29"/>
      <c r="J1277" s="29"/>
      <c r="K1277" s="29"/>
      <c r="L1277" s="19"/>
      <c r="M1277" s="19"/>
      <c r="N1277" s="30"/>
      <c r="O1277" s="30"/>
      <c r="P1277" s="32"/>
      <c r="Q1277" s="32"/>
      <c r="R1277" s="32"/>
      <c r="S1277" s="32"/>
      <c r="T1277" s="32"/>
      <c r="U1277" s="30"/>
    </row>
    <row r="1278" spans="1:21">
      <c r="A1278" s="29"/>
      <c r="B1278" s="29"/>
      <c r="C1278" s="29"/>
      <c r="D1278" s="29"/>
      <c r="E1278" s="29"/>
      <c r="F1278" s="29"/>
      <c r="G1278" s="29"/>
      <c r="H1278" s="29"/>
      <c r="J1278" s="29"/>
      <c r="K1278" s="29"/>
      <c r="L1278" s="19"/>
      <c r="M1278" s="19"/>
      <c r="N1278" s="30"/>
      <c r="O1278" s="30"/>
      <c r="P1278" s="32"/>
      <c r="Q1278" s="32"/>
      <c r="R1278" s="32"/>
      <c r="S1278" s="32"/>
      <c r="T1278" s="32"/>
      <c r="U1278" s="30"/>
    </row>
    <row r="1279" spans="1:21">
      <c r="A1279" s="29"/>
      <c r="B1279" s="29"/>
      <c r="C1279" s="29"/>
      <c r="D1279" s="29"/>
      <c r="E1279" s="29"/>
      <c r="F1279" s="29"/>
      <c r="G1279" s="29"/>
      <c r="H1279" s="29"/>
      <c r="J1279" s="29"/>
      <c r="K1279" s="29"/>
      <c r="L1279" s="19"/>
      <c r="M1279" s="19"/>
      <c r="N1279" s="30"/>
      <c r="O1279" s="30"/>
      <c r="P1279" s="32"/>
      <c r="Q1279" s="32"/>
      <c r="R1279" s="32"/>
      <c r="S1279" s="32"/>
      <c r="T1279" s="32"/>
      <c r="U1279" s="30"/>
    </row>
    <row r="1280" spans="1:21">
      <c r="A1280" s="29"/>
      <c r="B1280" s="29"/>
      <c r="C1280" s="29"/>
      <c r="D1280" s="29"/>
      <c r="E1280" s="29"/>
      <c r="F1280" s="29"/>
      <c r="G1280" s="29"/>
      <c r="H1280" s="29"/>
      <c r="J1280" s="29"/>
      <c r="K1280" s="29"/>
      <c r="L1280" s="19"/>
      <c r="M1280" s="19"/>
      <c r="N1280" s="30"/>
      <c r="O1280" s="30"/>
      <c r="P1280" s="32"/>
      <c r="Q1280" s="32"/>
      <c r="R1280" s="32"/>
      <c r="S1280" s="32"/>
      <c r="T1280" s="32"/>
      <c r="U1280" s="30"/>
    </row>
    <row r="1281" spans="1:21">
      <c r="A1281" s="29"/>
      <c r="B1281" s="29"/>
      <c r="C1281" s="29"/>
      <c r="D1281" s="29"/>
      <c r="E1281" s="29"/>
      <c r="F1281" s="29"/>
      <c r="G1281" s="29"/>
      <c r="H1281" s="29"/>
      <c r="J1281" s="29"/>
      <c r="K1281" s="29"/>
      <c r="L1281" s="19"/>
      <c r="M1281" s="19"/>
      <c r="N1281" s="30"/>
      <c r="O1281" s="30"/>
      <c r="P1281" s="32"/>
      <c r="Q1281" s="32"/>
      <c r="R1281" s="32"/>
      <c r="S1281" s="32"/>
      <c r="T1281" s="32"/>
      <c r="U1281" s="30"/>
    </row>
    <row r="1282" spans="1:21">
      <c r="A1282" s="29"/>
      <c r="B1282" s="29"/>
      <c r="C1282" s="29"/>
      <c r="D1282" s="29"/>
      <c r="E1282" s="29"/>
      <c r="F1282" s="29"/>
      <c r="G1282" s="29"/>
      <c r="H1282" s="29"/>
      <c r="J1282" s="29"/>
      <c r="K1282" s="29"/>
      <c r="L1282" s="19"/>
      <c r="M1282" s="19"/>
      <c r="N1282" s="30"/>
      <c r="O1282" s="30"/>
      <c r="P1282" s="32"/>
      <c r="Q1282" s="32"/>
      <c r="R1282" s="32"/>
      <c r="S1282" s="32"/>
      <c r="T1282" s="32"/>
      <c r="U1282" s="30"/>
    </row>
    <row r="1283" spans="1:21">
      <c r="A1283" s="29"/>
      <c r="B1283" s="29"/>
      <c r="C1283" s="29"/>
      <c r="D1283" s="29"/>
      <c r="E1283" s="29"/>
      <c r="F1283" s="29"/>
      <c r="G1283" s="29"/>
      <c r="H1283" s="29"/>
      <c r="J1283" s="29"/>
      <c r="K1283" s="29"/>
      <c r="L1283" s="19"/>
      <c r="M1283" s="19"/>
      <c r="N1283" s="30"/>
      <c r="O1283" s="30"/>
      <c r="P1283" s="32"/>
      <c r="Q1283" s="32"/>
      <c r="R1283" s="32"/>
      <c r="S1283" s="32"/>
      <c r="T1283" s="32"/>
      <c r="U1283" s="30"/>
    </row>
    <row r="1284" spans="1:21">
      <c r="A1284" s="29"/>
      <c r="B1284" s="29"/>
      <c r="C1284" s="29"/>
      <c r="D1284" s="29"/>
      <c r="E1284" s="29"/>
      <c r="F1284" s="29"/>
      <c r="G1284" s="29"/>
      <c r="H1284" s="29"/>
      <c r="J1284" s="29"/>
      <c r="K1284" s="29"/>
      <c r="L1284" s="19"/>
      <c r="M1284" s="19"/>
      <c r="N1284" s="30"/>
      <c r="O1284" s="30"/>
      <c r="P1284" s="32"/>
      <c r="Q1284" s="32"/>
      <c r="R1284" s="32"/>
      <c r="S1284" s="32"/>
      <c r="T1284" s="32"/>
      <c r="U1284" s="30"/>
    </row>
    <row r="1285" spans="1:21">
      <c r="A1285" s="29"/>
      <c r="B1285" s="29"/>
      <c r="C1285" s="29"/>
      <c r="D1285" s="29"/>
      <c r="E1285" s="29"/>
      <c r="F1285" s="29"/>
      <c r="G1285" s="29"/>
      <c r="H1285" s="29"/>
      <c r="J1285" s="29"/>
      <c r="K1285" s="29"/>
      <c r="L1285" s="19"/>
      <c r="M1285" s="19"/>
      <c r="N1285" s="30"/>
      <c r="O1285" s="30"/>
      <c r="P1285" s="32"/>
      <c r="Q1285" s="32"/>
      <c r="R1285" s="32"/>
      <c r="S1285" s="32"/>
      <c r="T1285" s="32"/>
      <c r="U1285" s="30"/>
    </row>
    <row r="1286" spans="1:21">
      <c r="A1286" s="29"/>
      <c r="B1286" s="29"/>
      <c r="C1286" s="29"/>
      <c r="D1286" s="29"/>
      <c r="E1286" s="29"/>
      <c r="F1286" s="29"/>
      <c r="G1286" s="29"/>
      <c r="H1286" s="29"/>
      <c r="J1286" s="29"/>
      <c r="K1286" s="29"/>
      <c r="L1286" s="19"/>
      <c r="M1286" s="19"/>
      <c r="N1286" s="30"/>
      <c r="O1286" s="30"/>
      <c r="P1286" s="32"/>
      <c r="Q1286" s="32"/>
      <c r="R1286" s="32"/>
      <c r="S1286" s="32"/>
      <c r="T1286" s="32"/>
      <c r="U1286" s="30"/>
    </row>
    <row r="1287" spans="1:21">
      <c r="A1287" s="29"/>
      <c r="B1287" s="29"/>
      <c r="C1287" s="29"/>
      <c r="D1287" s="29"/>
      <c r="E1287" s="29"/>
      <c r="F1287" s="29"/>
      <c r="G1287" s="29"/>
      <c r="H1287" s="29"/>
      <c r="J1287" s="29"/>
      <c r="K1287" s="29"/>
      <c r="L1287" s="19"/>
      <c r="M1287" s="19"/>
      <c r="N1287" s="30"/>
      <c r="O1287" s="30"/>
      <c r="P1287" s="32"/>
      <c r="Q1287" s="32"/>
      <c r="R1287" s="32"/>
      <c r="S1287" s="32"/>
      <c r="T1287" s="32"/>
      <c r="U1287" s="30"/>
    </row>
    <row r="1288" spans="1:21">
      <c r="A1288" s="29"/>
      <c r="B1288" s="29"/>
      <c r="C1288" s="29"/>
      <c r="D1288" s="29"/>
      <c r="E1288" s="29"/>
      <c r="F1288" s="29"/>
      <c r="G1288" s="29"/>
      <c r="H1288" s="29"/>
      <c r="J1288" s="29"/>
      <c r="K1288" s="29"/>
      <c r="L1288" s="19"/>
      <c r="M1288" s="19"/>
      <c r="N1288" s="30"/>
      <c r="O1288" s="30"/>
      <c r="P1288" s="32"/>
      <c r="Q1288" s="32"/>
      <c r="R1288" s="32"/>
      <c r="S1288" s="32"/>
      <c r="T1288" s="32"/>
      <c r="U1288" s="30"/>
    </row>
    <row r="1289" spans="1:21">
      <c r="A1289" s="29"/>
      <c r="B1289" s="29"/>
      <c r="C1289" s="29"/>
      <c r="D1289" s="29"/>
      <c r="E1289" s="29"/>
      <c r="F1289" s="29"/>
      <c r="G1289" s="29"/>
      <c r="H1289" s="29"/>
      <c r="J1289" s="29"/>
      <c r="K1289" s="29"/>
      <c r="L1289" s="19"/>
      <c r="M1289" s="19"/>
      <c r="N1289" s="30"/>
      <c r="O1289" s="30"/>
      <c r="P1289" s="32"/>
      <c r="Q1289" s="32"/>
      <c r="R1289" s="32"/>
      <c r="S1289" s="32"/>
      <c r="T1289" s="32"/>
      <c r="U1289" s="30"/>
    </row>
    <row r="1290" spans="1:21">
      <c r="A1290" s="29"/>
      <c r="B1290" s="29"/>
      <c r="C1290" s="29"/>
      <c r="D1290" s="29"/>
      <c r="E1290" s="29"/>
      <c r="F1290" s="29"/>
      <c r="G1290" s="29"/>
      <c r="H1290" s="29"/>
      <c r="J1290" s="29"/>
      <c r="K1290" s="29"/>
      <c r="L1290" s="19"/>
      <c r="M1290" s="19"/>
      <c r="N1290" s="30"/>
      <c r="O1290" s="30"/>
      <c r="P1290" s="32"/>
      <c r="Q1290" s="32"/>
      <c r="R1290" s="32"/>
      <c r="S1290" s="32"/>
      <c r="T1290" s="32"/>
      <c r="U1290" s="30"/>
    </row>
    <row r="1291" spans="1:21">
      <c r="A1291" s="29"/>
      <c r="B1291" s="29"/>
      <c r="C1291" s="29"/>
      <c r="D1291" s="29"/>
      <c r="E1291" s="29"/>
      <c r="F1291" s="29"/>
      <c r="G1291" s="29"/>
      <c r="H1291" s="29"/>
      <c r="J1291" s="29"/>
      <c r="K1291" s="29"/>
      <c r="L1291" s="19"/>
      <c r="M1291" s="19"/>
      <c r="N1291" s="30"/>
      <c r="O1291" s="30"/>
      <c r="P1291" s="32"/>
      <c r="Q1291" s="32"/>
      <c r="R1291" s="32"/>
      <c r="S1291" s="32"/>
      <c r="T1291" s="32"/>
      <c r="U1291" s="30"/>
    </row>
    <row r="1292" spans="1:21">
      <c r="A1292" s="29"/>
      <c r="B1292" s="29"/>
      <c r="C1292" s="29"/>
      <c r="D1292" s="29"/>
      <c r="E1292" s="29"/>
      <c r="F1292" s="29"/>
      <c r="G1292" s="29"/>
      <c r="H1292" s="29"/>
      <c r="J1292" s="29"/>
      <c r="K1292" s="29"/>
      <c r="L1292" s="19"/>
      <c r="M1292" s="19"/>
      <c r="N1292" s="30"/>
      <c r="O1292" s="30"/>
      <c r="P1292" s="32"/>
      <c r="Q1292" s="32"/>
      <c r="R1292" s="32"/>
      <c r="S1292" s="32"/>
      <c r="T1292" s="32"/>
      <c r="U1292" s="30"/>
    </row>
    <row r="1293" spans="1:21">
      <c r="A1293" s="29"/>
      <c r="B1293" s="29"/>
      <c r="C1293" s="29"/>
      <c r="D1293" s="29"/>
      <c r="E1293" s="29"/>
      <c r="F1293" s="29"/>
      <c r="G1293" s="29"/>
      <c r="H1293" s="29"/>
      <c r="J1293" s="29"/>
      <c r="K1293" s="29"/>
      <c r="L1293" s="19"/>
      <c r="M1293" s="19"/>
      <c r="N1293" s="30"/>
      <c r="O1293" s="30"/>
      <c r="P1293" s="32"/>
      <c r="Q1293" s="32"/>
      <c r="R1293" s="32"/>
      <c r="S1293" s="32"/>
      <c r="T1293" s="32"/>
      <c r="U1293" s="30"/>
    </row>
    <row r="1294" spans="1:21">
      <c r="A1294" s="29"/>
      <c r="B1294" s="29"/>
      <c r="C1294" s="29"/>
      <c r="D1294" s="29"/>
      <c r="E1294" s="29"/>
      <c r="F1294" s="29"/>
      <c r="G1294" s="29"/>
      <c r="H1294" s="29"/>
      <c r="J1294" s="29"/>
      <c r="K1294" s="29"/>
      <c r="L1294" s="19"/>
      <c r="M1294" s="19"/>
      <c r="N1294" s="30"/>
      <c r="O1294" s="30"/>
      <c r="P1294" s="32"/>
      <c r="Q1294" s="32"/>
      <c r="R1294" s="32"/>
      <c r="S1294" s="32"/>
      <c r="T1294" s="32"/>
      <c r="U1294" s="30"/>
    </row>
    <row r="1295" spans="1:21">
      <c r="A1295" s="29"/>
      <c r="B1295" s="29"/>
      <c r="C1295" s="29"/>
      <c r="D1295" s="29"/>
      <c r="E1295" s="29"/>
      <c r="F1295" s="29"/>
      <c r="G1295" s="29"/>
      <c r="H1295" s="29"/>
      <c r="J1295" s="29"/>
      <c r="K1295" s="29"/>
      <c r="L1295" s="19"/>
      <c r="M1295" s="19"/>
      <c r="N1295" s="30"/>
      <c r="O1295" s="30"/>
      <c r="P1295" s="32"/>
      <c r="Q1295" s="32"/>
      <c r="R1295" s="32"/>
      <c r="S1295" s="32"/>
      <c r="T1295" s="32"/>
      <c r="U1295" s="30"/>
    </row>
    <row r="1296" spans="1:21">
      <c r="A1296" s="29"/>
      <c r="B1296" s="29"/>
      <c r="C1296" s="29"/>
      <c r="D1296" s="29"/>
      <c r="E1296" s="29"/>
      <c r="F1296" s="29"/>
      <c r="G1296" s="29"/>
      <c r="H1296" s="29"/>
      <c r="J1296" s="29"/>
      <c r="K1296" s="29"/>
      <c r="L1296" s="19"/>
      <c r="M1296" s="19"/>
      <c r="N1296" s="30"/>
      <c r="O1296" s="30"/>
      <c r="P1296" s="32"/>
      <c r="Q1296" s="32"/>
      <c r="R1296" s="32"/>
      <c r="S1296" s="32"/>
      <c r="T1296" s="32"/>
      <c r="U1296" s="30"/>
    </row>
    <row r="1297" spans="1:21">
      <c r="A1297" s="29"/>
      <c r="B1297" s="29"/>
      <c r="C1297" s="29"/>
      <c r="D1297" s="29"/>
      <c r="E1297" s="29"/>
      <c r="F1297" s="29"/>
      <c r="G1297" s="29"/>
      <c r="H1297" s="29"/>
      <c r="J1297" s="29"/>
      <c r="K1297" s="29"/>
      <c r="L1297" s="19"/>
      <c r="M1297" s="19"/>
      <c r="N1297" s="30"/>
      <c r="O1297" s="30"/>
      <c r="P1297" s="32"/>
      <c r="Q1297" s="32"/>
      <c r="R1297" s="32"/>
      <c r="S1297" s="32"/>
      <c r="T1297" s="32"/>
      <c r="U1297" s="30"/>
    </row>
    <row r="1298" spans="1:21">
      <c r="A1298" s="29"/>
      <c r="B1298" s="29"/>
      <c r="C1298" s="29"/>
      <c r="D1298" s="29"/>
      <c r="E1298" s="29"/>
      <c r="F1298" s="29"/>
      <c r="G1298" s="29"/>
      <c r="H1298" s="29"/>
      <c r="J1298" s="29"/>
      <c r="K1298" s="29"/>
      <c r="L1298" s="19"/>
      <c r="M1298" s="19"/>
      <c r="N1298" s="30"/>
      <c r="O1298" s="30"/>
      <c r="P1298" s="32"/>
      <c r="Q1298" s="32"/>
      <c r="R1298" s="32"/>
      <c r="S1298" s="32"/>
      <c r="T1298" s="32"/>
      <c r="U1298" s="30"/>
    </row>
    <row r="1299" spans="1:21">
      <c r="A1299" s="29"/>
      <c r="B1299" s="29"/>
      <c r="C1299" s="29"/>
      <c r="D1299" s="29"/>
      <c r="E1299" s="29"/>
      <c r="F1299" s="29"/>
      <c r="G1299" s="29"/>
      <c r="H1299" s="29"/>
      <c r="J1299" s="29"/>
      <c r="K1299" s="29"/>
      <c r="L1299" s="19"/>
      <c r="M1299" s="19"/>
      <c r="N1299" s="30"/>
      <c r="O1299" s="30"/>
      <c r="P1299" s="32"/>
      <c r="Q1299" s="32"/>
      <c r="R1299" s="32"/>
      <c r="S1299" s="32"/>
      <c r="T1299" s="32"/>
      <c r="U1299" s="30"/>
    </row>
    <row r="1300" spans="1:21">
      <c r="A1300" s="29"/>
      <c r="B1300" s="29"/>
      <c r="C1300" s="29"/>
      <c r="D1300" s="29"/>
      <c r="E1300" s="29"/>
      <c r="F1300" s="29"/>
      <c r="G1300" s="29"/>
      <c r="H1300" s="29"/>
      <c r="J1300" s="29"/>
      <c r="K1300" s="29"/>
      <c r="L1300" s="19"/>
      <c r="M1300" s="19"/>
      <c r="N1300" s="30"/>
      <c r="O1300" s="30"/>
      <c r="P1300" s="32"/>
      <c r="Q1300" s="32"/>
      <c r="R1300" s="32"/>
      <c r="S1300" s="32"/>
      <c r="T1300" s="32"/>
      <c r="U1300" s="30"/>
    </row>
    <row r="1301" spans="1:21">
      <c r="A1301" s="29"/>
      <c r="B1301" s="29"/>
      <c r="C1301" s="29"/>
      <c r="D1301" s="29"/>
      <c r="E1301" s="29"/>
      <c r="F1301" s="29"/>
      <c r="G1301" s="29"/>
      <c r="H1301" s="29"/>
      <c r="J1301" s="29"/>
      <c r="K1301" s="29"/>
      <c r="L1301" s="19"/>
      <c r="M1301" s="19"/>
      <c r="N1301" s="30"/>
      <c r="O1301" s="30"/>
      <c r="P1301" s="32"/>
      <c r="Q1301" s="32"/>
      <c r="R1301" s="32"/>
      <c r="S1301" s="32"/>
      <c r="T1301" s="32"/>
      <c r="U1301" s="30"/>
    </row>
    <row r="1302" spans="1:21">
      <c r="A1302" s="29"/>
      <c r="B1302" s="29"/>
      <c r="C1302" s="29"/>
      <c r="D1302" s="29"/>
      <c r="E1302" s="29"/>
      <c r="F1302" s="29"/>
      <c r="G1302" s="29"/>
      <c r="H1302" s="29"/>
      <c r="J1302" s="29"/>
      <c r="K1302" s="29"/>
      <c r="L1302" s="19"/>
      <c r="M1302" s="19"/>
      <c r="N1302" s="30"/>
      <c r="O1302" s="30"/>
      <c r="P1302" s="32"/>
      <c r="Q1302" s="32"/>
      <c r="R1302" s="32"/>
      <c r="S1302" s="32"/>
      <c r="T1302" s="32"/>
      <c r="U1302" s="30"/>
    </row>
    <row r="1303" spans="1:21">
      <c r="A1303" s="29"/>
      <c r="B1303" s="29"/>
      <c r="C1303" s="29"/>
      <c r="D1303" s="29"/>
      <c r="E1303" s="29"/>
      <c r="F1303" s="29"/>
      <c r="G1303" s="29"/>
      <c r="H1303" s="29"/>
      <c r="J1303" s="29"/>
      <c r="K1303" s="29"/>
      <c r="L1303" s="19"/>
      <c r="M1303" s="19"/>
      <c r="N1303" s="30"/>
      <c r="O1303" s="30"/>
      <c r="P1303" s="32"/>
      <c r="Q1303" s="32"/>
      <c r="R1303" s="32"/>
      <c r="S1303" s="32"/>
      <c r="T1303" s="32"/>
      <c r="U1303" s="30"/>
    </row>
    <row r="1304" spans="1:21">
      <c r="A1304" s="29"/>
      <c r="B1304" s="29"/>
      <c r="C1304" s="29"/>
      <c r="D1304" s="29"/>
      <c r="E1304" s="29"/>
      <c r="F1304" s="29"/>
      <c r="G1304" s="29"/>
      <c r="H1304" s="29"/>
      <c r="J1304" s="29"/>
      <c r="K1304" s="29"/>
      <c r="L1304" s="19"/>
      <c r="M1304" s="19"/>
      <c r="N1304" s="30"/>
      <c r="O1304" s="30"/>
      <c r="P1304" s="32"/>
      <c r="Q1304" s="32"/>
      <c r="R1304" s="32"/>
      <c r="S1304" s="32"/>
      <c r="T1304" s="32"/>
      <c r="U1304" s="30"/>
    </row>
    <row r="1305" spans="1:21">
      <c r="A1305" s="29"/>
      <c r="B1305" s="29"/>
      <c r="C1305" s="29"/>
      <c r="D1305" s="29"/>
      <c r="E1305" s="29"/>
      <c r="F1305" s="29"/>
      <c r="G1305" s="29"/>
      <c r="H1305" s="29"/>
      <c r="J1305" s="29"/>
      <c r="K1305" s="29"/>
      <c r="L1305" s="19"/>
      <c r="M1305" s="19"/>
      <c r="N1305" s="30"/>
      <c r="O1305" s="30"/>
      <c r="P1305" s="32"/>
      <c r="Q1305" s="32"/>
      <c r="R1305" s="32"/>
      <c r="S1305" s="32"/>
      <c r="T1305" s="32"/>
      <c r="U1305" s="30"/>
    </row>
    <row r="1306" spans="1:21">
      <c r="A1306" s="29"/>
      <c r="B1306" s="29"/>
      <c r="C1306" s="29"/>
      <c r="D1306" s="29"/>
      <c r="E1306" s="29"/>
      <c r="F1306" s="29"/>
      <c r="G1306" s="29"/>
      <c r="H1306" s="29"/>
      <c r="J1306" s="29"/>
      <c r="K1306" s="29"/>
      <c r="L1306" s="19"/>
      <c r="M1306" s="19"/>
      <c r="N1306" s="30"/>
      <c r="O1306" s="30"/>
      <c r="P1306" s="32"/>
      <c r="Q1306" s="32"/>
      <c r="R1306" s="32"/>
      <c r="S1306" s="32"/>
      <c r="T1306" s="32"/>
      <c r="U1306" s="30"/>
    </row>
    <row r="1307" spans="1:21">
      <c r="A1307" s="29"/>
      <c r="B1307" s="29"/>
      <c r="C1307" s="29"/>
      <c r="D1307" s="29"/>
      <c r="E1307" s="29"/>
      <c r="F1307" s="29"/>
      <c r="G1307" s="29"/>
      <c r="H1307" s="29"/>
      <c r="J1307" s="29"/>
      <c r="K1307" s="29"/>
      <c r="L1307" s="19"/>
      <c r="M1307" s="19"/>
      <c r="N1307" s="30"/>
      <c r="O1307" s="30"/>
      <c r="P1307" s="32"/>
      <c r="Q1307" s="32"/>
      <c r="R1307" s="32"/>
      <c r="S1307" s="32"/>
      <c r="T1307" s="32"/>
      <c r="U1307" s="30"/>
    </row>
    <row r="1308" spans="1:21">
      <c r="A1308" s="29"/>
      <c r="B1308" s="29"/>
      <c r="C1308" s="29"/>
      <c r="D1308" s="29"/>
      <c r="E1308" s="29"/>
      <c r="F1308" s="29"/>
      <c r="G1308" s="29"/>
      <c r="H1308" s="29"/>
      <c r="J1308" s="29"/>
      <c r="K1308" s="29"/>
      <c r="L1308" s="19"/>
      <c r="M1308" s="19"/>
      <c r="N1308" s="30"/>
      <c r="O1308" s="30"/>
      <c r="P1308" s="32"/>
      <c r="Q1308" s="32"/>
      <c r="R1308" s="32"/>
      <c r="S1308" s="32"/>
      <c r="T1308" s="32"/>
      <c r="U1308" s="30"/>
    </row>
    <row r="1309" spans="1:21">
      <c r="A1309" s="29"/>
      <c r="B1309" s="29"/>
      <c r="C1309" s="29"/>
      <c r="D1309" s="29"/>
      <c r="E1309" s="29"/>
      <c r="F1309" s="29"/>
      <c r="G1309" s="29"/>
      <c r="H1309" s="29"/>
      <c r="J1309" s="29"/>
      <c r="K1309" s="29"/>
      <c r="L1309" s="19"/>
      <c r="M1309" s="19"/>
      <c r="N1309" s="30"/>
      <c r="O1309" s="30"/>
      <c r="P1309" s="32"/>
      <c r="Q1309" s="32"/>
      <c r="R1309" s="32"/>
      <c r="S1309" s="32"/>
      <c r="T1309" s="32"/>
      <c r="U1309" s="30"/>
    </row>
    <row r="1310" spans="1:21">
      <c r="A1310" s="29"/>
      <c r="B1310" s="29"/>
      <c r="C1310" s="29"/>
      <c r="D1310" s="29"/>
      <c r="E1310" s="29"/>
      <c r="F1310" s="29"/>
      <c r="G1310" s="29"/>
      <c r="H1310" s="29"/>
      <c r="J1310" s="29"/>
      <c r="K1310" s="29"/>
      <c r="L1310" s="19"/>
      <c r="M1310" s="19"/>
      <c r="N1310" s="30"/>
      <c r="O1310" s="30"/>
      <c r="P1310" s="32"/>
      <c r="Q1310" s="32"/>
      <c r="R1310" s="32"/>
      <c r="S1310" s="32"/>
      <c r="T1310" s="32"/>
      <c r="U1310" s="30"/>
    </row>
    <row r="1311" spans="1:21">
      <c r="A1311" s="29"/>
      <c r="B1311" s="29"/>
      <c r="C1311" s="29"/>
      <c r="D1311" s="29"/>
      <c r="E1311" s="29"/>
      <c r="F1311" s="29"/>
      <c r="G1311" s="29"/>
      <c r="H1311" s="29"/>
      <c r="J1311" s="29"/>
      <c r="K1311" s="29"/>
      <c r="L1311" s="19"/>
      <c r="M1311" s="19"/>
      <c r="N1311" s="30"/>
      <c r="O1311" s="30"/>
      <c r="P1311" s="32"/>
      <c r="Q1311" s="32"/>
      <c r="R1311" s="32"/>
      <c r="S1311" s="32"/>
      <c r="T1311" s="32"/>
      <c r="U1311" s="30"/>
    </row>
    <row r="1312" spans="1:21">
      <c r="A1312" s="29"/>
      <c r="B1312" s="29"/>
      <c r="C1312" s="29"/>
      <c r="D1312" s="29"/>
      <c r="E1312" s="29"/>
      <c r="F1312" s="29"/>
      <c r="G1312" s="29"/>
      <c r="H1312" s="29"/>
      <c r="J1312" s="29"/>
      <c r="K1312" s="29"/>
      <c r="L1312" s="19"/>
      <c r="M1312" s="19"/>
      <c r="N1312" s="30"/>
      <c r="O1312" s="30"/>
      <c r="P1312" s="32"/>
      <c r="Q1312" s="32"/>
      <c r="R1312" s="32"/>
      <c r="S1312" s="32"/>
      <c r="T1312" s="32"/>
      <c r="U1312" s="30"/>
    </row>
    <row r="1313" spans="1:21">
      <c r="A1313" s="29"/>
      <c r="B1313" s="29"/>
      <c r="C1313" s="29"/>
      <c r="D1313" s="29"/>
      <c r="E1313" s="29"/>
      <c r="F1313" s="29"/>
      <c r="G1313" s="29"/>
      <c r="H1313" s="29"/>
      <c r="J1313" s="29"/>
      <c r="K1313" s="29"/>
      <c r="L1313" s="19"/>
      <c r="M1313" s="19"/>
      <c r="N1313" s="30"/>
      <c r="O1313" s="30"/>
      <c r="P1313" s="32"/>
      <c r="Q1313" s="32"/>
      <c r="R1313" s="32"/>
      <c r="S1313" s="32"/>
      <c r="T1313" s="32"/>
      <c r="U1313" s="30"/>
    </row>
    <row r="1314" spans="1:21">
      <c r="A1314" s="29"/>
      <c r="B1314" s="29"/>
      <c r="C1314" s="29"/>
      <c r="D1314" s="29"/>
      <c r="E1314" s="29"/>
      <c r="F1314" s="29"/>
      <c r="G1314" s="29"/>
      <c r="H1314" s="29"/>
      <c r="J1314" s="29"/>
      <c r="K1314" s="29"/>
      <c r="L1314" s="19"/>
      <c r="M1314" s="19"/>
      <c r="N1314" s="30"/>
      <c r="O1314" s="30"/>
      <c r="P1314" s="32"/>
      <c r="Q1314" s="32"/>
      <c r="R1314" s="32"/>
      <c r="S1314" s="32"/>
      <c r="T1314" s="32"/>
      <c r="U1314" s="30"/>
    </row>
    <row r="1315" spans="1:21">
      <c r="A1315" s="29"/>
      <c r="B1315" s="29"/>
      <c r="C1315" s="29"/>
      <c r="D1315" s="29"/>
      <c r="E1315" s="29"/>
      <c r="F1315" s="29"/>
      <c r="G1315" s="29"/>
      <c r="H1315" s="29"/>
      <c r="J1315" s="29"/>
      <c r="K1315" s="29"/>
      <c r="L1315" s="19"/>
      <c r="M1315" s="19"/>
      <c r="N1315" s="30"/>
      <c r="O1315" s="30"/>
      <c r="P1315" s="32"/>
      <c r="Q1315" s="32"/>
      <c r="R1315" s="32"/>
      <c r="S1315" s="32"/>
      <c r="T1315" s="32"/>
      <c r="U1315" s="30"/>
    </row>
    <row r="1316" spans="1:21">
      <c r="A1316" s="29"/>
      <c r="B1316" s="29"/>
      <c r="C1316" s="29"/>
      <c r="D1316" s="29"/>
      <c r="E1316" s="29"/>
      <c r="F1316" s="29"/>
      <c r="G1316" s="29"/>
      <c r="H1316" s="29"/>
      <c r="J1316" s="29"/>
      <c r="K1316" s="29"/>
      <c r="L1316" s="19"/>
      <c r="M1316" s="19"/>
      <c r="N1316" s="30"/>
      <c r="O1316" s="30"/>
      <c r="P1316" s="32"/>
      <c r="Q1316" s="32"/>
      <c r="R1316" s="32"/>
      <c r="S1316" s="32"/>
      <c r="T1316" s="32"/>
      <c r="U1316" s="30"/>
    </row>
    <row r="1317" spans="1:21">
      <c r="A1317" s="29"/>
      <c r="B1317" s="29"/>
      <c r="C1317" s="29"/>
      <c r="D1317" s="29"/>
      <c r="E1317" s="29"/>
      <c r="F1317" s="29"/>
      <c r="G1317" s="29"/>
      <c r="H1317" s="29"/>
      <c r="J1317" s="29"/>
      <c r="K1317" s="29"/>
      <c r="L1317" s="19"/>
      <c r="M1317" s="19"/>
      <c r="N1317" s="30"/>
      <c r="O1317" s="30"/>
      <c r="P1317" s="32"/>
      <c r="Q1317" s="32"/>
      <c r="R1317" s="32"/>
      <c r="S1317" s="32"/>
      <c r="T1317" s="32"/>
      <c r="U1317" s="30"/>
    </row>
    <row r="1318" spans="1:21">
      <c r="A1318" s="29"/>
      <c r="B1318" s="29"/>
      <c r="C1318" s="29"/>
      <c r="D1318" s="29"/>
      <c r="E1318" s="29"/>
      <c r="F1318" s="29"/>
      <c r="G1318" s="29"/>
      <c r="H1318" s="29"/>
      <c r="J1318" s="29"/>
      <c r="K1318" s="29"/>
      <c r="L1318" s="19"/>
      <c r="M1318" s="19"/>
      <c r="N1318" s="30"/>
      <c r="O1318" s="30"/>
      <c r="P1318" s="32"/>
      <c r="Q1318" s="32"/>
      <c r="R1318" s="32"/>
      <c r="S1318" s="32"/>
      <c r="T1318" s="32"/>
      <c r="U1318" s="30"/>
    </row>
    <row r="1319" spans="1:21">
      <c r="A1319" s="29"/>
      <c r="B1319" s="29"/>
      <c r="C1319" s="29"/>
      <c r="D1319" s="29"/>
      <c r="E1319" s="29"/>
      <c r="F1319" s="29"/>
      <c r="G1319" s="29"/>
      <c r="H1319" s="29"/>
      <c r="J1319" s="29"/>
      <c r="K1319" s="29"/>
      <c r="L1319" s="19"/>
      <c r="M1319" s="19"/>
      <c r="N1319" s="30"/>
      <c r="O1319" s="30"/>
      <c r="P1319" s="32"/>
      <c r="Q1319" s="32"/>
      <c r="R1319" s="32"/>
      <c r="S1319" s="32"/>
      <c r="T1319" s="32"/>
      <c r="U1319" s="30"/>
    </row>
    <row r="1320" spans="1:21">
      <c r="A1320" s="29"/>
      <c r="B1320" s="29"/>
      <c r="C1320" s="29"/>
      <c r="D1320" s="29"/>
      <c r="E1320" s="29"/>
      <c r="F1320" s="29"/>
      <c r="G1320" s="29"/>
      <c r="H1320" s="29"/>
      <c r="J1320" s="29"/>
      <c r="K1320" s="29"/>
      <c r="L1320" s="19"/>
      <c r="M1320" s="19"/>
      <c r="N1320" s="30"/>
      <c r="O1320" s="30"/>
      <c r="P1320" s="32"/>
      <c r="Q1320" s="32"/>
      <c r="R1320" s="32"/>
      <c r="S1320" s="32"/>
      <c r="T1320" s="32"/>
      <c r="U1320" s="30"/>
    </row>
    <row r="1321" spans="1:21">
      <c r="A1321" s="29"/>
      <c r="B1321" s="29"/>
      <c r="C1321" s="29"/>
      <c r="D1321" s="29"/>
      <c r="E1321" s="29"/>
      <c r="F1321" s="29"/>
      <c r="G1321" s="29"/>
      <c r="H1321" s="29"/>
      <c r="J1321" s="29"/>
      <c r="K1321" s="29"/>
      <c r="L1321" s="19"/>
      <c r="M1321" s="19"/>
      <c r="N1321" s="30"/>
      <c r="O1321" s="30"/>
      <c r="P1321" s="32"/>
      <c r="Q1321" s="32"/>
      <c r="R1321" s="32"/>
      <c r="S1321" s="32"/>
      <c r="T1321" s="32"/>
      <c r="U1321" s="30"/>
    </row>
    <row r="1322" spans="1:21">
      <c r="A1322" s="29"/>
      <c r="B1322" s="29"/>
      <c r="C1322" s="29"/>
      <c r="D1322" s="29"/>
      <c r="E1322" s="29"/>
      <c r="F1322" s="29"/>
      <c r="G1322" s="29"/>
      <c r="H1322" s="29"/>
      <c r="J1322" s="29"/>
      <c r="K1322" s="29"/>
      <c r="L1322" s="19"/>
      <c r="M1322" s="19"/>
      <c r="N1322" s="30"/>
      <c r="O1322" s="30"/>
      <c r="P1322" s="32"/>
      <c r="Q1322" s="32"/>
      <c r="R1322" s="32"/>
      <c r="S1322" s="32"/>
      <c r="T1322" s="32"/>
      <c r="U1322" s="30"/>
    </row>
    <row r="1323" spans="1:21">
      <c r="A1323" s="29"/>
      <c r="B1323" s="29"/>
      <c r="C1323" s="29"/>
      <c r="D1323" s="29"/>
      <c r="E1323" s="29"/>
      <c r="F1323" s="29"/>
      <c r="G1323" s="29"/>
      <c r="H1323" s="29"/>
      <c r="J1323" s="29"/>
      <c r="K1323" s="29"/>
      <c r="L1323" s="19"/>
      <c r="M1323" s="19"/>
      <c r="N1323" s="30"/>
      <c r="O1323" s="30"/>
      <c r="P1323" s="32"/>
      <c r="Q1323" s="32"/>
      <c r="R1323" s="32"/>
      <c r="S1323" s="32"/>
      <c r="T1323" s="32"/>
      <c r="U1323" s="30"/>
    </row>
    <row r="1324" spans="1:21">
      <c r="A1324" s="29"/>
      <c r="B1324" s="29"/>
      <c r="C1324" s="29"/>
      <c r="D1324" s="29"/>
      <c r="E1324" s="29"/>
      <c r="F1324" s="29"/>
      <c r="G1324" s="29"/>
      <c r="H1324" s="29"/>
      <c r="J1324" s="29"/>
      <c r="K1324" s="29"/>
      <c r="L1324" s="19"/>
      <c r="M1324" s="19"/>
      <c r="N1324" s="30"/>
      <c r="O1324" s="30"/>
      <c r="P1324" s="32"/>
      <c r="Q1324" s="32"/>
      <c r="R1324" s="32"/>
      <c r="S1324" s="32"/>
      <c r="T1324" s="32"/>
      <c r="U1324" s="30"/>
    </row>
    <row r="1325" spans="1:21">
      <c r="A1325" s="29"/>
      <c r="B1325" s="29"/>
      <c r="C1325" s="29"/>
      <c r="D1325" s="29"/>
      <c r="E1325" s="29"/>
      <c r="F1325" s="29"/>
      <c r="G1325" s="29"/>
      <c r="H1325" s="29"/>
      <c r="J1325" s="29"/>
      <c r="K1325" s="29"/>
      <c r="L1325" s="19"/>
      <c r="M1325" s="19"/>
      <c r="N1325" s="30"/>
      <c r="O1325" s="30"/>
      <c r="P1325" s="32"/>
      <c r="Q1325" s="32"/>
      <c r="R1325" s="32"/>
      <c r="S1325" s="32"/>
      <c r="T1325" s="32"/>
      <c r="U1325" s="30"/>
    </row>
    <row r="1326" spans="1:21">
      <c r="A1326" s="29"/>
      <c r="B1326" s="29"/>
      <c r="C1326" s="29"/>
      <c r="D1326" s="29"/>
      <c r="E1326" s="29"/>
      <c r="F1326" s="29"/>
      <c r="G1326" s="29"/>
      <c r="H1326" s="29"/>
      <c r="J1326" s="29"/>
      <c r="K1326" s="29"/>
      <c r="L1326" s="19"/>
      <c r="M1326" s="19"/>
      <c r="N1326" s="30"/>
      <c r="O1326" s="30"/>
      <c r="P1326" s="32"/>
      <c r="Q1326" s="32"/>
      <c r="R1326" s="32"/>
      <c r="S1326" s="32"/>
      <c r="T1326" s="32"/>
      <c r="U1326" s="30"/>
    </row>
    <row r="1327" spans="1:21">
      <c r="A1327" s="29"/>
      <c r="B1327" s="29"/>
      <c r="C1327" s="29"/>
      <c r="D1327" s="29"/>
      <c r="E1327" s="29"/>
      <c r="F1327" s="29"/>
      <c r="G1327" s="29"/>
      <c r="H1327" s="29"/>
      <c r="J1327" s="29"/>
      <c r="K1327" s="29"/>
      <c r="L1327" s="19"/>
      <c r="M1327" s="19"/>
      <c r="N1327" s="30"/>
      <c r="O1327" s="30"/>
      <c r="P1327" s="32"/>
      <c r="Q1327" s="32"/>
      <c r="R1327" s="32"/>
      <c r="S1327" s="32"/>
      <c r="T1327" s="32"/>
      <c r="U1327" s="30"/>
    </row>
    <row r="1328" spans="1:21">
      <c r="A1328" s="29"/>
      <c r="B1328" s="29"/>
      <c r="C1328" s="29"/>
      <c r="D1328" s="29"/>
      <c r="E1328" s="29"/>
      <c r="F1328" s="29"/>
      <c r="G1328" s="29"/>
      <c r="H1328" s="29"/>
      <c r="J1328" s="29"/>
      <c r="K1328" s="29"/>
      <c r="L1328" s="19"/>
      <c r="M1328" s="19"/>
      <c r="N1328" s="30"/>
      <c r="O1328" s="30"/>
      <c r="P1328" s="32"/>
      <c r="Q1328" s="32"/>
      <c r="R1328" s="32"/>
      <c r="S1328" s="32"/>
      <c r="T1328" s="32"/>
      <c r="U1328" s="30"/>
    </row>
    <row r="1329" spans="1:21">
      <c r="A1329" s="29"/>
      <c r="B1329" s="29"/>
      <c r="C1329" s="29"/>
      <c r="D1329" s="29"/>
      <c r="E1329" s="29"/>
      <c r="F1329" s="29"/>
      <c r="G1329" s="29"/>
      <c r="H1329" s="29"/>
      <c r="J1329" s="29"/>
      <c r="K1329" s="29"/>
      <c r="L1329" s="19"/>
      <c r="M1329" s="19"/>
      <c r="N1329" s="30"/>
      <c r="O1329" s="30"/>
      <c r="P1329" s="32"/>
      <c r="Q1329" s="32"/>
      <c r="R1329" s="32"/>
      <c r="S1329" s="32"/>
      <c r="T1329" s="32"/>
      <c r="U1329" s="30"/>
    </row>
    <row r="1330" spans="1:21">
      <c r="A1330" s="29"/>
      <c r="B1330" s="29"/>
      <c r="C1330" s="29"/>
      <c r="D1330" s="29"/>
      <c r="E1330" s="29"/>
      <c r="F1330" s="29"/>
      <c r="G1330" s="29"/>
      <c r="H1330" s="29"/>
      <c r="J1330" s="29"/>
      <c r="K1330" s="29"/>
      <c r="L1330" s="19"/>
      <c r="M1330" s="19"/>
      <c r="N1330" s="30"/>
      <c r="O1330" s="30"/>
      <c r="P1330" s="32"/>
      <c r="Q1330" s="32"/>
      <c r="R1330" s="32"/>
      <c r="S1330" s="32"/>
      <c r="T1330" s="32"/>
      <c r="U1330" s="30"/>
    </row>
    <row r="1331" spans="1:21">
      <c r="A1331" s="29"/>
      <c r="B1331" s="29"/>
      <c r="C1331" s="29"/>
      <c r="D1331" s="29"/>
      <c r="E1331" s="29"/>
      <c r="F1331" s="29"/>
      <c r="G1331" s="29"/>
      <c r="H1331" s="29"/>
      <c r="J1331" s="29"/>
      <c r="K1331" s="29"/>
      <c r="L1331" s="19"/>
      <c r="M1331" s="19"/>
      <c r="N1331" s="30"/>
      <c r="O1331" s="30"/>
      <c r="P1331" s="32"/>
      <c r="Q1331" s="32"/>
      <c r="R1331" s="32"/>
      <c r="S1331" s="32"/>
      <c r="T1331" s="32"/>
      <c r="U1331" s="30"/>
    </row>
    <row r="1332" spans="1:21">
      <c r="A1332" s="29"/>
      <c r="B1332" s="29"/>
      <c r="C1332" s="29"/>
      <c r="D1332" s="29"/>
      <c r="E1332" s="29"/>
      <c r="F1332" s="29"/>
      <c r="G1332" s="29"/>
      <c r="H1332" s="29"/>
      <c r="J1332" s="29"/>
      <c r="K1332" s="29"/>
      <c r="L1332" s="19"/>
      <c r="M1332" s="19"/>
      <c r="N1332" s="30"/>
      <c r="O1332" s="30"/>
      <c r="P1332" s="32"/>
      <c r="Q1332" s="32"/>
      <c r="R1332" s="32"/>
      <c r="S1332" s="32"/>
      <c r="T1332" s="32"/>
      <c r="U1332" s="30"/>
    </row>
    <row r="1333" spans="1:21">
      <c r="A1333" s="29"/>
      <c r="B1333" s="29"/>
      <c r="C1333" s="29"/>
      <c r="D1333" s="29"/>
      <c r="E1333" s="29"/>
      <c r="F1333" s="29"/>
      <c r="G1333" s="29"/>
      <c r="H1333" s="29"/>
      <c r="J1333" s="29"/>
      <c r="K1333" s="29"/>
      <c r="L1333" s="19"/>
      <c r="M1333" s="19"/>
      <c r="N1333" s="30"/>
      <c r="O1333" s="30"/>
      <c r="P1333" s="32"/>
      <c r="Q1333" s="32"/>
      <c r="R1333" s="32"/>
      <c r="S1333" s="32"/>
      <c r="T1333" s="32"/>
      <c r="U1333" s="30"/>
    </row>
    <row r="1334" spans="1:21">
      <c r="A1334" s="29"/>
      <c r="B1334" s="29"/>
      <c r="C1334" s="29"/>
      <c r="D1334" s="29"/>
      <c r="E1334" s="29"/>
      <c r="F1334" s="29"/>
      <c r="G1334" s="29"/>
      <c r="H1334" s="29"/>
      <c r="J1334" s="29"/>
      <c r="K1334" s="29"/>
      <c r="L1334" s="19"/>
      <c r="M1334" s="19"/>
      <c r="N1334" s="30"/>
      <c r="O1334" s="30"/>
      <c r="P1334" s="32"/>
      <c r="Q1334" s="32"/>
      <c r="R1334" s="32"/>
      <c r="S1334" s="32"/>
      <c r="T1334" s="32"/>
      <c r="U1334" s="30"/>
    </row>
    <row r="1335" spans="1:21">
      <c r="A1335" s="29"/>
      <c r="B1335" s="29"/>
      <c r="C1335" s="29"/>
      <c r="D1335" s="29"/>
      <c r="E1335" s="29"/>
      <c r="F1335" s="29"/>
      <c r="G1335" s="29"/>
      <c r="H1335" s="29"/>
      <c r="J1335" s="29"/>
      <c r="K1335" s="29"/>
      <c r="L1335" s="19"/>
      <c r="M1335" s="19"/>
      <c r="N1335" s="30"/>
      <c r="O1335" s="30"/>
      <c r="P1335" s="32"/>
      <c r="Q1335" s="32"/>
      <c r="R1335" s="32"/>
      <c r="S1335" s="32"/>
      <c r="T1335" s="32"/>
      <c r="U1335" s="30"/>
    </row>
    <row r="1336" spans="1:21">
      <c r="A1336" s="29"/>
      <c r="B1336" s="29"/>
      <c r="C1336" s="29"/>
      <c r="D1336" s="29"/>
      <c r="E1336" s="29"/>
      <c r="F1336" s="29"/>
      <c r="G1336" s="29"/>
      <c r="H1336" s="29"/>
      <c r="J1336" s="29"/>
      <c r="K1336" s="29"/>
      <c r="L1336" s="19"/>
      <c r="M1336" s="19"/>
      <c r="N1336" s="30"/>
      <c r="O1336" s="30"/>
      <c r="P1336" s="32"/>
      <c r="Q1336" s="32"/>
      <c r="R1336" s="32"/>
      <c r="S1336" s="32"/>
      <c r="T1336" s="32"/>
      <c r="U1336" s="30"/>
    </row>
    <row r="1337" spans="1:21">
      <c r="A1337" s="29"/>
      <c r="B1337" s="29"/>
      <c r="C1337" s="29"/>
      <c r="D1337" s="29"/>
      <c r="E1337" s="29"/>
      <c r="F1337" s="29"/>
      <c r="G1337" s="29"/>
      <c r="H1337" s="29"/>
      <c r="J1337" s="29"/>
      <c r="K1337" s="29"/>
      <c r="L1337" s="19"/>
      <c r="M1337" s="19"/>
      <c r="N1337" s="30"/>
      <c r="O1337" s="30"/>
      <c r="P1337" s="32"/>
      <c r="Q1337" s="32"/>
      <c r="R1337" s="32"/>
      <c r="S1337" s="32"/>
      <c r="T1337" s="32"/>
      <c r="U1337" s="30"/>
    </row>
    <row r="1338" spans="1:21">
      <c r="A1338" s="29"/>
      <c r="B1338" s="29"/>
      <c r="C1338" s="29"/>
      <c r="D1338" s="29"/>
      <c r="E1338" s="29"/>
      <c r="F1338" s="29"/>
      <c r="G1338" s="29"/>
      <c r="H1338" s="29"/>
      <c r="J1338" s="29"/>
      <c r="K1338" s="29"/>
      <c r="L1338" s="19"/>
      <c r="M1338" s="19"/>
      <c r="N1338" s="30"/>
      <c r="O1338" s="30"/>
      <c r="P1338" s="32"/>
      <c r="Q1338" s="32"/>
      <c r="R1338" s="32"/>
      <c r="S1338" s="32"/>
      <c r="T1338" s="32"/>
      <c r="U1338" s="30"/>
    </row>
    <row r="1339" spans="1:21">
      <c r="A1339" s="29"/>
      <c r="B1339" s="29"/>
      <c r="C1339" s="29"/>
      <c r="D1339" s="29"/>
      <c r="E1339" s="29"/>
      <c r="F1339" s="29"/>
      <c r="G1339" s="29"/>
      <c r="H1339" s="29"/>
      <c r="J1339" s="29"/>
      <c r="K1339" s="29"/>
      <c r="L1339" s="19"/>
      <c r="M1339" s="19"/>
      <c r="N1339" s="30"/>
      <c r="O1339" s="30"/>
      <c r="P1339" s="32"/>
      <c r="Q1339" s="32"/>
      <c r="R1339" s="32"/>
      <c r="S1339" s="32"/>
      <c r="T1339" s="32"/>
      <c r="U1339" s="30"/>
    </row>
    <row r="1340" spans="1:21">
      <c r="A1340" s="29"/>
      <c r="B1340" s="29"/>
      <c r="C1340" s="29"/>
      <c r="D1340" s="29"/>
      <c r="E1340" s="29"/>
      <c r="F1340" s="29"/>
      <c r="G1340" s="29"/>
      <c r="H1340" s="29"/>
      <c r="J1340" s="29"/>
      <c r="K1340" s="29"/>
      <c r="L1340" s="19"/>
      <c r="M1340" s="19"/>
      <c r="N1340" s="30"/>
      <c r="O1340" s="30"/>
      <c r="P1340" s="32"/>
      <c r="Q1340" s="32"/>
      <c r="R1340" s="32"/>
      <c r="S1340" s="32"/>
      <c r="T1340" s="32"/>
      <c r="U1340" s="30"/>
    </row>
    <row r="1341" spans="1:21">
      <c r="A1341" s="29"/>
      <c r="B1341" s="29"/>
      <c r="C1341" s="29"/>
      <c r="D1341" s="29"/>
      <c r="E1341" s="29"/>
      <c r="F1341" s="29"/>
      <c r="G1341" s="29"/>
      <c r="H1341" s="29"/>
      <c r="J1341" s="29"/>
      <c r="K1341" s="29"/>
      <c r="L1341" s="19"/>
      <c r="M1341" s="19"/>
      <c r="N1341" s="30"/>
      <c r="O1341" s="30"/>
      <c r="P1341" s="32"/>
      <c r="Q1341" s="32"/>
      <c r="R1341" s="32"/>
      <c r="S1341" s="32"/>
      <c r="T1341" s="32"/>
      <c r="U1341" s="30"/>
    </row>
    <row r="1342" spans="1:21">
      <c r="A1342" s="29"/>
      <c r="B1342" s="29"/>
      <c r="C1342" s="29"/>
      <c r="D1342" s="29"/>
      <c r="E1342" s="29"/>
      <c r="F1342" s="29"/>
      <c r="G1342" s="29"/>
      <c r="H1342" s="29"/>
      <c r="J1342" s="29"/>
      <c r="K1342" s="29"/>
      <c r="L1342" s="19"/>
      <c r="M1342" s="19"/>
      <c r="N1342" s="30"/>
      <c r="O1342" s="30"/>
      <c r="P1342" s="32"/>
      <c r="Q1342" s="32"/>
      <c r="R1342" s="32"/>
      <c r="S1342" s="32"/>
      <c r="T1342" s="32"/>
      <c r="U1342" s="30"/>
    </row>
    <row r="1343" spans="1:21">
      <c r="A1343" s="29"/>
      <c r="B1343" s="29"/>
      <c r="C1343" s="29"/>
      <c r="D1343" s="29"/>
      <c r="E1343" s="29"/>
      <c r="F1343" s="29"/>
      <c r="G1343" s="29"/>
      <c r="H1343" s="29"/>
      <c r="J1343" s="29"/>
      <c r="K1343" s="29"/>
      <c r="L1343" s="19"/>
      <c r="M1343" s="19"/>
      <c r="N1343" s="30"/>
      <c r="O1343" s="30"/>
      <c r="P1343" s="32"/>
      <c r="Q1343" s="32"/>
      <c r="R1343" s="32"/>
      <c r="S1343" s="32"/>
      <c r="T1343" s="32"/>
      <c r="U1343" s="30"/>
    </row>
    <row r="1344" spans="1:21">
      <c r="A1344" s="29"/>
      <c r="B1344" s="29"/>
      <c r="C1344" s="29"/>
      <c r="D1344" s="29"/>
      <c r="E1344" s="29"/>
      <c r="F1344" s="29"/>
      <c r="G1344" s="29"/>
      <c r="H1344" s="29"/>
      <c r="J1344" s="29"/>
      <c r="K1344" s="29"/>
      <c r="L1344" s="19"/>
      <c r="M1344" s="19"/>
      <c r="N1344" s="30"/>
      <c r="O1344" s="30"/>
      <c r="P1344" s="32"/>
      <c r="Q1344" s="32"/>
      <c r="R1344" s="32"/>
      <c r="S1344" s="32"/>
      <c r="T1344" s="32"/>
      <c r="U1344" s="30"/>
    </row>
    <row r="1345" spans="1:21">
      <c r="A1345" s="29"/>
      <c r="B1345" s="29"/>
      <c r="C1345" s="29"/>
      <c r="D1345" s="29"/>
      <c r="E1345" s="29"/>
      <c r="F1345" s="29"/>
      <c r="G1345" s="29"/>
      <c r="H1345" s="29"/>
      <c r="J1345" s="29"/>
      <c r="K1345" s="29"/>
      <c r="L1345" s="19"/>
      <c r="M1345" s="19"/>
      <c r="N1345" s="30"/>
      <c r="O1345" s="30"/>
      <c r="P1345" s="32"/>
      <c r="Q1345" s="32"/>
      <c r="R1345" s="32"/>
      <c r="S1345" s="32"/>
      <c r="T1345" s="32"/>
      <c r="U1345" s="30"/>
    </row>
    <row r="1346" spans="1:21">
      <c r="A1346" s="29"/>
      <c r="B1346" s="29"/>
      <c r="C1346" s="29"/>
      <c r="D1346" s="29"/>
      <c r="E1346" s="29"/>
      <c r="F1346" s="29"/>
      <c r="G1346" s="29"/>
      <c r="H1346" s="29"/>
      <c r="J1346" s="29"/>
      <c r="K1346" s="29"/>
      <c r="L1346" s="19"/>
      <c r="M1346" s="19"/>
      <c r="N1346" s="30"/>
      <c r="O1346" s="30"/>
      <c r="P1346" s="32"/>
      <c r="Q1346" s="32"/>
      <c r="R1346" s="32"/>
      <c r="S1346" s="32"/>
      <c r="T1346" s="32"/>
      <c r="U1346" s="30"/>
    </row>
    <row r="1347" spans="1:21">
      <c r="A1347" s="29"/>
      <c r="B1347" s="29"/>
      <c r="C1347" s="29"/>
      <c r="D1347" s="29"/>
      <c r="E1347" s="29"/>
      <c r="F1347" s="29"/>
      <c r="G1347" s="29"/>
      <c r="H1347" s="29"/>
      <c r="J1347" s="29"/>
      <c r="K1347" s="29"/>
      <c r="L1347" s="19"/>
      <c r="M1347" s="19"/>
      <c r="N1347" s="30"/>
      <c r="O1347" s="30"/>
      <c r="P1347" s="32"/>
      <c r="Q1347" s="32"/>
      <c r="R1347" s="32"/>
      <c r="S1347" s="32"/>
      <c r="T1347" s="32"/>
      <c r="U1347" s="30"/>
    </row>
    <row r="1348" spans="1:21">
      <c r="A1348" s="29"/>
      <c r="B1348" s="29"/>
      <c r="C1348" s="29"/>
      <c r="D1348" s="29"/>
      <c r="E1348" s="29"/>
      <c r="F1348" s="29"/>
      <c r="G1348" s="29"/>
      <c r="H1348" s="29"/>
      <c r="J1348" s="29"/>
      <c r="K1348" s="29"/>
      <c r="L1348" s="19"/>
      <c r="M1348" s="19"/>
      <c r="N1348" s="30"/>
      <c r="O1348" s="30"/>
      <c r="P1348" s="32"/>
      <c r="Q1348" s="32"/>
      <c r="R1348" s="32"/>
      <c r="S1348" s="32"/>
      <c r="T1348" s="32"/>
      <c r="U1348" s="30"/>
    </row>
    <row r="1349" spans="1:21">
      <c r="A1349" s="29"/>
      <c r="B1349" s="29"/>
      <c r="C1349" s="29"/>
      <c r="D1349" s="29"/>
      <c r="E1349" s="29"/>
      <c r="F1349" s="29"/>
      <c r="G1349" s="29"/>
      <c r="H1349" s="29"/>
      <c r="J1349" s="29"/>
      <c r="K1349" s="29"/>
      <c r="L1349" s="19"/>
      <c r="M1349" s="19"/>
      <c r="N1349" s="30"/>
      <c r="O1349" s="30"/>
      <c r="P1349" s="32"/>
      <c r="Q1349" s="32"/>
      <c r="R1349" s="32"/>
      <c r="S1349" s="32"/>
      <c r="T1349" s="32"/>
      <c r="U1349" s="30"/>
    </row>
    <row r="1350" spans="1:21">
      <c r="A1350" s="29"/>
      <c r="B1350" s="29"/>
      <c r="C1350" s="29"/>
      <c r="D1350" s="29"/>
      <c r="E1350" s="29"/>
      <c r="F1350" s="29"/>
      <c r="G1350" s="29"/>
      <c r="H1350" s="29"/>
      <c r="J1350" s="29"/>
      <c r="K1350" s="29"/>
      <c r="L1350" s="19"/>
      <c r="M1350" s="19"/>
      <c r="N1350" s="30"/>
      <c r="O1350" s="30"/>
      <c r="P1350" s="32"/>
      <c r="Q1350" s="32"/>
      <c r="R1350" s="32"/>
      <c r="S1350" s="32"/>
      <c r="T1350" s="32"/>
      <c r="U1350" s="30"/>
    </row>
    <row r="1351" spans="1:21">
      <c r="A1351" s="29"/>
      <c r="B1351" s="29"/>
      <c r="C1351" s="29"/>
      <c r="D1351" s="29"/>
      <c r="E1351" s="29"/>
      <c r="F1351" s="29"/>
      <c r="G1351" s="29"/>
      <c r="H1351" s="29"/>
      <c r="J1351" s="29"/>
      <c r="K1351" s="29"/>
      <c r="L1351" s="19"/>
      <c r="M1351" s="19"/>
      <c r="N1351" s="30"/>
      <c r="O1351" s="30"/>
      <c r="P1351" s="32"/>
      <c r="Q1351" s="32"/>
      <c r="R1351" s="32"/>
      <c r="S1351" s="32"/>
      <c r="T1351" s="32"/>
      <c r="U1351" s="30"/>
    </row>
    <row r="1352" spans="1:21">
      <c r="A1352" s="29"/>
      <c r="B1352" s="29"/>
      <c r="C1352" s="29"/>
      <c r="D1352" s="29"/>
      <c r="E1352" s="29"/>
      <c r="F1352" s="29"/>
      <c r="G1352" s="29"/>
      <c r="H1352" s="29"/>
      <c r="J1352" s="29"/>
      <c r="K1352" s="29"/>
      <c r="L1352" s="19"/>
      <c r="M1352" s="19"/>
      <c r="N1352" s="30"/>
      <c r="O1352" s="30"/>
      <c r="P1352" s="32"/>
      <c r="Q1352" s="32"/>
      <c r="R1352" s="32"/>
      <c r="S1352" s="32"/>
      <c r="T1352" s="32"/>
      <c r="U1352" s="30"/>
    </row>
    <row r="1353" spans="1:21">
      <c r="A1353" s="29"/>
      <c r="B1353" s="29"/>
      <c r="C1353" s="29"/>
      <c r="D1353" s="29"/>
      <c r="E1353" s="29"/>
      <c r="F1353" s="29"/>
      <c r="G1353" s="29"/>
      <c r="H1353" s="29"/>
      <c r="J1353" s="29"/>
      <c r="K1353" s="29"/>
      <c r="L1353" s="19"/>
      <c r="M1353" s="19"/>
      <c r="N1353" s="30"/>
      <c r="O1353" s="30"/>
      <c r="P1353" s="32"/>
      <c r="Q1353" s="32"/>
      <c r="R1353" s="32"/>
      <c r="S1353" s="32"/>
      <c r="T1353" s="32"/>
      <c r="U1353" s="30"/>
    </row>
    <row r="1354" spans="1:21">
      <c r="A1354" s="29"/>
      <c r="B1354" s="29"/>
      <c r="C1354" s="29"/>
      <c r="D1354" s="29"/>
      <c r="E1354" s="29"/>
      <c r="F1354" s="29"/>
      <c r="G1354" s="29"/>
      <c r="H1354" s="29"/>
      <c r="J1354" s="29"/>
      <c r="K1354" s="29"/>
      <c r="L1354" s="19"/>
      <c r="M1354" s="19"/>
      <c r="N1354" s="30"/>
      <c r="O1354" s="30"/>
      <c r="P1354" s="32"/>
      <c r="Q1354" s="32"/>
      <c r="R1354" s="32"/>
      <c r="S1354" s="32"/>
      <c r="T1354" s="32"/>
      <c r="U1354" s="30"/>
    </row>
    <row r="1355" spans="1:21">
      <c r="A1355" s="29"/>
      <c r="B1355" s="29"/>
      <c r="C1355" s="29"/>
      <c r="D1355" s="29"/>
      <c r="E1355" s="29"/>
      <c r="F1355" s="29"/>
      <c r="G1355" s="29"/>
      <c r="H1355" s="29"/>
      <c r="J1355" s="29"/>
      <c r="K1355" s="29"/>
      <c r="L1355" s="19"/>
      <c r="M1355" s="19"/>
      <c r="N1355" s="30"/>
      <c r="O1355" s="30"/>
      <c r="P1355" s="32"/>
      <c r="Q1355" s="32"/>
      <c r="R1355" s="32"/>
      <c r="S1355" s="32"/>
      <c r="T1355" s="32"/>
      <c r="U1355" s="30"/>
    </row>
    <row r="1356" spans="1:21">
      <c r="A1356" s="29"/>
      <c r="B1356" s="29"/>
      <c r="C1356" s="29"/>
      <c r="D1356" s="29"/>
      <c r="E1356" s="29"/>
      <c r="F1356" s="29"/>
      <c r="G1356" s="29"/>
      <c r="H1356" s="29"/>
      <c r="J1356" s="29"/>
      <c r="K1356" s="29"/>
      <c r="L1356" s="19"/>
      <c r="M1356" s="19"/>
      <c r="N1356" s="30"/>
      <c r="O1356" s="30"/>
      <c r="P1356" s="32"/>
      <c r="Q1356" s="32"/>
      <c r="R1356" s="32"/>
      <c r="S1356" s="32"/>
      <c r="T1356" s="32"/>
      <c r="U1356" s="30"/>
    </row>
    <row r="1357" spans="1:21">
      <c r="A1357" s="29"/>
      <c r="B1357" s="29"/>
      <c r="C1357" s="29"/>
      <c r="D1357" s="29"/>
      <c r="E1357" s="29"/>
      <c r="F1357" s="29"/>
      <c r="G1357" s="29"/>
      <c r="H1357" s="29"/>
      <c r="J1357" s="29"/>
      <c r="K1357" s="29"/>
      <c r="L1357" s="19"/>
      <c r="M1357" s="19"/>
      <c r="N1357" s="30"/>
      <c r="O1357" s="30"/>
      <c r="P1357" s="32"/>
      <c r="Q1357" s="32"/>
      <c r="R1357" s="32"/>
      <c r="S1357" s="32"/>
      <c r="T1357" s="32"/>
      <c r="U1357" s="30"/>
    </row>
    <row r="1358" spans="1:21">
      <c r="A1358" s="29"/>
      <c r="B1358" s="29"/>
      <c r="C1358" s="29"/>
      <c r="D1358" s="29"/>
      <c r="E1358" s="29"/>
      <c r="F1358" s="29"/>
      <c r="G1358" s="29"/>
      <c r="H1358" s="29"/>
      <c r="J1358" s="29"/>
      <c r="K1358" s="29"/>
      <c r="L1358" s="19"/>
      <c r="M1358" s="19"/>
      <c r="N1358" s="30"/>
      <c r="O1358" s="30"/>
      <c r="P1358" s="32"/>
      <c r="Q1358" s="32"/>
      <c r="R1358" s="32"/>
      <c r="S1358" s="32"/>
      <c r="T1358" s="32"/>
      <c r="U1358" s="30"/>
    </row>
    <row r="1359" spans="1:21">
      <c r="A1359" s="29"/>
      <c r="B1359" s="29"/>
      <c r="C1359" s="29"/>
      <c r="D1359" s="29"/>
      <c r="E1359" s="29"/>
      <c r="F1359" s="29"/>
      <c r="G1359" s="29"/>
      <c r="H1359" s="29"/>
      <c r="J1359" s="29"/>
      <c r="K1359" s="29"/>
      <c r="L1359" s="19"/>
      <c r="M1359" s="19"/>
      <c r="N1359" s="30"/>
      <c r="O1359" s="30"/>
      <c r="P1359" s="32"/>
      <c r="Q1359" s="32"/>
      <c r="R1359" s="32"/>
      <c r="S1359" s="32"/>
      <c r="T1359" s="32"/>
      <c r="U1359" s="30"/>
    </row>
    <row r="1360" spans="1:21">
      <c r="A1360" s="29"/>
      <c r="B1360" s="29"/>
      <c r="C1360" s="29"/>
      <c r="D1360" s="29"/>
      <c r="E1360" s="29"/>
      <c r="F1360" s="29"/>
      <c r="G1360" s="29"/>
      <c r="H1360" s="29"/>
      <c r="J1360" s="29"/>
      <c r="K1360" s="29"/>
      <c r="L1360" s="19"/>
      <c r="M1360" s="19"/>
      <c r="N1360" s="30"/>
      <c r="O1360" s="30"/>
      <c r="P1360" s="32"/>
      <c r="Q1360" s="32"/>
      <c r="R1360" s="32"/>
      <c r="S1360" s="32"/>
      <c r="T1360" s="32"/>
      <c r="U1360" s="30"/>
    </row>
    <row r="1361" spans="1:21">
      <c r="A1361" s="29"/>
      <c r="B1361" s="29"/>
      <c r="C1361" s="29"/>
      <c r="D1361" s="29"/>
      <c r="E1361" s="29"/>
      <c r="F1361" s="29"/>
      <c r="G1361" s="29"/>
      <c r="H1361" s="29"/>
      <c r="J1361" s="29"/>
      <c r="K1361" s="29"/>
      <c r="L1361" s="19"/>
      <c r="M1361" s="19"/>
      <c r="N1361" s="30"/>
      <c r="O1361" s="30"/>
      <c r="P1361" s="32"/>
      <c r="Q1361" s="32"/>
      <c r="R1361" s="32"/>
      <c r="S1361" s="32"/>
      <c r="T1361" s="32"/>
      <c r="U1361" s="30"/>
    </row>
    <row r="1362" spans="1:21">
      <c r="A1362" s="29"/>
      <c r="B1362" s="29"/>
      <c r="C1362" s="29"/>
      <c r="D1362" s="29"/>
      <c r="E1362" s="29"/>
      <c r="F1362" s="29"/>
      <c r="G1362" s="29"/>
      <c r="H1362" s="29"/>
      <c r="J1362" s="29"/>
      <c r="K1362" s="29"/>
      <c r="L1362" s="19"/>
      <c r="M1362" s="19"/>
      <c r="N1362" s="30"/>
      <c r="O1362" s="30"/>
      <c r="P1362" s="32"/>
      <c r="Q1362" s="32"/>
      <c r="R1362" s="32"/>
      <c r="S1362" s="32"/>
      <c r="T1362" s="32"/>
      <c r="U1362" s="30"/>
    </row>
    <row r="1363" spans="1:21">
      <c r="A1363" s="29"/>
      <c r="B1363" s="29"/>
      <c r="C1363" s="29"/>
      <c r="D1363" s="29"/>
      <c r="E1363" s="29"/>
      <c r="F1363" s="29"/>
      <c r="G1363" s="29"/>
      <c r="H1363" s="29"/>
      <c r="J1363" s="29"/>
      <c r="K1363" s="29"/>
      <c r="L1363" s="19"/>
      <c r="M1363" s="19"/>
      <c r="N1363" s="30"/>
      <c r="O1363" s="30"/>
      <c r="P1363" s="32"/>
      <c r="Q1363" s="32"/>
      <c r="R1363" s="32"/>
      <c r="S1363" s="32"/>
      <c r="T1363" s="32"/>
      <c r="U1363" s="30"/>
    </row>
    <row r="1364" spans="1:21">
      <c r="A1364" s="29"/>
      <c r="B1364" s="29"/>
      <c r="C1364" s="29"/>
      <c r="D1364" s="29"/>
      <c r="E1364" s="29"/>
      <c r="F1364" s="29"/>
      <c r="G1364" s="29"/>
      <c r="H1364" s="29"/>
      <c r="J1364" s="29"/>
      <c r="K1364" s="29"/>
      <c r="L1364" s="19"/>
      <c r="M1364" s="19"/>
      <c r="N1364" s="30"/>
      <c r="O1364" s="30"/>
      <c r="P1364" s="32"/>
      <c r="Q1364" s="32"/>
      <c r="R1364" s="32"/>
      <c r="S1364" s="32"/>
      <c r="T1364" s="32"/>
      <c r="U1364" s="30"/>
    </row>
    <row r="1365" spans="1:21">
      <c r="A1365" s="29"/>
      <c r="B1365" s="29"/>
      <c r="C1365" s="29"/>
      <c r="D1365" s="29"/>
      <c r="E1365" s="29"/>
      <c r="F1365" s="29"/>
      <c r="G1365" s="29"/>
      <c r="H1365" s="29"/>
      <c r="J1365" s="29"/>
      <c r="K1365" s="29"/>
      <c r="L1365" s="19"/>
      <c r="M1365" s="19"/>
      <c r="N1365" s="30"/>
      <c r="O1365" s="30"/>
      <c r="P1365" s="32"/>
      <c r="Q1365" s="32"/>
      <c r="R1365" s="32"/>
      <c r="S1365" s="32"/>
      <c r="T1365" s="32"/>
      <c r="U1365" s="30"/>
    </row>
    <row r="1366" spans="1:21">
      <c r="A1366" s="29"/>
      <c r="B1366" s="29"/>
      <c r="C1366" s="29"/>
      <c r="D1366" s="29"/>
      <c r="E1366" s="29"/>
      <c r="F1366" s="29"/>
      <c r="G1366" s="29"/>
      <c r="H1366" s="29"/>
      <c r="J1366" s="29"/>
      <c r="K1366" s="29"/>
      <c r="L1366" s="19"/>
      <c r="M1366" s="19"/>
      <c r="N1366" s="30"/>
      <c r="O1366" s="30"/>
      <c r="P1366" s="32"/>
      <c r="Q1366" s="32"/>
      <c r="R1366" s="32"/>
      <c r="S1366" s="32"/>
      <c r="T1366" s="32"/>
      <c r="U1366" s="30"/>
    </row>
    <row r="1367" spans="1:21">
      <c r="A1367" s="29"/>
      <c r="B1367" s="29"/>
      <c r="C1367" s="29"/>
      <c r="D1367" s="29"/>
      <c r="E1367" s="29"/>
      <c r="F1367" s="29"/>
      <c r="G1367" s="29"/>
      <c r="H1367" s="29"/>
      <c r="J1367" s="29"/>
      <c r="K1367" s="29"/>
      <c r="L1367" s="19"/>
      <c r="M1367" s="19"/>
      <c r="N1367" s="30"/>
      <c r="O1367" s="30"/>
      <c r="P1367" s="32"/>
      <c r="Q1367" s="32"/>
      <c r="R1367" s="32"/>
      <c r="S1367" s="32"/>
      <c r="T1367" s="32"/>
      <c r="U1367" s="30"/>
    </row>
    <row r="1368" spans="1:21">
      <c r="A1368" s="29"/>
      <c r="B1368" s="29"/>
      <c r="C1368" s="29"/>
      <c r="D1368" s="29"/>
      <c r="E1368" s="29"/>
      <c r="F1368" s="29"/>
      <c r="G1368" s="29"/>
      <c r="H1368" s="29"/>
      <c r="J1368" s="29"/>
      <c r="K1368" s="29"/>
      <c r="L1368" s="19"/>
      <c r="M1368" s="19"/>
      <c r="N1368" s="30"/>
      <c r="O1368" s="30"/>
      <c r="P1368" s="32"/>
      <c r="Q1368" s="32"/>
      <c r="R1368" s="32"/>
      <c r="S1368" s="32"/>
      <c r="T1368" s="32"/>
      <c r="U1368" s="30"/>
    </row>
    <row r="1369" spans="1:21">
      <c r="A1369" s="29"/>
      <c r="B1369" s="29"/>
      <c r="C1369" s="29"/>
      <c r="D1369" s="29"/>
      <c r="E1369" s="29"/>
      <c r="F1369" s="29"/>
      <c r="G1369" s="29"/>
      <c r="H1369" s="29"/>
      <c r="J1369" s="29"/>
      <c r="K1369" s="29"/>
      <c r="L1369" s="19"/>
      <c r="M1369" s="19"/>
      <c r="N1369" s="30"/>
      <c r="O1369" s="30"/>
      <c r="P1369" s="32"/>
      <c r="Q1369" s="32"/>
      <c r="R1369" s="32"/>
      <c r="S1369" s="32"/>
      <c r="T1369" s="32"/>
      <c r="U1369" s="30"/>
    </row>
    <row r="1370" spans="1:21">
      <c r="A1370" s="29"/>
      <c r="B1370" s="29"/>
      <c r="C1370" s="29"/>
      <c r="D1370" s="29"/>
      <c r="E1370" s="29"/>
      <c r="F1370" s="29"/>
      <c r="G1370" s="29"/>
      <c r="H1370" s="29"/>
      <c r="J1370" s="29"/>
      <c r="K1370" s="29"/>
      <c r="L1370" s="19"/>
      <c r="M1370" s="19"/>
      <c r="N1370" s="30"/>
      <c r="O1370" s="30"/>
      <c r="P1370" s="32"/>
      <c r="Q1370" s="32"/>
      <c r="R1370" s="32"/>
      <c r="S1370" s="32"/>
      <c r="T1370" s="32"/>
      <c r="U1370" s="30"/>
    </row>
    <row r="1371" spans="1:21">
      <c r="A1371" s="29"/>
      <c r="B1371" s="29"/>
      <c r="C1371" s="29"/>
      <c r="D1371" s="29"/>
      <c r="E1371" s="29"/>
      <c r="F1371" s="29"/>
      <c r="G1371" s="29"/>
      <c r="H1371" s="29"/>
      <c r="J1371" s="29"/>
      <c r="K1371" s="29"/>
      <c r="L1371" s="19"/>
      <c r="M1371" s="19"/>
      <c r="N1371" s="30"/>
      <c r="O1371" s="30"/>
      <c r="P1371" s="32"/>
      <c r="Q1371" s="32"/>
      <c r="R1371" s="32"/>
      <c r="S1371" s="32"/>
      <c r="T1371" s="32"/>
      <c r="U1371" s="30"/>
    </row>
    <row r="1372" spans="1:21">
      <c r="A1372" s="29"/>
      <c r="B1372" s="29"/>
      <c r="C1372" s="29"/>
      <c r="D1372" s="29"/>
      <c r="E1372" s="29"/>
      <c r="F1372" s="29"/>
      <c r="G1372" s="29"/>
      <c r="H1372" s="29"/>
      <c r="J1372" s="29"/>
      <c r="K1372" s="29"/>
      <c r="L1372" s="19"/>
      <c r="M1372" s="19"/>
      <c r="N1372" s="30"/>
      <c r="O1372" s="30"/>
      <c r="P1372" s="32"/>
      <c r="Q1372" s="32"/>
      <c r="R1372" s="32"/>
      <c r="S1372" s="32"/>
      <c r="T1372" s="32"/>
      <c r="U1372" s="30"/>
    </row>
    <row r="1373" spans="1:21">
      <c r="A1373" s="29"/>
      <c r="B1373" s="29"/>
      <c r="C1373" s="29"/>
      <c r="D1373" s="29"/>
      <c r="E1373" s="29"/>
      <c r="F1373" s="29"/>
      <c r="G1373" s="29"/>
      <c r="H1373" s="29"/>
      <c r="J1373" s="29"/>
      <c r="K1373" s="29"/>
      <c r="L1373" s="19"/>
      <c r="M1373" s="19"/>
      <c r="N1373" s="30"/>
      <c r="O1373" s="30"/>
      <c r="P1373" s="32"/>
      <c r="Q1373" s="32"/>
      <c r="R1373" s="32"/>
      <c r="S1373" s="32"/>
      <c r="T1373" s="32"/>
      <c r="U1373" s="30"/>
    </row>
    <row r="1374" spans="1:21">
      <c r="A1374" s="29"/>
      <c r="B1374" s="29"/>
      <c r="C1374" s="29"/>
      <c r="D1374" s="29"/>
      <c r="E1374" s="29"/>
      <c r="F1374" s="29"/>
      <c r="G1374" s="29"/>
      <c r="H1374" s="29"/>
      <c r="J1374" s="29"/>
      <c r="K1374" s="29"/>
      <c r="L1374" s="19"/>
      <c r="M1374" s="19"/>
      <c r="N1374" s="30"/>
      <c r="O1374" s="30"/>
      <c r="P1374" s="32"/>
      <c r="Q1374" s="32"/>
      <c r="R1374" s="32"/>
      <c r="S1374" s="32"/>
      <c r="T1374" s="32"/>
      <c r="U1374" s="30"/>
    </row>
    <row r="1375" spans="1:21">
      <c r="A1375" s="29"/>
      <c r="B1375" s="29"/>
      <c r="C1375" s="29"/>
      <c r="D1375" s="29"/>
      <c r="E1375" s="29"/>
      <c r="F1375" s="29"/>
      <c r="G1375" s="29"/>
      <c r="H1375" s="29"/>
      <c r="J1375" s="29"/>
      <c r="K1375" s="29"/>
      <c r="L1375" s="19"/>
      <c r="M1375" s="19"/>
      <c r="N1375" s="30"/>
      <c r="O1375" s="30"/>
      <c r="P1375" s="32"/>
      <c r="Q1375" s="32"/>
      <c r="R1375" s="32"/>
      <c r="S1375" s="32"/>
      <c r="T1375" s="32"/>
      <c r="U1375" s="30"/>
    </row>
    <row r="1376" spans="1:21">
      <c r="A1376" s="29"/>
      <c r="B1376" s="29"/>
      <c r="C1376" s="29"/>
      <c r="D1376" s="29"/>
      <c r="E1376" s="29"/>
      <c r="F1376" s="29"/>
      <c r="G1376" s="29"/>
      <c r="H1376" s="29"/>
      <c r="J1376" s="29"/>
      <c r="K1376" s="29"/>
      <c r="L1376" s="19"/>
      <c r="M1376" s="19"/>
      <c r="N1376" s="30"/>
      <c r="O1376" s="30"/>
      <c r="P1376" s="32"/>
      <c r="Q1376" s="32"/>
      <c r="R1376" s="32"/>
      <c r="S1376" s="32"/>
      <c r="T1376" s="32"/>
      <c r="U1376" s="30"/>
    </row>
    <row r="1377" spans="1:21">
      <c r="A1377" s="29"/>
      <c r="B1377" s="29"/>
      <c r="C1377" s="29"/>
      <c r="D1377" s="29"/>
      <c r="E1377" s="29"/>
      <c r="F1377" s="29"/>
      <c r="G1377" s="29"/>
      <c r="H1377" s="29"/>
      <c r="J1377" s="29"/>
      <c r="K1377" s="29"/>
      <c r="L1377" s="19"/>
      <c r="M1377" s="19"/>
      <c r="N1377" s="30"/>
      <c r="O1377" s="30"/>
      <c r="P1377" s="32"/>
      <c r="Q1377" s="32"/>
      <c r="R1377" s="32"/>
      <c r="S1377" s="32"/>
      <c r="T1377" s="32"/>
      <c r="U1377" s="30"/>
    </row>
    <row r="1378" spans="1:21">
      <c r="A1378" s="29"/>
      <c r="B1378" s="29"/>
      <c r="C1378" s="29"/>
      <c r="D1378" s="29"/>
      <c r="E1378" s="29"/>
      <c r="F1378" s="29"/>
      <c r="G1378" s="29"/>
      <c r="H1378" s="29"/>
      <c r="J1378" s="29"/>
      <c r="K1378" s="29"/>
      <c r="L1378" s="19"/>
      <c r="M1378" s="19"/>
      <c r="N1378" s="30"/>
      <c r="O1378" s="30"/>
      <c r="P1378" s="32"/>
      <c r="Q1378" s="32"/>
      <c r="R1378" s="32"/>
      <c r="S1378" s="32"/>
      <c r="T1378" s="32"/>
      <c r="U1378" s="30"/>
    </row>
    <row r="1379" spans="1:21">
      <c r="A1379" s="29"/>
      <c r="B1379" s="29"/>
      <c r="C1379" s="29"/>
      <c r="D1379" s="29"/>
      <c r="E1379" s="29"/>
      <c r="F1379" s="29"/>
      <c r="G1379" s="29"/>
      <c r="H1379" s="29"/>
      <c r="J1379" s="29"/>
      <c r="K1379" s="29"/>
      <c r="L1379" s="19"/>
      <c r="M1379" s="19"/>
      <c r="N1379" s="30"/>
      <c r="O1379" s="30"/>
      <c r="P1379" s="32"/>
      <c r="Q1379" s="32"/>
      <c r="R1379" s="32"/>
      <c r="S1379" s="32"/>
      <c r="T1379" s="32"/>
      <c r="U1379" s="30"/>
    </row>
    <row r="1380" spans="1:21">
      <c r="A1380" s="29"/>
      <c r="B1380" s="29"/>
      <c r="C1380" s="29"/>
      <c r="D1380" s="29"/>
      <c r="E1380" s="29"/>
      <c r="F1380" s="29"/>
      <c r="G1380" s="29"/>
      <c r="H1380" s="29"/>
      <c r="J1380" s="29"/>
      <c r="K1380" s="29"/>
      <c r="L1380" s="19"/>
      <c r="M1380" s="19"/>
      <c r="N1380" s="30"/>
      <c r="O1380" s="30"/>
      <c r="P1380" s="32"/>
      <c r="Q1380" s="32"/>
      <c r="R1380" s="32"/>
      <c r="S1380" s="32"/>
      <c r="T1380" s="32"/>
      <c r="U1380" s="30"/>
    </row>
    <row r="1381" spans="1:21">
      <c r="A1381" s="29"/>
      <c r="B1381" s="29"/>
      <c r="C1381" s="29"/>
      <c r="D1381" s="29"/>
      <c r="E1381" s="29"/>
      <c r="F1381" s="29"/>
      <c r="G1381" s="29"/>
      <c r="H1381" s="29"/>
      <c r="J1381" s="29"/>
      <c r="K1381" s="29"/>
      <c r="L1381" s="19"/>
      <c r="M1381" s="19"/>
      <c r="N1381" s="30"/>
      <c r="O1381" s="30"/>
      <c r="P1381" s="32"/>
      <c r="Q1381" s="32"/>
      <c r="R1381" s="32"/>
      <c r="S1381" s="32"/>
      <c r="T1381" s="32"/>
      <c r="U1381" s="30"/>
    </row>
    <row r="1382" spans="1:21">
      <c r="A1382" s="29"/>
      <c r="B1382" s="29"/>
      <c r="C1382" s="29"/>
      <c r="D1382" s="29"/>
      <c r="E1382" s="29"/>
      <c r="F1382" s="29"/>
      <c r="G1382" s="29"/>
      <c r="H1382" s="29"/>
      <c r="J1382" s="29"/>
      <c r="K1382" s="29"/>
      <c r="L1382" s="19"/>
      <c r="M1382" s="19"/>
      <c r="N1382" s="30"/>
      <c r="O1382" s="30"/>
      <c r="P1382" s="32"/>
      <c r="Q1382" s="32"/>
      <c r="R1382" s="32"/>
      <c r="S1382" s="32"/>
      <c r="T1382" s="32"/>
      <c r="U1382" s="30"/>
    </row>
    <row r="1383" spans="1:21">
      <c r="A1383" s="29"/>
      <c r="B1383" s="29"/>
      <c r="C1383" s="29"/>
      <c r="D1383" s="29"/>
      <c r="E1383" s="29"/>
      <c r="F1383" s="29"/>
      <c r="G1383" s="29"/>
      <c r="H1383" s="29"/>
      <c r="J1383" s="29"/>
      <c r="K1383" s="29"/>
      <c r="L1383" s="19"/>
      <c r="M1383" s="19"/>
      <c r="N1383" s="30"/>
      <c r="O1383" s="30"/>
      <c r="P1383" s="32"/>
      <c r="Q1383" s="32"/>
      <c r="R1383" s="32"/>
      <c r="S1383" s="32"/>
      <c r="T1383" s="32"/>
      <c r="U1383" s="30"/>
    </row>
    <row r="1384" spans="1:21">
      <c r="A1384" s="29"/>
      <c r="B1384" s="29"/>
      <c r="C1384" s="29"/>
      <c r="D1384" s="29"/>
      <c r="E1384" s="29"/>
      <c r="F1384" s="29"/>
      <c r="G1384" s="29"/>
      <c r="H1384" s="29"/>
      <c r="J1384" s="29"/>
      <c r="K1384" s="29"/>
      <c r="L1384" s="19"/>
      <c r="M1384" s="19"/>
      <c r="N1384" s="30"/>
      <c r="O1384" s="30"/>
      <c r="P1384" s="32"/>
      <c r="Q1384" s="32"/>
      <c r="R1384" s="32"/>
      <c r="S1384" s="32"/>
      <c r="T1384" s="32"/>
      <c r="U1384" s="30"/>
    </row>
    <row r="1385" spans="1:21">
      <c r="A1385" s="29"/>
      <c r="B1385" s="29"/>
      <c r="C1385" s="29"/>
      <c r="D1385" s="29"/>
      <c r="E1385" s="29"/>
      <c r="F1385" s="29"/>
      <c r="G1385" s="29"/>
      <c r="H1385" s="29"/>
      <c r="J1385" s="29"/>
      <c r="K1385" s="29"/>
      <c r="L1385" s="19"/>
      <c r="M1385" s="19"/>
      <c r="N1385" s="30"/>
      <c r="O1385" s="30"/>
      <c r="P1385" s="32"/>
      <c r="Q1385" s="32"/>
      <c r="R1385" s="32"/>
      <c r="S1385" s="32"/>
      <c r="T1385" s="32"/>
      <c r="U1385" s="30"/>
    </row>
    <row r="1386" spans="1:21">
      <c r="A1386" s="29"/>
      <c r="B1386" s="29"/>
      <c r="C1386" s="29"/>
      <c r="D1386" s="29"/>
      <c r="E1386" s="29"/>
      <c r="F1386" s="29"/>
      <c r="G1386" s="29"/>
      <c r="H1386" s="29"/>
      <c r="J1386" s="29"/>
      <c r="K1386" s="29"/>
      <c r="L1386" s="19"/>
      <c r="M1386" s="19"/>
      <c r="N1386" s="30"/>
      <c r="O1386" s="30"/>
      <c r="P1386" s="32"/>
      <c r="Q1386" s="32"/>
      <c r="R1386" s="32"/>
      <c r="S1386" s="32"/>
      <c r="T1386" s="32"/>
      <c r="U1386" s="30"/>
    </row>
    <row r="1387" spans="1:21">
      <c r="A1387" s="29"/>
      <c r="B1387" s="29"/>
      <c r="C1387" s="29"/>
      <c r="D1387" s="29"/>
      <c r="E1387" s="29"/>
      <c r="F1387" s="29"/>
      <c r="G1387" s="29"/>
      <c r="H1387" s="29"/>
      <c r="J1387" s="29"/>
      <c r="K1387" s="29"/>
      <c r="L1387" s="19"/>
      <c r="M1387" s="19"/>
      <c r="N1387" s="30"/>
      <c r="O1387" s="30"/>
      <c r="P1387" s="32"/>
      <c r="Q1387" s="32"/>
      <c r="R1387" s="32"/>
      <c r="S1387" s="32"/>
      <c r="T1387" s="32"/>
      <c r="U1387" s="30"/>
    </row>
    <row r="1388" spans="1:21">
      <c r="A1388" s="29"/>
      <c r="B1388" s="29"/>
      <c r="C1388" s="29"/>
      <c r="D1388" s="29"/>
      <c r="E1388" s="29"/>
      <c r="F1388" s="29"/>
      <c r="G1388" s="29"/>
      <c r="H1388" s="29"/>
      <c r="J1388" s="29"/>
      <c r="K1388" s="29"/>
      <c r="L1388" s="19"/>
      <c r="M1388" s="19"/>
      <c r="N1388" s="30"/>
      <c r="O1388" s="30"/>
      <c r="P1388" s="32"/>
      <c r="Q1388" s="32"/>
      <c r="R1388" s="32"/>
      <c r="S1388" s="32"/>
      <c r="T1388" s="32"/>
      <c r="U1388" s="30"/>
    </row>
    <row r="1389" spans="1:21">
      <c r="A1389" s="29"/>
      <c r="B1389" s="29"/>
      <c r="C1389" s="29"/>
      <c r="D1389" s="29"/>
      <c r="E1389" s="29"/>
      <c r="F1389" s="29"/>
      <c r="G1389" s="29"/>
      <c r="H1389" s="29"/>
      <c r="J1389" s="29"/>
      <c r="K1389" s="29"/>
      <c r="L1389" s="19"/>
      <c r="M1389" s="19"/>
      <c r="N1389" s="30"/>
      <c r="O1389" s="30"/>
      <c r="P1389" s="32"/>
      <c r="Q1389" s="32"/>
      <c r="R1389" s="32"/>
      <c r="S1389" s="32"/>
      <c r="T1389" s="32"/>
      <c r="U1389" s="30"/>
    </row>
    <row r="1390" spans="1:21">
      <c r="A1390" s="29"/>
      <c r="B1390" s="29"/>
      <c r="C1390" s="29"/>
      <c r="D1390" s="29"/>
      <c r="E1390" s="29"/>
      <c r="F1390" s="29"/>
      <c r="G1390" s="29"/>
      <c r="H1390" s="29"/>
      <c r="J1390" s="29"/>
      <c r="K1390" s="29"/>
      <c r="L1390" s="19"/>
      <c r="M1390" s="19"/>
      <c r="N1390" s="30"/>
      <c r="O1390" s="30"/>
      <c r="P1390" s="32"/>
      <c r="Q1390" s="32"/>
      <c r="R1390" s="32"/>
      <c r="S1390" s="32"/>
      <c r="T1390" s="32"/>
      <c r="U1390" s="30"/>
    </row>
    <row r="1391" spans="1:21">
      <c r="A1391" s="29"/>
      <c r="B1391" s="29"/>
      <c r="C1391" s="29"/>
      <c r="D1391" s="29"/>
      <c r="E1391" s="29"/>
      <c r="F1391" s="29"/>
      <c r="G1391" s="29"/>
      <c r="H1391" s="29"/>
      <c r="J1391" s="29"/>
      <c r="K1391" s="29"/>
      <c r="L1391" s="19"/>
      <c r="M1391" s="19"/>
      <c r="N1391" s="30"/>
      <c r="O1391" s="30"/>
      <c r="P1391" s="32"/>
      <c r="Q1391" s="32"/>
      <c r="R1391" s="32"/>
      <c r="S1391" s="32"/>
      <c r="T1391" s="32"/>
      <c r="U1391" s="30"/>
    </row>
    <row r="1392" spans="1:21">
      <c r="A1392" s="29"/>
      <c r="B1392" s="29"/>
      <c r="C1392" s="29"/>
      <c r="D1392" s="29"/>
      <c r="E1392" s="29"/>
      <c r="F1392" s="29"/>
      <c r="G1392" s="29"/>
      <c r="H1392" s="29"/>
      <c r="J1392" s="29"/>
      <c r="K1392" s="29"/>
      <c r="L1392" s="19"/>
      <c r="M1392" s="19"/>
      <c r="N1392" s="30"/>
      <c r="O1392" s="30"/>
      <c r="P1392" s="32"/>
      <c r="Q1392" s="32"/>
      <c r="R1392" s="32"/>
      <c r="S1392" s="32"/>
      <c r="T1392" s="32"/>
      <c r="U1392" s="30"/>
    </row>
    <row r="1393" spans="1:21">
      <c r="A1393" s="29"/>
      <c r="B1393" s="29"/>
      <c r="C1393" s="29"/>
      <c r="D1393" s="29"/>
      <c r="E1393" s="29"/>
      <c r="F1393" s="29"/>
      <c r="G1393" s="29"/>
      <c r="H1393" s="29"/>
      <c r="J1393" s="29"/>
      <c r="K1393" s="29"/>
      <c r="L1393" s="19"/>
      <c r="M1393" s="19"/>
      <c r="N1393" s="30"/>
      <c r="O1393" s="30"/>
      <c r="P1393" s="32"/>
      <c r="Q1393" s="32"/>
      <c r="R1393" s="32"/>
      <c r="S1393" s="32"/>
      <c r="T1393" s="32"/>
      <c r="U1393" s="30"/>
    </row>
    <row r="1394" spans="1:21">
      <c r="A1394" s="29"/>
      <c r="B1394" s="29"/>
      <c r="C1394" s="29"/>
      <c r="D1394" s="29"/>
      <c r="E1394" s="29"/>
      <c r="F1394" s="29"/>
      <c r="G1394" s="29"/>
      <c r="H1394" s="29"/>
      <c r="J1394" s="29"/>
      <c r="K1394" s="29"/>
      <c r="L1394" s="19"/>
      <c r="M1394" s="19"/>
      <c r="N1394" s="30"/>
      <c r="O1394" s="30"/>
      <c r="P1394" s="32"/>
      <c r="Q1394" s="32"/>
      <c r="R1394" s="32"/>
      <c r="S1394" s="32"/>
      <c r="T1394" s="32"/>
      <c r="U1394" s="30"/>
    </row>
    <row r="1395" spans="1:21">
      <c r="A1395" s="29"/>
      <c r="B1395" s="29"/>
      <c r="C1395" s="29"/>
      <c r="D1395" s="29"/>
      <c r="E1395" s="29"/>
      <c r="F1395" s="29"/>
      <c r="G1395" s="29"/>
      <c r="H1395" s="29"/>
      <c r="J1395" s="29"/>
      <c r="K1395" s="29"/>
      <c r="L1395" s="19"/>
      <c r="M1395" s="19"/>
      <c r="N1395" s="30"/>
      <c r="O1395" s="30"/>
      <c r="P1395" s="32"/>
      <c r="Q1395" s="32"/>
      <c r="R1395" s="32"/>
      <c r="S1395" s="32"/>
      <c r="T1395" s="32"/>
      <c r="U1395" s="30"/>
    </row>
    <row r="1396" spans="1:21">
      <c r="A1396" s="29"/>
      <c r="B1396" s="29"/>
      <c r="C1396" s="29"/>
      <c r="D1396" s="29"/>
      <c r="E1396" s="29"/>
      <c r="F1396" s="29"/>
      <c r="G1396" s="29"/>
      <c r="H1396" s="29"/>
      <c r="J1396" s="29"/>
      <c r="K1396" s="29"/>
      <c r="L1396" s="19"/>
      <c r="M1396" s="19"/>
      <c r="N1396" s="30"/>
      <c r="O1396" s="30"/>
      <c r="P1396" s="32"/>
      <c r="Q1396" s="32"/>
      <c r="R1396" s="32"/>
      <c r="S1396" s="32"/>
      <c r="T1396" s="32"/>
      <c r="U1396" s="30"/>
    </row>
    <row r="1397" spans="1:21">
      <c r="A1397" s="29"/>
      <c r="B1397" s="29"/>
      <c r="C1397" s="29"/>
      <c r="D1397" s="29"/>
      <c r="E1397" s="29"/>
      <c r="F1397" s="29"/>
      <c r="G1397" s="29"/>
      <c r="H1397" s="29"/>
      <c r="J1397" s="29"/>
      <c r="K1397" s="29"/>
      <c r="L1397" s="19"/>
      <c r="M1397" s="19"/>
      <c r="N1397" s="30"/>
      <c r="O1397" s="30"/>
      <c r="P1397" s="32"/>
      <c r="Q1397" s="32"/>
      <c r="R1397" s="32"/>
      <c r="S1397" s="32"/>
      <c r="T1397" s="32"/>
      <c r="U1397" s="30"/>
    </row>
    <row r="1398" spans="1:21">
      <c r="A1398" s="29"/>
      <c r="B1398" s="29"/>
      <c r="C1398" s="29"/>
      <c r="D1398" s="29"/>
      <c r="E1398" s="29"/>
      <c r="F1398" s="29"/>
      <c r="G1398" s="29"/>
      <c r="H1398" s="29"/>
      <c r="J1398" s="29"/>
      <c r="K1398" s="29"/>
      <c r="L1398" s="19"/>
      <c r="M1398" s="19"/>
      <c r="N1398" s="30"/>
      <c r="O1398" s="30"/>
      <c r="P1398" s="32"/>
      <c r="Q1398" s="32"/>
      <c r="R1398" s="32"/>
      <c r="S1398" s="32"/>
      <c r="T1398" s="32"/>
      <c r="U1398" s="30"/>
    </row>
    <row r="1399" spans="1:21">
      <c r="A1399" s="29"/>
      <c r="B1399" s="29"/>
      <c r="C1399" s="29"/>
      <c r="D1399" s="29"/>
      <c r="E1399" s="29"/>
      <c r="F1399" s="29"/>
      <c r="G1399" s="29"/>
      <c r="H1399" s="29"/>
      <c r="J1399" s="29"/>
      <c r="K1399" s="29"/>
      <c r="L1399" s="19"/>
      <c r="M1399" s="19"/>
      <c r="N1399" s="30"/>
      <c r="O1399" s="30"/>
      <c r="P1399" s="32"/>
      <c r="Q1399" s="32"/>
      <c r="R1399" s="32"/>
      <c r="S1399" s="32"/>
      <c r="T1399" s="32"/>
      <c r="U1399" s="30"/>
    </row>
    <row r="1400" spans="1:21">
      <c r="A1400" s="29"/>
      <c r="B1400" s="29"/>
      <c r="C1400" s="29"/>
      <c r="D1400" s="29"/>
      <c r="E1400" s="29"/>
      <c r="F1400" s="29"/>
      <c r="G1400" s="29"/>
      <c r="H1400" s="29"/>
      <c r="J1400" s="29"/>
      <c r="K1400" s="29"/>
      <c r="L1400" s="19"/>
      <c r="M1400" s="19"/>
      <c r="N1400" s="30"/>
      <c r="O1400" s="30"/>
      <c r="P1400" s="32"/>
      <c r="Q1400" s="32"/>
      <c r="R1400" s="32"/>
      <c r="S1400" s="32"/>
      <c r="T1400" s="32"/>
      <c r="U1400" s="30"/>
    </row>
    <row r="1401" spans="1:21">
      <c r="A1401" s="29"/>
      <c r="B1401" s="29"/>
      <c r="C1401" s="29"/>
      <c r="D1401" s="29"/>
      <c r="E1401" s="29"/>
      <c r="F1401" s="29"/>
      <c r="G1401" s="29"/>
      <c r="H1401" s="29"/>
      <c r="J1401" s="29"/>
      <c r="K1401" s="29"/>
      <c r="L1401" s="19"/>
      <c r="M1401" s="19"/>
      <c r="N1401" s="30"/>
      <c r="O1401" s="30"/>
      <c r="P1401" s="32"/>
      <c r="Q1401" s="32"/>
      <c r="R1401" s="32"/>
      <c r="S1401" s="32"/>
      <c r="T1401" s="32"/>
      <c r="U1401" s="30"/>
    </row>
    <row r="1402" spans="1:21">
      <c r="A1402" s="29"/>
      <c r="B1402" s="29"/>
      <c r="C1402" s="29"/>
      <c r="D1402" s="29"/>
      <c r="E1402" s="29"/>
      <c r="F1402" s="29"/>
      <c r="G1402" s="29"/>
      <c r="H1402" s="29"/>
      <c r="J1402" s="29"/>
      <c r="K1402" s="29"/>
      <c r="L1402" s="19"/>
      <c r="M1402" s="19"/>
      <c r="N1402" s="30"/>
      <c r="O1402" s="30"/>
      <c r="P1402" s="32"/>
      <c r="Q1402" s="32"/>
      <c r="R1402" s="32"/>
      <c r="S1402" s="32"/>
      <c r="T1402" s="32"/>
      <c r="U1402" s="30"/>
    </row>
    <row r="1403" spans="1:21">
      <c r="A1403" s="29"/>
      <c r="B1403" s="29"/>
      <c r="C1403" s="29"/>
      <c r="D1403" s="29"/>
      <c r="E1403" s="29"/>
      <c r="F1403" s="29"/>
      <c r="G1403" s="29"/>
      <c r="H1403" s="29"/>
      <c r="J1403" s="29"/>
      <c r="K1403" s="29"/>
      <c r="L1403" s="19"/>
      <c r="M1403" s="19"/>
      <c r="N1403" s="30"/>
      <c r="O1403" s="30"/>
      <c r="P1403" s="32"/>
      <c r="Q1403" s="32"/>
      <c r="R1403" s="32"/>
      <c r="S1403" s="32"/>
      <c r="T1403" s="32"/>
      <c r="U1403" s="30"/>
    </row>
    <row r="1404" spans="1:21">
      <c r="A1404" s="29"/>
      <c r="B1404" s="29"/>
      <c r="C1404" s="29"/>
      <c r="D1404" s="29"/>
      <c r="E1404" s="29"/>
      <c r="F1404" s="29"/>
      <c r="G1404" s="29"/>
      <c r="H1404" s="29"/>
      <c r="J1404" s="29"/>
      <c r="K1404" s="29"/>
      <c r="L1404" s="19"/>
      <c r="M1404" s="19"/>
      <c r="N1404" s="30"/>
      <c r="O1404" s="30"/>
      <c r="P1404" s="32"/>
      <c r="Q1404" s="32"/>
      <c r="R1404" s="32"/>
      <c r="S1404" s="32"/>
      <c r="T1404" s="32"/>
      <c r="U1404" s="30"/>
    </row>
    <row r="1405" spans="1:21">
      <c r="A1405" s="29"/>
      <c r="B1405" s="29"/>
      <c r="C1405" s="29"/>
      <c r="D1405" s="29"/>
      <c r="E1405" s="29"/>
      <c r="F1405" s="29"/>
      <c r="G1405" s="29"/>
      <c r="H1405" s="29"/>
      <c r="J1405" s="29"/>
      <c r="K1405" s="29"/>
      <c r="L1405" s="19"/>
      <c r="M1405" s="19"/>
      <c r="N1405" s="30"/>
      <c r="O1405" s="30"/>
      <c r="P1405" s="32"/>
      <c r="Q1405" s="32"/>
      <c r="R1405" s="32"/>
      <c r="S1405" s="32"/>
      <c r="T1405" s="32"/>
      <c r="U1405" s="30"/>
    </row>
    <row r="1406" spans="1:21">
      <c r="A1406" s="29"/>
      <c r="B1406" s="29"/>
      <c r="C1406" s="29"/>
      <c r="D1406" s="29"/>
      <c r="E1406" s="29"/>
      <c r="F1406" s="29"/>
      <c r="G1406" s="29"/>
      <c r="H1406" s="29"/>
      <c r="J1406" s="29"/>
      <c r="K1406" s="29"/>
      <c r="L1406" s="19"/>
      <c r="M1406" s="19"/>
      <c r="N1406" s="30"/>
      <c r="O1406" s="30"/>
      <c r="P1406" s="32"/>
      <c r="Q1406" s="32"/>
      <c r="R1406" s="32"/>
      <c r="S1406" s="32"/>
      <c r="T1406" s="32"/>
      <c r="U1406" s="30"/>
    </row>
    <row r="1407" spans="1:21">
      <c r="A1407" s="29"/>
      <c r="B1407" s="29"/>
      <c r="C1407" s="29"/>
      <c r="D1407" s="29"/>
      <c r="E1407" s="29"/>
      <c r="F1407" s="29"/>
      <c r="G1407" s="29"/>
      <c r="H1407" s="29"/>
      <c r="J1407" s="29"/>
      <c r="K1407" s="29"/>
      <c r="L1407" s="19"/>
      <c r="M1407" s="19"/>
      <c r="N1407" s="30"/>
      <c r="O1407" s="30"/>
      <c r="P1407" s="32"/>
      <c r="Q1407" s="32"/>
      <c r="R1407" s="32"/>
      <c r="S1407" s="32"/>
      <c r="T1407" s="32"/>
      <c r="U1407" s="30"/>
    </row>
    <row r="1408" spans="1:21">
      <c r="A1408" s="29"/>
      <c r="B1408" s="29"/>
      <c r="C1408" s="29"/>
      <c r="D1408" s="29"/>
      <c r="E1408" s="29"/>
      <c r="F1408" s="29"/>
      <c r="G1408" s="29"/>
      <c r="H1408" s="29"/>
      <c r="J1408" s="29"/>
      <c r="K1408" s="29"/>
      <c r="L1408" s="19"/>
      <c r="M1408" s="19"/>
      <c r="N1408" s="30"/>
      <c r="O1408" s="30"/>
      <c r="P1408" s="32"/>
      <c r="Q1408" s="32"/>
      <c r="R1408" s="32"/>
      <c r="S1408" s="32"/>
      <c r="T1408" s="32"/>
      <c r="U1408" s="30"/>
    </row>
    <row r="1409" spans="1:21">
      <c r="A1409" s="29"/>
      <c r="B1409" s="29"/>
      <c r="C1409" s="29"/>
      <c r="D1409" s="29"/>
      <c r="E1409" s="29"/>
      <c r="F1409" s="29"/>
      <c r="G1409" s="29"/>
      <c r="H1409" s="29"/>
      <c r="J1409" s="29"/>
      <c r="K1409" s="29"/>
      <c r="L1409" s="19"/>
      <c r="M1409" s="19"/>
      <c r="N1409" s="30"/>
      <c r="O1409" s="30"/>
      <c r="P1409" s="32"/>
      <c r="Q1409" s="32"/>
      <c r="R1409" s="32"/>
      <c r="S1409" s="32"/>
      <c r="T1409" s="32"/>
      <c r="U1409" s="30"/>
    </row>
    <row r="1410" spans="1:21">
      <c r="A1410" s="29"/>
      <c r="B1410" s="29"/>
      <c r="C1410" s="29"/>
      <c r="D1410" s="29"/>
      <c r="E1410" s="29"/>
      <c r="F1410" s="29"/>
      <c r="G1410" s="29"/>
      <c r="H1410" s="29"/>
      <c r="J1410" s="29"/>
      <c r="K1410" s="29"/>
      <c r="L1410" s="19"/>
      <c r="M1410" s="19"/>
      <c r="N1410" s="30"/>
      <c r="O1410" s="30"/>
      <c r="P1410" s="32"/>
      <c r="Q1410" s="32"/>
      <c r="R1410" s="32"/>
      <c r="S1410" s="32"/>
      <c r="T1410" s="32"/>
      <c r="U1410" s="30"/>
    </row>
    <row r="1411" spans="1:21">
      <c r="A1411" s="29"/>
      <c r="B1411" s="29"/>
      <c r="C1411" s="29"/>
      <c r="D1411" s="29"/>
      <c r="E1411" s="29"/>
      <c r="F1411" s="29"/>
      <c r="G1411" s="29"/>
      <c r="H1411" s="29"/>
      <c r="J1411" s="29"/>
      <c r="K1411" s="29"/>
      <c r="L1411" s="19"/>
      <c r="M1411" s="19"/>
      <c r="N1411" s="30"/>
      <c r="O1411" s="30"/>
      <c r="P1411" s="32"/>
      <c r="Q1411" s="32"/>
      <c r="R1411" s="32"/>
      <c r="S1411" s="32"/>
      <c r="T1411" s="32"/>
      <c r="U1411" s="30"/>
    </row>
    <row r="1412" spans="1:21">
      <c r="A1412" s="29"/>
      <c r="B1412" s="29"/>
      <c r="C1412" s="29"/>
      <c r="D1412" s="29"/>
      <c r="E1412" s="29"/>
      <c r="F1412" s="29"/>
      <c r="G1412" s="29"/>
      <c r="H1412" s="29"/>
      <c r="J1412" s="29"/>
      <c r="K1412" s="29"/>
      <c r="L1412" s="19"/>
      <c r="M1412" s="19"/>
      <c r="N1412" s="30"/>
      <c r="O1412" s="30"/>
      <c r="P1412" s="32"/>
      <c r="Q1412" s="32"/>
      <c r="R1412" s="32"/>
      <c r="S1412" s="32"/>
      <c r="T1412" s="32"/>
      <c r="U1412" s="30"/>
    </row>
    <row r="1413" spans="1:21">
      <c r="A1413" s="29"/>
      <c r="B1413" s="29"/>
      <c r="C1413" s="29"/>
      <c r="D1413" s="29"/>
      <c r="E1413" s="29"/>
      <c r="F1413" s="29"/>
      <c r="G1413" s="29"/>
      <c r="H1413" s="29"/>
      <c r="J1413" s="29"/>
      <c r="K1413" s="29"/>
      <c r="L1413" s="19"/>
      <c r="M1413" s="19"/>
      <c r="N1413" s="30"/>
      <c r="O1413" s="30"/>
      <c r="P1413" s="32"/>
      <c r="Q1413" s="32"/>
      <c r="R1413" s="32"/>
      <c r="S1413" s="32"/>
      <c r="T1413" s="32"/>
      <c r="U1413" s="30"/>
    </row>
    <row r="1414" spans="1:21">
      <c r="A1414" s="29"/>
      <c r="B1414" s="29"/>
      <c r="C1414" s="29"/>
      <c r="D1414" s="29"/>
      <c r="E1414" s="29"/>
      <c r="F1414" s="29"/>
      <c r="G1414" s="29"/>
      <c r="H1414" s="29"/>
      <c r="J1414" s="29"/>
      <c r="K1414" s="29"/>
      <c r="L1414" s="19"/>
      <c r="M1414" s="19"/>
      <c r="N1414" s="30"/>
      <c r="O1414" s="30"/>
      <c r="P1414" s="32"/>
      <c r="Q1414" s="32"/>
      <c r="R1414" s="32"/>
      <c r="S1414" s="32"/>
      <c r="T1414" s="32"/>
      <c r="U1414" s="30"/>
    </row>
    <row r="1415" spans="1:21">
      <c r="A1415" s="29"/>
      <c r="B1415" s="29"/>
      <c r="C1415" s="29"/>
      <c r="D1415" s="29"/>
      <c r="E1415" s="29"/>
      <c r="F1415" s="29"/>
      <c r="G1415" s="29"/>
      <c r="H1415" s="29"/>
      <c r="J1415" s="29"/>
      <c r="K1415" s="29"/>
      <c r="L1415" s="19"/>
      <c r="M1415" s="19"/>
      <c r="N1415" s="30"/>
      <c r="O1415" s="30"/>
      <c r="P1415" s="32"/>
      <c r="Q1415" s="32"/>
      <c r="R1415" s="32"/>
      <c r="S1415" s="32"/>
      <c r="T1415" s="32"/>
      <c r="U1415" s="30"/>
    </row>
    <row r="1416" spans="1:21">
      <c r="A1416" s="29"/>
      <c r="B1416" s="29"/>
      <c r="C1416" s="29"/>
      <c r="D1416" s="29"/>
      <c r="E1416" s="29"/>
      <c r="F1416" s="29"/>
      <c r="G1416" s="29"/>
      <c r="H1416" s="29"/>
      <c r="J1416" s="29"/>
      <c r="K1416" s="29"/>
      <c r="L1416" s="19"/>
      <c r="M1416" s="19"/>
      <c r="N1416" s="30"/>
      <c r="O1416" s="30"/>
      <c r="P1416" s="32"/>
      <c r="Q1416" s="32"/>
      <c r="R1416" s="32"/>
      <c r="S1416" s="32"/>
      <c r="T1416" s="32"/>
      <c r="U1416" s="30"/>
    </row>
    <row r="1417" spans="1:21">
      <c r="A1417" s="29"/>
      <c r="B1417" s="29"/>
      <c r="C1417" s="29"/>
      <c r="D1417" s="29"/>
      <c r="E1417" s="29"/>
      <c r="F1417" s="29"/>
      <c r="G1417" s="29"/>
      <c r="H1417" s="29"/>
      <c r="J1417" s="29"/>
      <c r="K1417" s="29"/>
      <c r="L1417" s="19"/>
      <c r="M1417" s="19"/>
      <c r="N1417" s="30"/>
      <c r="O1417" s="30"/>
      <c r="P1417" s="32"/>
      <c r="Q1417" s="32"/>
      <c r="R1417" s="32"/>
      <c r="S1417" s="32"/>
      <c r="T1417" s="32"/>
      <c r="U1417" s="30"/>
    </row>
    <row r="1418" spans="1:21">
      <c r="A1418" s="29"/>
      <c r="B1418" s="29"/>
      <c r="C1418" s="29"/>
      <c r="D1418" s="29"/>
      <c r="E1418" s="29"/>
      <c r="F1418" s="29"/>
      <c r="G1418" s="29"/>
      <c r="H1418" s="29"/>
      <c r="J1418" s="29"/>
      <c r="K1418" s="29"/>
      <c r="L1418" s="19"/>
      <c r="M1418" s="19"/>
      <c r="N1418" s="30"/>
      <c r="O1418" s="30"/>
      <c r="P1418" s="32"/>
      <c r="Q1418" s="32"/>
      <c r="R1418" s="32"/>
      <c r="S1418" s="32"/>
      <c r="T1418" s="32"/>
      <c r="U1418" s="30"/>
    </row>
    <row r="1419" spans="1:21">
      <c r="A1419" s="29"/>
      <c r="B1419" s="29"/>
      <c r="C1419" s="29"/>
      <c r="D1419" s="29"/>
      <c r="E1419" s="29"/>
      <c r="F1419" s="29"/>
      <c r="G1419" s="29"/>
      <c r="H1419" s="29"/>
      <c r="J1419" s="29"/>
      <c r="K1419" s="29"/>
      <c r="L1419" s="19"/>
      <c r="M1419" s="19"/>
      <c r="N1419" s="30"/>
      <c r="O1419" s="30"/>
      <c r="P1419" s="32"/>
      <c r="Q1419" s="32"/>
      <c r="R1419" s="32"/>
      <c r="S1419" s="32"/>
      <c r="T1419" s="32"/>
      <c r="U1419" s="30"/>
    </row>
    <row r="1420" spans="1:21">
      <c r="A1420" s="29"/>
      <c r="B1420" s="29"/>
      <c r="C1420" s="29"/>
      <c r="D1420" s="29"/>
      <c r="E1420" s="29"/>
      <c r="F1420" s="29"/>
      <c r="G1420" s="29"/>
      <c r="H1420" s="29"/>
      <c r="J1420" s="29"/>
      <c r="K1420" s="29"/>
      <c r="L1420" s="19"/>
      <c r="M1420" s="19"/>
      <c r="N1420" s="30"/>
      <c r="O1420" s="30"/>
      <c r="P1420" s="32"/>
      <c r="Q1420" s="32"/>
      <c r="R1420" s="32"/>
      <c r="S1420" s="32"/>
      <c r="T1420" s="32"/>
      <c r="U1420" s="30"/>
    </row>
    <row r="1421" spans="1:21">
      <c r="A1421" s="29"/>
      <c r="B1421" s="29"/>
      <c r="C1421" s="29"/>
      <c r="D1421" s="29"/>
      <c r="E1421" s="29"/>
      <c r="F1421" s="29"/>
      <c r="G1421" s="29"/>
      <c r="H1421" s="29"/>
      <c r="J1421" s="29"/>
      <c r="K1421" s="29"/>
      <c r="L1421" s="19"/>
      <c r="M1421" s="19"/>
      <c r="N1421" s="30"/>
      <c r="O1421" s="30"/>
      <c r="P1421" s="32"/>
      <c r="Q1421" s="32"/>
      <c r="R1421" s="32"/>
      <c r="S1421" s="32"/>
      <c r="T1421" s="32"/>
      <c r="U1421" s="30"/>
    </row>
    <row r="1422" spans="1:21">
      <c r="A1422" s="29"/>
      <c r="B1422" s="29"/>
      <c r="C1422" s="29"/>
      <c r="D1422" s="29"/>
      <c r="E1422" s="29"/>
      <c r="F1422" s="29"/>
      <c r="G1422" s="29"/>
      <c r="H1422" s="29"/>
      <c r="J1422" s="29"/>
      <c r="K1422" s="29"/>
      <c r="L1422" s="19"/>
      <c r="M1422" s="19"/>
      <c r="N1422" s="30"/>
      <c r="O1422" s="30"/>
      <c r="P1422" s="32"/>
      <c r="Q1422" s="32"/>
      <c r="R1422" s="32"/>
      <c r="S1422" s="32"/>
      <c r="T1422" s="32"/>
      <c r="U1422" s="30"/>
    </row>
    <row r="1423" spans="1:21">
      <c r="A1423" s="29"/>
      <c r="B1423" s="29"/>
      <c r="C1423" s="29"/>
      <c r="D1423" s="29"/>
      <c r="E1423" s="29"/>
      <c r="F1423" s="29"/>
      <c r="G1423" s="29"/>
      <c r="H1423" s="29"/>
      <c r="J1423" s="29"/>
      <c r="K1423" s="29"/>
      <c r="L1423" s="19"/>
      <c r="M1423" s="19"/>
      <c r="N1423" s="30"/>
      <c r="O1423" s="30"/>
      <c r="P1423" s="32"/>
      <c r="Q1423" s="32"/>
      <c r="R1423" s="32"/>
      <c r="S1423" s="32"/>
      <c r="T1423" s="32"/>
      <c r="U1423" s="30"/>
    </row>
    <row r="1424" spans="1:21">
      <c r="A1424" s="29"/>
      <c r="B1424" s="29"/>
      <c r="C1424" s="29"/>
      <c r="D1424" s="29"/>
      <c r="E1424" s="29"/>
      <c r="F1424" s="29"/>
      <c r="G1424" s="29"/>
      <c r="H1424" s="29"/>
      <c r="J1424" s="29"/>
      <c r="K1424" s="29"/>
      <c r="L1424" s="19"/>
      <c r="M1424" s="19"/>
      <c r="N1424" s="30"/>
      <c r="O1424" s="30"/>
      <c r="P1424" s="32"/>
      <c r="Q1424" s="32"/>
      <c r="R1424" s="32"/>
      <c r="S1424" s="32"/>
      <c r="T1424" s="32"/>
      <c r="U1424" s="30"/>
    </row>
    <row r="1425" spans="1:21">
      <c r="A1425" s="29"/>
      <c r="B1425" s="29"/>
      <c r="C1425" s="29"/>
      <c r="D1425" s="29"/>
      <c r="E1425" s="29"/>
      <c r="F1425" s="29"/>
      <c r="G1425" s="29"/>
      <c r="H1425" s="29"/>
      <c r="J1425" s="29"/>
      <c r="K1425" s="29"/>
      <c r="L1425" s="19"/>
      <c r="M1425" s="19"/>
      <c r="N1425" s="30"/>
      <c r="O1425" s="30"/>
      <c r="P1425" s="32"/>
      <c r="Q1425" s="32"/>
      <c r="R1425" s="32"/>
      <c r="S1425" s="32"/>
      <c r="T1425" s="32"/>
      <c r="U1425" s="30"/>
    </row>
    <row r="1426" spans="1:21">
      <c r="A1426" s="29"/>
      <c r="B1426" s="29"/>
      <c r="C1426" s="29"/>
      <c r="D1426" s="29"/>
      <c r="E1426" s="29"/>
      <c r="F1426" s="29"/>
      <c r="G1426" s="29"/>
      <c r="H1426" s="29"/>
      <c r="J1426" s="29"/>
      <c r="K1426" s="29"/>
      <c r="L1426" s="19"/>
      <c r="M1426" s="19"/>
      <c r="N1426" s="30"/>
      <c r="O1426" s="30"/>
      <c r="P1426" s="32"/>
      <c r="Q1426" s="32"/>
      <c r="R1426" s="32"/>
      <c r="S1426" s="32"/>
      <c r="T1426" s="32"/>
      <c r="U1426" s="30"/>
    </row>
    <row r="1427" spans="1:21">
      <c r="A1427" s="29"/>
      <c r="B1427" s="29"/>
      <c r="C1427" s="29"/>
      <c r="D1427" s="29"/>
      <c r="E1427" s="29"/>
      <c r="F1427" s="29"/>
      <c r="G1427" s="29"/>
      <c r="H1427" s="29"/>
      <c r="J1427" s="29"/>
      <c r="K1427" s="29"/>
      <c r="L1427" s="19"/>
      <c r="M1427" s="19"/>
      <c r="N1427" s="30"/>
      <c r="O1427" s="30"/>
      <c r="P1427" s="32"/>
      <c r="Q1427" s="32"/>
      <c r="R1427" s="32"/>
      <c r="S1427" s="32"/>
      <c r="T1427" s="32"/>
      <c r="U1427" s="30"/>
    </row>
    <row r="1428" spans="1:21">
      <c r="A1428" s="29"/>
      <c r="B1428" s="29"/>
      <c r="C1428" s="29"/>
      <c r="D1428" s="29"/>
      <c r="E1428" s="29"/>
      <c r="F1428" s="29"/>
      <c r="G1428" s="29"/>
      <c r="H1428" s="29"/>
      <c r="J1428" s="29"/>
      <c r="K1428" s="29"/>
      <c r="L1428" s="19"/>
      <c r="M1428" s="19"/>
      <c r="N1428" s="30"/>
      <c r="O1428" s="30"/>
      <c r="P1428" s="32"/>
      <c r="Q1428" s="32"/>
      <c r="R1428" s="32"/>
      <c r="S1428" s="32"/>
      <c r="T1428" s="32"/>
      <c r="U1428" s="30"/>
    </row>
    <row r="1429" spans="1:21">
      <c r="A1429" s="29"/>
      <c r="B1429" s="29"/>
      <c r="C1429" s="29"/>
      <c r="D1429" s="29"/>
      <c r="E1429" s="29"/>
      <c r="F1429" s="29"/>
      <c r="G1429" s="29"/>
      <c r="H1429" s="29"/>
      <c r="J1429" s="29"/>
      <c r="K1429" s="29"/>
      <c r="L1429" s="19"/>
      <c r="M1429" s="19"/>
      <c r="N1429" s="30"/>
      <c r="O1429" s="30"/>
      <c r="P1429" s="32"/>
      <c r="Q1429" s="32"/>
      <c r="R1429" s="32"/>
      <c r="S1429" s="32"/>
      <c r="T1429" s="32"/>
      <c r="U1429" s="30"/>
    </row>
    <row r="1430" spans="1:21">
      <c r="A1430" s="29"/>
      <c r="B1430" s="29"/>
      <c r="C1430" s="29"/>
      <c r="D1430" s="29"/>
      <c r="E1430" s="29"/>
      <c r="F1430" s="29"/>
      <c r="G1430" s="29"/>
      <c r="H1430" s="29"/>
      <c r="J1430" s="29"/>
      <c r="K1430" s="29"/>
      <c r="L1430" s="19"/>
      <c r="M1430" s="19"/>
      <c r="N1430" s="30"/>
      <c r="O1430" s="30"/>
      <c r="P1430" s="32"/>
      <c r="Q1430" s="32"/>
      <c r="R1430" s="32"/>
      <c r="S1430" s="32"/>
      <c r="T1430" s="32"/>
      <c r="U1430" s="30"/>
    </row>
    <row r="1431" spans="1:21">
      <c r="A1431" s="29"/>
      <c r="B1431" s="29"/>
      <c r="C1431" s="29"/>
      <c r="D1431" s="29"/>
      <c r="E1431" s="29"/>
      <c r="F1431" s="29"/>
      <c r="G1431" s="29"/>
      <c r="H1431" s="29"/>
      <c r="J1431" s="29"/>
      <c r="K1431" s="29"/>
      <c r="L1431" s="19"/>
      <c r="M1431" s="19"/>
      <c r="N1431" s="30"/>
      <c r="O1431" s="30"/>
      <c r="P1431" s="32"/>
      <c r="Q1431" s="32"/>
      <c r="R1431" s="32"/>
      <c r="S1431" s="32"/>
      <c r="T1431" s="32"/>
      <c r="U1431" s="30"/>
    </row>
    <row r="1432" spans="1:21">
      <c r="A1432" s="29"/>
      <c r="B1432" s="29"/>
      <c r="C1432" s="29"/>
      <c r="D1432" s="29"/>
      <c r="E1432" s="29"/>
      <c r="F1432" s="29"/>
      <c r="G1432" s="29"/>
      <c r="H1432" s="29"/>
      <c r="J1432" s="29"/>
      <c r="K1432" s="29"/>
      <c r="L1432" s="19"/>
      <c r="M1432" s="19"/>
      <c r="N1432" s="30"/>
      <c r="O1432" s="30"/>
      <c r="P1432" s="32"/>
      <c r="Q1432" s="32"/>
      <c r="R1432" s="32"/>
      <c r="S1432" s="32"/>
      <c r="T1432" s="32"/>
      <c r="U1432" s="30"/>
    </row>
    <row r="1433" spans="1:21">
      <c r="A1433" s="29"/>
      <c r="B1433" s="29"/>
      <c r="C1433" s="29"/>
      <c r="D1433" s="29"/>
      <c r="E1433" s="29"/>
      <c r="F1433" s="29"/>
      <c r="G1433" s="29"/>
      <c r="H1433" s="29"/>
      <c r="J1433" s="29"/>
      <c r="K1433" s="29"/>
      <c r="L1433" s="19"/>
      <c r="M1433" s="19"/>
      <c r="N1433" s="30"/>
      <c r="O1433" s="30"/>
      <c r="P1433" s="32"/>
      <c r="Q1433" s="32"/>
      <c r="R1433" s="32"/>
      <c r="S1433" s="32"/>
      <c r="T1433" s="32"/>
      <c r="U1433" s="30"/>
    </row>
    <row r="1434" spans="1:21">
      <c r="A1434" s="29"/>
      <c r="B1434" s="29"/>
      <c r="C1434" s="29"/>
      <c r="D1434" s="29"/>
      <c r="E1434" s="29"/>
      <c r="F1434" s="29"/>
      <c r="G1434" s="29"/>
      <c r="H1434" s="29"/>
      <c r="J1434" s="29"/>
      <c r="K1434" s="29"/>
      <c r="L1434" s="19"/>
      <c r="M1434" s="19"/>
      <c r="N1434" s="30"/>
      <c r="O1434" s="30"/>
      <c r="P1434" s="32"/>
      <c r="Q1434" s="32"/>
      <c r="R1434" s="32"/>
      <c r="S1434" s="32"/>
      <c r="T1434" s="32"/>
      <c r="U1434" s="30"/>
    </row>
    <row r="1435" spans="1:21">
      <c r="A1435" s="29"/>
      <c r="B1435" s="29"/>
      <c r="C1435" s="29"/>
      <c r="D1435" s="29"/>
      <c r="E1435" s="29"/>
      <c r="F1435" s="29"/>
      <c r="G1435" s="29"/>
      <c r="H1435" s="29"/>
      <c r="J1435" s="29"/>
      <c r="K1435" s="29"/>
      <c r="L1435" s="19"/>
      <c r="M1435" s="19"/>
      <c r="N1435" s="30"/>
      <c r="O1435" s="30"/>
      <c r="P1435" s="32"/>
      <c r="Q1435" s="32"/>
      <c r="R1435" s="32"/>
      <c r="S1435" s="32"/>
      <c r="T1435" s="32"/>
      <c r="U1435" s="30"/>
    </row>
    <row r="1436" spans="1:21">
      <c r="A1436" s="29"/>
      <c r="B1436" s="29"/>
      <c r="C1436" s="29"/>
      <c r="D1436" s="29"/>
      <c r="E1436" s="29"/>
      <c r="F1436" s="29"/>
      <c r="G1436" s="29"/>
      <c r="H1436" s="29"/>
      <c r="J1436" s="29"/>
      <c r="K1436" s="29"/>
      <c r="L1436" s="19"/>
      <c r="M1436" s="19"/>
      <c r="N1436" s="30"/>
      <c r="O1436" s="30"/>
      <c r="P1436" s="32"/>
      <c r="Q1436" s="32"/>
      <c r="R1436" s="32"/>
      <c r="S1436" s="32"/>
      <c r="T1436" s="32"/>
      <c r="U1436" s="30"/>
    </row>
    <row r="1437" spans="1:21">
      <c r="A1437" s="29"/>
      <c r="B1437" s="29"/>
      <c r="C1437" s="29"/>
      <c r="D1437" s="29"/>
      <c r="E1437" s="29"/>
      <c r="F1437" s="29"/>
      <c r="G1437" s="29"/>
      <c r="H1437" s="29"/>
      <c r="J1437" s="29"/>
      <c r="K1437" s="29"/>
      <c r="L1437" s="19"/>
      <c r="M1437" s="19"/>
      <c r="N1437" s="30"/>
      <c r="O1437" s="30"/>
      <c r="P1437" s="32"/>
      <c r="Q1437" s="32"/>
      <c r="R1437" s="32"/>
      <c r="S1437" s="32"/>
      <c r="T1437" s="32"/>
      <c r="U1437" s="30"/>
    </row>
    <row r="1438" spans="1:21">
      <c r="A1438" s="29"/>
      <c r="B1438" s="29"/>
      <c r="C1438" s="29"/>
      <c r="D1438" s="29"/>
      <c r="E1438" s="29"/>
      <c r="F1438" s="29"/>
      <c r="G1438" s="29"/>
      <c r="H1438" s="29"/>
      <c r="J1438" s="29"/>
      <c r="K1438" s="29"/>
      <c r="L1438" s="19"/>
      <c r="M1438" s="19"/>
      <c r="N1438" s="30"/>
      <c r="O1438" s="30"/>
      <c r="P1438" s="32"/>
      <c r="Q1438" s="32"/>
      <c r="R1438" s="32"/>
      <c r="S1438" s="32"/>
      <c r="T1438" s="32"/>
      <c r="U1438" s="30"/>
    </row>
    <row r="1439" spans="1:21">
      <c r="A1439" s="29"/>
      <c r="B1439" s="29"/>
      <c r="C1439" s="29"/>
      <c r="D1439" s="29"/>
      <c r="E1439" s="29"/>
      <c r="F1439" s="29"/>
      <c r="G1439" s="29"/>
      <c r="H1439" s="29"/>
      <c r="J1439" s="29"/>
      <c r="K1439" s="29"/>
      <c r="L1439" s="19"/>
      <c r="M1439" s="19"/>
      <c r="N1439" s="30"/>
      <c r="O1439" s="30"/>
      <c r="P1439" s="32"/>
      <c r="Q1439" s="32"/>
      <c r="R1439" s="32"/>
      <c r="S1439" s="32"/>
      <c r="T1439" s="32"/>
      <c r="U1439" s="30"/>
    </row>
    <row r="1440" spans="1:21">
      <c r="A1440" s="29"/>
      <c r="B1440" s="29"/>
      <c r="C1440" s="29"/>
      <c r="D1440" s="29"/>
      <c r="E1440" s="29"/>
      <c r="F1440" s="29"/>
      <c r="G1440" s="29"/>
      <c r="H1440" s="29"/>
      <c r="J1440" s="29"/>
      <c r="K1440" s="29"/>
      <c r="L1440" s="19"/>
      <c r="M1440" s="19"/>
      <c r="N1440" s="30"/>
      <c r="O1440" s="30"/>
      <c r="P1440" s="32"/>
      <c r="Q1440" s="32"/>
      <c r="R1440" s="32"/>
      <c r="S1440" s="32"/>
      <c r="T1440" s="32"/>
      <c r="U1440" s="30"/>
    </row>
    <row r="1441" spans="1:21">
      <c r="A1441" s="29"/>
      <c r="B1441" s="29"/>
      <c r="C1441" s="29"/>
      <c r="D1441" s="29"/>
      <c r="E1441" s="29"/>
      <c r="F1441" s="29"/>
      <c r="G1441" s="29"/>
      <c r="H1441" s="29"/>
      <c r="J1441" s="29"/>
      <c r="K1441" s="29"/>
      <c r="L1441" s="19"/>
      <c r="M1441" s="19"/>
      <c r="N1441" s="30"/>
      <c r="O1441" s="30"/>
      <c r="P1441" s="32"/>
      <c r="Q1441" s="32"/>
      <c r="R1441" s="32"/>
      <c r="S1441" s="32"/>
      <c r="T1441" s="32"/>
      <c r="U1441" s="30"/>
    </row>
    <row r="1442" spans="1:21">
      <c r="A1442" s="29"/>
      <c r="B1442" s="29"/>
      <c r="C1442" s="29"/>
      <c r="D1442" s="29"/>
      <c r="E1442" s="29"/>
      <c r="F1442" s="29"/>
      <c r="G1442" s="29"/>
      <c r="H1442" s="29"/>
      <c r="J1442" s="29"/>
      <c r="K1442" s="29"/>
      <c r="L1442" s="19"/>
      <c r="M1442" s="19"/>
      <c r="N1442" s="30"/>
      <c r="O1442" s="30"/>
      <c r="P1442" s="32"/>
      <c r="Q1442" s="32"/>
      <c r="R1442" s="32"/>
      <c r="S1442" s="32"/>
      <c r="T1442" s="32"/>
      <c r="U1442" s="30"/>
    </row>
    <row r="1443" spans="1:21">
      <c r="A1443" s="29"/>
      <c r="B1443" s="29"/>
      <c r="C1443" s="29"/>
      <c r="D1443" s="29"/>
      <c r="E1443" s="29"/>
      <c r="F1443" s="29"/>
      <c r="G1443" s="29"/>
      <c r="H1443" s="29"/>
      <c r="J1443" s="29"/>
      <c r="K1443" s="29"/>
      <c r="L1443" s="19"/>
      <c r="M1443" s="19"/>
      <c r="N1443" s="30"/>
      <c r="O1443" s="30"/>
      <c r="P1443" s="32"/>
      <c r="Q1443" s="32"/>
      <c r="R1443" s="32"/>
      <c r="S1443" s="32"/>
      <c r="T1443" s="32"/>
      <c r="U1443" s="30"/>
    </row>
    <row r="1444" spans="1:21">
      <c r="A1444" s="29"/>
      <c r="B1444" s="29"/>
      <c r="C1444" s="29"/>
      <c r="D1444" s="29"/>
      <c r="E1444" s="29"/>
      <c r="F1444" s="29"/>
      <c r="G1444" s="29"/>
      <c r="H1444" s="29"/>
      <c r="J1444" s="29"/>
      <c r="K1444" s="29"/>
      <c r="L1444" s="19"/>
      <c r="M1444" s="19"/>
      <c r="N1444" s="30"/>
      <c r="O1444" s="30"/>
      <c r="P1444" s="32"/>
      <c r="Q1444" s="32"/>
      <c r="R1444" s="32"/>
      <c r="S1444" s="32"/>
      <c r="T1444" s="32"/>
      <c r="U1444" s="30"/>
    </row>
    <row r="1445" spans="1:21">
      <c r="A1445" s="29"/>
      <c r="B1445" s="29"/>
      <c r="C1445" s="29"/>
      <c r="D1445" s="29"/>
      <c r="E1445" s="29"/>
      <c r="F1445" s="29"/>
      <c r="G1445" s="29"/>
      <c r="H1445" s="29"/>
      <c r="J1445" s="29"/>
      <c r="K1445" s="29"/>
      <c r="L1445" s="19"/>
      <c r="M1445" s="19"/>
      <c r="N1445" s="30"/>
      <c r="O1445" s="30"/>
      <c r="P1445" s="32"/>
      <c r="Q1445" s="32"/>
      <c r="R1445" s="32"/>
      <c r="S1445" s="32"/>
      <c r="T1445" s="32"/>
      <c r="U1445" s="30"/>
    </row>
    <row r="1446" spans="1:21">
      <c r="A1446" s="29"/>
      <c r="B1446" s="29"/>
      <c r="C1446" s="29"/>
      <c r="D1446" s="29"/>
      <c r="E1446" s="29"/>
      <c r="F1446" s="29"/>
      <c r="G1446" s="29"/>
      <c r="H1446" s="29"/>
      <c r="J1446" s="29"/>
      <c r="K1446" s="29"/>
      <c r="L1446" s="19"/>
      <c r="M1446" s="19"/>
      <c r="N1446" s="30"/>
      <c r="O1446" s="30"/>
      <c r="P1446" s="32"/>
      <c r="Q1446" s="32"/>
      <c r="R1446" s="32"/>
      <c r="S1446" s="32"/>
      <c r="T1446" s="32"/>
      <c r="U1446" s="30"/>
    </row>
    <row r="1447" spans="1:21">
      <c r="A1447" s="29"/>
      <c r="B1447" s="29"/>
      <c r="C1447" s="29"/>
      <c r="D1447" s="29"/>
      <c r="E1447" s="29"/>
      <c r="F1447" s="29"/>
      <c r="G1447" s="29"/>
      <c r="H1447" s="29"/>
      <c r="J1447" s="29"/>
      <c r="K1447" s="29"/>
      <c r="L1447" s="19"/>
      <c r="M1447" s="19"/>
      <c r="N1447" s="30"/>
      <c r="O1447" s="30"/>
      <c r="P1447" s="32"/>
      <c r="Q1447" s="32"/>
      <c r="R1447" s="32"/>
      <c r="S1447" s="32"/>
      <c r="T1447" s="32"/>
      <c r="U1447" s="30"/>
    </row>
    <row r="1448" spans="1:21">
      <c r="A1448" s="29"/>
      <c r="B1448" s="29"/>
      <c r="C1448" s="29"/>
      <c r="D1448" s="29"/>
      <c r="E1448" s="29"/>
      <c r="F1448" s="29"/>
      <c r="G1448" s="29"/>
      <c r="H1448" s="29"/>
      <c r="J1448" s="29"/>
      <c r="K1448" s="29"/>
      <c r="L1448" s="19"/>
      <c r="M1448" s="19"/>
      <c r="N1448" s="30"/>
      <c r="O1448" s="30"/>
      <c r="P1448" s="32"/>
      <c r="Q1448" s="32"/>
      <c r="R1448" s="32"/>
      <c r="S1448" s="32"/>
      <c r="T1448" s="32"/>
      <c r="U1448" s="30"/>
    </row>
    <row r="1449" spans="1:21">
      <c r="A1449" s="29"/>
      <c r="B1449" s="29"/>
      <c r="C1449" s="29"/>
      <c r="D1449" s="29"/>
      <c r="E1449" s="29"/>
      <c r="F1449" s="29"/>
      <c r="G1449" s="29"/>
      <c r="H1449" s="29"/>
      <c r="J1449" s="29"/>
      <c r="K1449" s="29"/>
      <c r="L1449" s="19"/>
      <c r="M1449" s="19"/>
      <c r="N1449" s="30"/>
      <c r="O1449" s="30"/>
      <c r="P1449" s="32"/>
      <c r="Q1449" s="32"/>
      <c r="R1449" s="32"/>
      <c r="S1449" s="32"/>
      <c r="T1449" s="32"/>
      <c r="U1449" s="30"/>
    </row>
    <row r="1450" spans="1:21">
      <c r="A1450" s="29"/>
      <c r="B1450" s="29"/>
      <c r="C1450" s="29"/>
      <c r="D1450" s="29"/>
      <c r="E1450" s="29"/>
      <c r="F1450" s="29"/>
      <c r="G1450" s="29"/>
      <c r="H1450" s="29"/>
      <c r="J1450" s="29"/>
      <c r="K1450" s="29"/>
      <c r="L1450" s="19"/>
      <c r="M1450" s="19"/>
      <c r="N1450" s="30"/>
      <c r="O1450" s="30"/>
      <c r="P1450" s="32"/>
      <c r="Q1450" s="32"/>
      <c r="R1450" s="32"/>
      <c r="S1450" s="32"/>
      <c r="T1450" s="32"/>
      <c r="U1450" s="30"/>
    </row>
    <row r="1451" spans="1:21">
      <c r="A1451" s="29"/>
      <c r="B1451" s="29"/>
      <c r="C1451" s="29"/>
      <c r="D1451" s="29"/>
      <c r="E1451" s="29"/>
      <c r="F1451" s="29"/>
      <c r="G1451" s="29"/>
      <c r="H1451" s="29"/>
      <c r="J1451" s="29"/>
      <c r="K1451" s="29"/>
      <c r="L1451" s="19"/>
      <c r="M1451" s="19"/>
      <c r="N1451" s="30"/>
      <c r="O1451" s="30"/>
      <c r="P1451" s="32"/>
      <c r="Q1451" s="32"/>
      <c r="R1451" s="32"/>
      <c r="S1451" s="32"/>
      <c r="T1451" s="32"/>
      <c r="U1451" s="30"/>
    </row>
    <row r="1452" spans="1:21">
      <c r="A1452" s="29"/>
      <c r="B1452" s="29"/>
      <c r="C1452" s="29"/>
      <c r="D1452" s="29"/>
      <c r="E1452" s="29"/>
      <c r="F1452" s="29"/>
      <c r="G1452" s="29"/>
      <c r="H1452" s="29"/>
      <c r="J1452" s="29"/>
      <c r="K1452" s="29"/>
      <c r="L1452" s="19"/>
      <c r="M1452" s="19"/>
      <c r="N1452" s="30"/>
      <c r="O1452" s="30"/>
      <c r="P1452" s="32"/>
      <c r="Q1452" s="32"/>
      <c r="R1452" s="32"/>
      <c r="S1452" s="32"/>
      <c r="T1452" s="32"/>
      <c r="U1452" s="30"/>
    </row>
    <row r="1453" spans="1:21">
      <c r="A1453" s="29"/>
      <c r="B1453" s="29"/>
      <c r="C1453" s="29"/>
      <c r="D1453" s="29"/>
      <c r="E1453" s="29"/>
      <c r="F1453" s="29"/>
      <c r="G1453" s="29"/>
      <c r="H1453" s="29"/>
      <c r="J1453" s="29"/>
      <c r="K1453" s="29"/>
      <c r="L1453" s="19"/>
      <c r="M1453" s="19"/>
      <c r="N1453" s="30"/>
      <c r="O1453" s="30"/>
      <c r="P1453" s="32"/>
      <c r="Q1453" s="32"/>
      <c r="R1453" s="32"/>
      <c r="S1453" s="32"/>
      <c r="T1453" s="32"/>
      <c r="U1453" s="30"/>
    </row>
    <row r="1454" spans="1:21">
      <c r="A1454" s="29"/>
      <c r="B1454" s="29"/>
      <c r="C1454" s="29"/>
      <c r="D1454" s="29"/>
      <c r="E1454" s="29"/>
      <c r="F1454" s="29"/>
      <c r="G1454" s="29"/>
      <c r="H1454" s="29"/>
      <c r="J1454" s="29"/>
      <c r="K1454" s="29"/>
      <c r="L1454" s="19"/>
      <c r="M1454" s="19"/>
      <c r="N1454" s="30"/>
      <c r="O1454" s="30"/>
      <c r="P1454" s="32"/>
      <c r="Q1454" s="32"/>
      <c r="R1454" s="32"/>
      <c r="S1454" s="32"/>
      <c r="T1454" s="32"/>
      <c r="U1454" s="30"/>
    </row>
    <row r="1455" spans="1:21">
      <c r="A1455" s="29"/>
      <c r="B1455" s="29"/>
      <c r="C1455" s="29"/>
      <c r="D1455" s="29"/>
      <c r="E1455" s="29"/>
      <c r="F1455" s="29"/>
      <c r="G1455" s="29"/>
      <c r="H1455" s="29"/>
      <c r="J1455" s="29"/>
      <c r="K1455" s="29"/>
      <c r="L1455" s="19"/>
      <c r="M1455" s="19"/>
      <c r="N1455" s="30"/>
      <c r="O1455" s="30"/>
      <c r="P1455" s="32"/>
      <c r="Q1455" s="32"/>
      <c r="R1455" s="32"/>
      <c r="S1455" s="32"/>
      <c r="T1455" s="32"/>
      <c r="U1455" s="30"/>
    </row>
    <row r="1456" spans="1:21">
      <c r="A1456" s="29"/>
      <c r="B1456" s="29"/>
      <c r="C1456" s="29"/>
      <c r="D1456" s="29"/>
      <c r="E1456" s="29"/>
      <c r="F1456" s="29"/>
      <c r="G1456" s="29"/>
      <c r="H1456" s="29"/>
      <c r="J1456" s="29"/>
      <c r="K1456" s="29"/>
      <c r="L1456" s="19"/>
      <c r="M1456" s="19"/>
      <c r="N1456" s="30"/>
      <c r="O1456" s="30"/>
      <c r="P1456" s="32"/>
      <c r="Q1456" s="32"/>
      <c r="R1456" s="32"/>
      <c r="S1456" s="32"/>
      <c r="T1456" s="32"/>
      <c r="U1456" s="30"/>
    </row>
    <row r="1457" spans="1:21">
      <c r="A1457" s="29"/>
      <c r="B1457" s="29"/>
      <c r="C1457" s="29"/>
      <c r="D1457" s="29"/>
      <c r="E1457" s="29"/>
      <c r="F1457" s="29"/>
      <c r="G1457" s="29"/>
      <c r="H1457" s="29"/>
      <c r="J1457" s="29"/>
      <c r="K1457" s="29"/>
      <c r="L1457" s="19"/>
      <c r="M1457" s="19"/>
      <c r="N1457" s="30"/>
      <c r="O1457" s="30"/>
      <c r="P1457" s="32"/>
      <c r="Q1457" s="32"/>
      <c r="R1457" s="32"/>
      <c r="S1457" s="32"/>
      <c r="T1457" s="32"/>
      <c r="U1457" s="30"/>
    </row>
    <row r="1458" spans="1:21">
      <c r="A1458" s="29"/>
      <c r="B1458" s="29"/>
      <c r="C1458" s="29"/>
      <c r="D1458" s="29"/>
      <c r="E1458" s="29"/>
      <c r="F1458" s="29"/>
      <c r="G1458" s="29"/>
      <c r="H1458" s="29"/>
      <c r="J1458" s="29"/>
      <c r="K1458" s="29"/>
      <c r="L1458" s="19"/>
      <c r="M1458" s="19"/>
      <c r="N1458" s="30"/>
      <c r="O1458" s="30"/>
      <c r="P1458" s="32"/>
      <c r="Q1458" s="32"/>
      <c r="R1458" s="32"/>
      <c r="S1458" s="32"/>
      <c r="T1458" s="32"/>
      <c r="U1458" s="30"/>
    </row>
    <row r="1459" spans="1:21">
      <c r="A1459" s="29"/>
      <c r="B1459" s="29"/>
      <c r="C1459" s="29"/>
      <c r="D1459" s="29"/>
      <c r="E1459" s="29"/>
      <c r="F1459" s="29"/>
      <c r="G1459" s="29"/>
      <c r="H1459" s="29"/>
      <c r="J1459" s="29"/>
      <c r="K1459" s="29"/>
      <c r="L1459" s="19"/>
      <c r="M1459" s="19"/>
      <c r="N1459" s="30"/>
      <c r="O1459" s="30"/>
      <c r="P1459" s="32"/>
      <c r="Q1459" s="32"/>
      <c r="R1459" s="32"/>
      <c r="S1459" s="32"/>
      <c r="T1459" s="32"/>
      <c r="U1459" s="30"/>
    </row>
    <row r="1460" spans="1:21">
      <c r="A1460" s="29"/>
      <c r="B1460" s="29"/>
      <c r="C1460" s="29"/>
      <c r="D1460" s="29"/>
      <c r="E1460" s="29"/>
      <c r="F1460" s="29"/>
      <c r="G1460" s="29"/>
      <c r="H1460" s="29"/>
      <c r="J1460" s="29"/>
      <c r="K1460" s="29"/>
      <c r="L1460" s="19"/>
      <c r="M1460" s="19"/>
      <c r="N1460" s="30"/>
      <c r="O1460" s="30"/>
      <c r="P1460" s="32"/>
      <c r="Q1460" s="32"/>
      <c r="R1460" s="32"/>
      <c r="S1460" s="32"/>
      <c r="T1460" s="32"/>
      <c r="U1460" s="30"/>
    </row>
    <row r="1461" spans="1:21">
      <c r="A1461" s="29"/>
      <c r="B1461" s="29"/>
      <c r="C1461" s="29"/>
      <c r="D1461" s="29"/>
      <c r="E1461" s="29"/>
      <c r="F1461" s="29"/>
      <c r="G1461" s="29"/>
      <c r="H1461" s="29"/>
      <c r="J1461" s="29"/>
      <c r="K1461" s="29"/>
      <c r="L1461" s="19"/>
      <c r="M1461" s="19"/>
      <c r="N1461" s="30"/>
      <c r="O1461" s="30"/>
      <c r="P1461" s="32"/>
      <c r="Q1461" s="32"/>
      <c r="R1461" s="32"/>
      <c r="S1461" s="32"/>
      <c r="T1461" s="32"/>
      <c r="U1461" s="30"/>
    </row>
    <row r="1462" spans="1:21">
      <c r="A1462" s="29"/>
      <c r="B1462" s="29"/>
      <c r="C1462" s="29"/>
      <c r="D1462" s="29"/>
      <c r="E1462" s="29"/>
      <c r="F1462" s="29"/>
      <c r="G1462" s="29"/>
      <c r="H1462" s="29"/>
      <c r="J1462" s="29"/>
      <c r="K1462" s="29"/>
      <c r="L1462" s="19"/>
      <c r="M1462" s="19"/>
      <c r="N1462" s="30"/>
      <c r="O1462" s="30"/>
      <c r="P1462" s="32"/>
      <c r="Q1462" s="32"/>
      <c r="R1462" s="32"/>
      <c r="S1462" s="32"/>
      <c r="T1462" s="32"/>
      <c r="U1462" s="30"/>
    </row>
    <row r="1463" spans="1:21">
      <c r="A1463" s="29"/>
      <c r="B1463" s="29"/>
      <c r="C1463" s="29"/>
      <c r="D1463" s="29"/>
      <c r="E1463" s="29"/>
      <c r="F1463" s="29"/>
      <c r="G1463" s="29"/>
      <c r="H1463" s="29"/>
      <c r="J1463" s="29"/>
      <c r="K1463" s="29"/>
      <c r="L1463" s="19"/>
      <c r="M1463" s="19"/>
      <c r="N1463" s="30"/>
      <c r="O1463" s="30"/>
      <c r="P1463" s="32"/>
      <c r="Q1463" s="32"/>
      <c r="R1463" s="32"/>
      <c r="S1463" s="32"/>
      <c r="T1463" s="32"/>
      <c r="U1463" s="30"/>
    </row>
    <row r="1464" spans="1:21">
      <c r="A1464" s="29"/>
      <c r="B1464" s="29"/>
      <c r="C1464" s="29"/>
      <c r="D1464" s="29"/>
      <c r="E1464" s="29"/>
      <c r="F1464" s="29"/>
      <c r="G1464" s="29"/>
      <c r="H1464" s="29"/>
      <c r="J1464" s="29"/>
      <c r="K1464" s="29"/>
      <c r="L1464" s="19"/>
      <c r="M1464" s="19"/>
      <c r="N1464" s="30"/>
      <c r="O1464" s="30"/>
      <c r="P1464" s="32"/>
      <c r="Q1464" s="32"/>
      <c r="R1464" s="32"/>
      <c r="S1464" s="32"/>
      <c r="T1464" s="32"/>
      <c r="U1464" s="30"/>
    </row>
    <row r="1465" spans="1:21">
      <c r="A1465" s="29"/>
      <c r="B1465" s="29"/>
      <c r="C1465" s="29"/>
      <c r="D1465" s="29"/>
      <c r="E1465" s="29"/>
      <c r="F1465" s="29"/>
      <c r="G1465" s="29"/>
      <c r="H1465" s="29"/>
      <c r="J1465" s="29"/>
      <c r="K1465" s="29"/>
      <c r="L1465" s="19"/>
      <c r="M1465" s="19"/>
      <c r="N1465" s="30"/>
      <c r="O1465" s="30"/>
      <c r="P1465" s="32"/>
      <c r="Q1465" s="32"/>
      <c r="R1465" s="32"/>
      <c r="S1465" s="32"/>
      <c r="T1465" s="32"/>
      <c r="U1465" s="30"/>
    </row>
    <row r="1466" spans="1:21">
      <c r="A1466" s="29"/>
      <c r="B1466" s="29"/>
      <c r="C1466" s="29"/>
      <c r="D1466" s="29"/>
      <c r="E1466" s="29"/>
      <c r="F1466" s="29"/>
      <c r="G1466" s="29"/>
      <c r="H1466" s="29"/>
      <c r="J1466" s="29"/>
      <c r="K1466" s="29"/>
      <c r="L1466" s="19"/>
      <c r="M1466" s="19"/>
      <c r="N1466" s="30"/>
      <c r="O1466" s="30"/>
      <c r="P1466" s="32"/>
      <c r="Q1466" s="32"/>
      <c r="R1466" s="32"/>
      <c r="S1466" s="32"/>
      <c r="T1466" s="32"/>
      <c r="U1466" s="30"/>
    </row>
    <row r="1467" spans="1:21">
      <c r="A1467" s="29"/>
      <c r="B1467" s="29"/>
      <c r="C1467" s="29"/>
      <c r="D1467" s="29"/>
      <c r="E1467" s="29"/>
      <c r="F1467" s="29"/>
      <c r="G1467" s="29"/>
      <c r="H1467" s="29"/>
      <c r="J1467" s="29"/>
      <c r="K1467" s="29"/>
      <c r="L1467" s="19"/>
      <c r="M1467" s="19"/>
      <c r="N1467" s="30"/>
      <c r="O1467" s="30"/>
      <c r="P1467" s="32"/>
      <c r="Q1467" s="32"/>
      <c r="R1467" s="32"/>
      <c r="S1467" s="32"/>
      <c r="T1467" s="32"/>
      <c r="U1467" s="30"/>
    </row>
    <row r="1468" spans="1:21">
      <c r="A1468" s="29"/>
      <c r="B1468" s="29"/>
      <c r="C1468" s="29"/>
      <c r="D1468" s="29"/>
      <c r="E1468" s="29"/>
      <c r="F1468" s="29"/>
      <c r="G1468" s="29"/>
      <c r="H1468" s="29"/>
      <c r="J1468" s="29"/>
      <c r="K1468" s="29"/>
      <c r="L1468" s="19"/>
      <c r="M1468" s="19"/>
      <c r="N1468" s="30"/>
      <c r="O1468" s="30"/>
      <c r="P1468" s="32"/>
      <c r="Q1468" s="32"/>
      <c r="R1468" s="32"/>
      <c r="S1468" s="32"/>
      <c r="T1468" s="32"/>
      <c r="U1468" s="30"/>
    </row>
    <row r="1469" spans="1:21">
      <c r="A1469" s="29"/>
      <c r="B1469" s="29"/>
      <c r="C1469" s="29"/>
      <c r="D1469" s="29"/>
      <c r="E1469" s="29"/>
      <c r="F1469" s="29"/>
      <c r="G1469" s="29"/>
      <c r="H1469" s="29"/>
      <c r="J1469" s="29"/>
      <c r="K1469" s="29"/>
      <c r="L1469" s="19"/>
      <c r="M1469" s="19"/>
      <c r="N1469" s="30"/>
      <c r="O1469" s="30"/>
      <c r="P1469" s="32"/>
      <c r="Q1469" s="32"/>
      <c r="R1469" s="32"/>
      <c r="S1469" s="32"/>
      <c r="T1469" s="32"/>
      <c r="U1469" s="30"/>
    </row>
    <row r="1470" spans="1:21">
      <c r="A1470" s="29"/>
      <c r="B1470" s="29"/>
      <c r="C1470" s="29"/>
      <c r="D1470" s="29"/>
      <c r="E1470" s="29"/>
      <c r="F1470" s="29"/>
      <c r="G1470" s="29"/>
      <c r="H1470" s="29"/>
      <c r="J1470" s="29"/>
      <c r="K1470" s="29"/>
      <c r="L1470" s="19"/>
      <c r="M1470" s="19"/>
      <c r="N1470" s="30"/>
      <c r="O1470" s="30"/>
      <c r="P1470" s="32"/>
      <c r="Q1470" s="32"/>
      <c r="R1470" s="32"/>
      <c r="S1470" s="32"/>
      <c r="T1470" s="32"/>
      <c r="U1470" s="30"/>
    </row>
    <row r="1471" spans="1:21">
      <c r="A1471" s="29"/>
      <c r="B1471" s="29"/>
      <c r="C1471" s="29"/>
      <c r="D1471" s="29"/>
      <c r="E1471" s="29"/>
      <c r="F1471" s="29"/>
      <c r="G1471" s="29"/>
      <c r="H1471" s="29"/>
      <c r="J1471" s="29"/>
      <c r="K1471" s="29"/>
      <c r="L1471" s="19"/>
      <c r="M1471" s="19"/>
      <c r="N1471" s="30"/>
      <c r="O1471" s="30"/>
      <c r="P1471" s="32"/>
      <c r="Q1471" s="32"/>
      <c r="R1471" s="32"/>
      <c r="S1471" s="32"/>
      <c r="T1471" s="32"/>
      <c r="U1471" s="30"/>
    </row>
    <row r="1472" spans="1:21">
      <c r="A1472" s="29"/>
      <c r="B1472" s="29"/>
      <c r="C1472" s="29"/>
      <c r="D1472" s="29"/>
      <c r="E1472" s="29"/>
      <c r="F1472" s="29"/>
      <c r="G1472" s="29"/>
      <c r="H1472" s="29"/>
      <c r="J1472" s="29"/>
      <c r="K1472" s="29"/>
      <c r="L1472" s="19"/>
      <c r="M1472" s="19"/>
      <c r="N1472" s="30"/>
      <c r="O1472" s="30"/>
      <c r="P1472" s="32"/>
      <c r="Q1472" s="32"/>
      <c r="R1472" s="32"/>
      <c r="S1472" s="32"/>
      <c r="T1472" s="32"/>
      <c r="U1472" s="30"/>
    </row>
    <row r="1473" spans="1:21">
      <c r="A1473" s="29"/>
      <c r="B1473" s="29"/>
      <c r="C1473" s="29"/>
      <c r="D1473" s="29"/>
      <c r="E1473" s="29"/>
      <c r="F1473" s="29"/>
      <c r="G1473" s="29"/>
      <c r="H1473" s="29"/>
      <c r="J1473" s="29"/>
      <c r="K1473" s="29"/>
      <c r="L1473" s="19"/>
      <c r="M1473" s="19"/>
      <c r="N1473" s="30"/>
      <c r="O1473" s="30"/>
      <c r="P1473" s="32"/>
      <c r="Q1473" s="32"/>
      <c r="R1473" s="32"/>
      <c r="S1473" s="32"/>
      <c r="T1473" s="32"/>
      <c r="U1473" s="30"/>
    </row>
    <row r="1474" spans="1:21">
      <c r="A1474" s="29"/>
      <c r="B1474" s="29"/>
      <c r="C1474" s="29"/>
      <c r="D1474" s="29"/>
      <c r="E1474" s="29"/>
      <c r="F1474" s="29"/>
      <c r="G1474" s="29"/>
      <c r="H1474" s="29"/>
      <c r="J1474" s="29"/>
      <c r="K1474" s="29"/>
      <c r="L1474" s="19"/>
      <c r="M1474" s="19"/>
      <c r="N1474" s="30"/>
      <c r="O1474" s="30"/>
      <c r="P1474" s="32"/>
      <c r="Q1474" s="32"/>
      <c r="R1474" s="32"/>
      <c r="S1474" s="32"/>
      <c r="T1474" s="32"/>
      <c r="U1474" s="30"/>
    </row>
    <row r="1475" spans="1:21">
      <c r="A1475" s="29"/>
      <c r="B1475" s="29"/>
      <c r="C1475" s="29"/>
      <c r="D1475" s="29"/>
      <c r="E1475" s="29"/>
      <c r="F1475" s="29"/>
      <c r="G1475" s="29"/>
      <c r="H1475" s="29"/>
      <c r="J1475" s="29"/>
      <c r="K1475" s="29"/>
      <c r="L1475" s="19"/>
      <c r="M1475" s="19"/>
      <c r="N1475" s="30"/>
      <c r="O1475" s="30"/>
      <c r="P1475" s="32"/>
      <c r="Q1475" s="32"/>
      <c r="R1475" s="32"/>
      <c r="S1475" s="32"/>
      <c r="T1475" s="32"/>
      <c r="U1475" s="30"/>
    </row>
    <row r="1476" spans="1:21">
      <c r="A1476" s="29"/>
      <c r="B1476" s="29"/>
      <c r="C1476" s="29"/>
      <c r="D1476" s="29"/>
      <c r="E1476" s="29"/>
      <c r="F1476" s="29"/>
      <c r="G1476" s="29"/>
      <c r="H1476" s="29"/>
      <c r="J1476" s="29"/>
      <c r="K1476" s="29"/>
      <c r="L1476" s="19"/>
      <c r="M1476" s="19"/>
      <c r="N1476" s="30"/>
      <c r="O1476" s="30"/>
      <c r="P1476" s="32"/>
      <c r="Q1476" s="32"/>
      <c r="R1476" s="32"/>
      <c r="S1476" s="32"/>
      <c r="T1476" s="32"/>
      <c r="U1476" s="30"/>
    </row>
    <row r="1477" spans="1:21">
      <c r="A1477" s="29"/>
      <c r="B1477" s="29"/>
      <c r="C1477" s="29"/>
      <c r="D1477" s="29"/>
      <c r="E1477" s="29"/>
      <c r="F1477" s="29"/>
      <c r="G1477" s="29"/>
      <c r="H1477" s="29"/>
      <c r="J1477" s="29"/>
      <c r="K1477" s="29"/>
      <c r="L1477" s="19"/>
      <c r="M1477" s="19"/>
      <c r="N1477" s="30"/>
      <c r="O1477" s="30"/>
      <c r="P1477" s="32"/>
      <c r="Q1477" s="32"/>
      <c r="R1477" s="32"/>
      <c r="S1477" s="32"/>
      <c r="T1477" s="32"/>
      <c r="U1477" s="30"/>
    </row>
    <row r="1478" spans="1:21">
      <c r="A1478" s="29"/>
      <c r="B1478" s="29"/>
      <c r="C1478" s="29"/>
      <c r="D1478" s="29"/>
      <c r="E1478" s="29"/>
      <c r="F1478" s="29"/>
      <c r="G1478" s="29"/>
      <c r="H1478" s="29"/>
      <c r="J1478" s="29"/>
      <c r="K1478" s="29"/>
      <c r="L1478" s="19"/>
      <c r="M1478" s="19"/>
      <c r="N1478" s="30"/>
      <c r="O1478" s="30"/>
      <c r="P1478" s="32"/>
      <c r="Q1478" s="32"/>
      <c r="R1478" s="32"/>
      <c r="S1478" s="32"/>
      <c r="T1478" s="32"/>
      <c r="U1478" s="30"/>
    </row>
    <row r="1479" spans="1:21">
      <c r="A1479" s="29"/>
      <c r="B1479" s="29"/>
      <c r="C1479" s="29"/>
      <c r="D1479" s="29"/>
      <c r="E1479" s="29"/>
      <c r="F1479" s="29"/>
      <c r="G1479" s="29"/>
      <c r="H1479" s="29"/>
      <c r="J1479" s="29"/>
      <c r="K1479" s="29"/>
      <c r="L1479" s="19"/>
      <c r="M1479" s="19"/>
      <c r="N1479" s="30"/>
      <c r="O1479" s="30"/>
      <c r="P1479" s="32"/>
      <c r="Q1479" s="32"/>
      <c r="R1479" s="32"/>
      <c r="S1479" s="32"/>
      <c r="T1479" s="32"/>
      <c r="U1479" s="30"/>
    </row>
    <row r="1480" spans="1:21">
      <c r="A1480" s="29"/>
      <c r="B1480" s="29"/>
      <c r="C1480" s="29"/>
      <c r="D1480" s="29"/>
      <c r="E1480" s="29"/>
      <c r="F1480" s="29"/>
      <c r="G1480" s="29"/>
      <c r="H1480" s="29"/>
      <c r="J1480" s="29"/>
      <c r="K1480" s="29"/>
      <c r="L1480" s="19"/>
      <c r="M1480" s="19"/>
      <c r="N1480" s="30"/>
      <c r="O1480" s="30"/>
      <c r="P1480" s="32"/>
      <c r="Q1480" s="32"/>
      <c r="R1480" s="32"/>
      <c r="S1480" s="32"/>
      <c r="T1480" s="32"/>
      <c r="U1480" s="30"/>
    </row>
    <row r="1481" spans="1:21">
      <c r="A1481" s="29"/>
      <c r="B1481" s="29"/>
      <c r="C1481" s="29"/>
      <c r="D1481" s="29"/>
      <c r="E1481" s="29"/>
      <c r="F1481" s="29"/>
      <c r="G1481" s="29"/>
      <c r="H1481" s="29"/>
      <c r="J1481" s="29"/>
      <c r="K1481" s="29"/>
      <c r="L1481" s="19"/>
      <c r="M1481" s="19"/>
      <c r="N1481" s="30"/>
      <c r="O1481" s="30"/>
      <c r="P1481" s="32"/>
      <c r="Q1481" s="32"/>
      <c r="R1481" s="32"/>
      <c r="S1481" s="32"/>
      <c r="T1481" s="32"/>
      <c r="U1481" s="30"/>
    </row>
    <row r="1482" spans="1:21">
      <c r="A1482" s="29"/>
      <c r="B1482" s="29"/>
      <c r="C1482" s="29"/>
      <c r="D1482" s="29"/>
      <c r="E1482" s="29"/>
      <c r="F1482" s="29"/>
      <c r="G1482" s="29"/>
      <c r="H1482" s="29"/>
      <c r="J1482" s="29"/>
      <c r="K1482" s="29"/>
      <c r="L1482" s="19"/>
      <c r="M1482" s="19"/>
      <c r="N1482" s="30"/>
      <c r="O1482" s="30"/>
      <c r="P1482" s="32"/>
      <c r="Q1482" s="32"/>
      <c r="R1482" s="32"/>
      <c r="S1482" s="32"/>
      <c r="T1482" s="32"/>
      <c r="U1482" s="30"/>
    </row>
    <row r="1483" spans="1:21">
      <c r="A1483" s="29"/>
      <c r="B1483" s="29"/>
      <c r="C1483" s="29"/>
      <c r="D1483" s="29"/>
      <c r="E1483" s="29"/>
      <c r="F1483" s="29"/>
      <c r="G1483" s="29"/>
      <c r="H1483" s="29"/>
      <c r="J1483" s="29"/>
      <c r="K1483" s="29"/>
      <c r="L1483" s="19"/>
      <c r="M1483" s="19"/>
      <c r="N1483" s="30"/>
      <c r="O1483" s="30"/>
      <c r="P1483" s="32"/>
      <c r="Q1483" s="32"/>
      <c r="R1483" s="32"/>
      <c r="S1483" s="32"/>
      <c r="T1483" s="32"/>
      <c r="U1483" s="30"/>
    </row>
    <row r="1484" spans="1:21">
      <c r="A1484" s="29"/>
      <c r="B1484" s="29"/>
      <c r="C1484" s="29"/>
      <c r="D1484" s="29"/>
      <c r="E1484" s="29"/>
      <c r="F1484" s="29"/>
      <c r="G1484" s="29"/>
      <c r="H1484" s="29"/>
      <c r="J1484" s="29"/>
      <c r="K1484" s="29"/>
      <c r="L1484" s="19"/>
      <c r="M1484" s="19"/>
      <c r="N1484" s="30"/>
      <c r="O1484" s="30"/>
      <c r="P1484" s="32"/>
      <c r="Q1484" s="32"/>
      <c r="R1484" s="32"/>
      <c r="S1484" s="32"/>
      <c r="T1484" s="32"/>
      <c r="U1484" s="30"/>
    </row>
    <row r="1485" spans="1:21">
      <c r="A1485" s="29"/>
      <c r="B1485" s="29"/>
      <c r="C1485" s="29"/>
      <c r="D1485" s="29"/>
      <c r="E1485" s="29"/>
      <c r="F1485" s="29"/>
      <c r="G1485" s="29"/>
      <c r="H1485" s="29"/>
      <c r="J1485" s="29"/>
      <c r="K1485" s="29"/>
      <c r="L1485" s="19"/>
      <c r="M1485" s="19"/>
      <c r="N1485" s="30"/>
      <c r="O1485" s="30"/>
      <c r="P1485" s="32"/>
      <c r="Q1485" s="32"/>
      <c r="R1485" s="32"/>
      <c r="S1485" s="32"/>
      <c r="T1485" s="32"/>
      <c r="U1485" s="30"/>
    </row>
    <row r="1486" spans="1:21">
      <c r="A1486" s="29"/>
      <c r="B1486" s="29"/>
      <c r="C1486" s="29"/>
      <c r="D1486" s="29"/>
      <c r="E1486" s="29"/>
      <c r="F1486" s="29"/>
      <c r="G1486" s="29"/>
      <c r="H1486" s="29"/>
      <c r="J1486" s="29"/>
      <c r="K1486" s="29"/>
      <c r="L1486" s="19"/>
      <c r="M1486" s="19"/>
      <c r="N1486" s="30"/>
      <c r="O1486" s="30"/>
      <c r="P1486" s="32"/>
      <c r="Q1486" s="32"/>
      <c r="R1486" s="32"/>
      <c r="S1486" s="32"/>
      <c r="T1486" s="32"/>
      <c r="U1486" s="30"/>
    </row>
    <row r="1487" spans="1:21">
      <c r="A1487" s="29"/>
      <c r="B1487" s="29"/>
      <c r="C1487" s="29"/>
      <c r="D1487" s="29"/>
      <c r="E1487" s="29"/>
      <c r="F1487" s="29"/>
      <c r="G1487" s="29"/>
      <c r="H1487" s="29"/>
      <c r="J1487" s="29"/>
      <c r="K1487" s="29"/>
      <c r="L1487" s="19"/>
      <c r="M1487" s="19"/>
      <c r="N1487" s="30"/>
      <c r="O1487" s="30"/>
      <c r="P1487" s="32"/>
      <c r="Q1487" s="32"/>
      <c r="R1487" s="32"/>
      <c r="S1487" s="32"/>
      <c r="T1487" s="32"/>
      <c r="U1487" s="30"/>
    </row>
    <row r="1488" spans="1:21">
      <c r="A1488" s="29"/>
      <c r="B1488" s="29"/>
      <c r="C1488" s="29"/>
      <c r="D1488" s="29"/>
      <c r="E1488" s="29"/>
      <c r="F1488" s="29"/>
      <c r="G1488" s="29"/>
      <c r="H1488" s="29"/>
      <c r="J1488" s="29"/>
      <c r="K1488" s="29"/>
      <c r="L1488" s="19"/>
      <c r="M1488" s="19"/>
      <c r="N1488" s="30"/>
      <c r="O1488" s="30"/>
      <c r="P1488" s="32"/>
      <c r="Q1488" s="32"/>
      <c r="R1488" s="32"/>
      <c r="S1488" s="32"/>
      <c r="T1488" s="32"/>
      <c r="U1488" s="30"/>
    </row>
    <row r="1489" spans="1:21">
      <c r="A1489" s="29"/>
      <c r="B1489" s="29"/>
      <c r="C1489" s="29"/>
      <c r="D1489" s="29"/>
      <c r="E1489" s="29"/>
      <c r="F1489" s="29"/>
      <c r="G1489" s="29"/>
      <c r="H1489" s="29"/>
      <c r="J1489" s="29"/>
      <c r="K1489" s="29"/>
      <c r="L1489" s="19"/>
      <c r="M1489" s="19"/>
      <c r="N1489" s="30"/>
      <c r="O1489" s="30"/>
      <c r="P1489" s="32"/>
      <c r="Q1489" s="32"/>
      <c r="R1489" s="32"/>
      <c r="S1489" s="32"/>
      <c r="T1489" s="32"/>
      <c r="U1489" s="30"/>
    </row>
    <row r="1490" spans="1:21">
      <c r="A1490" s="29"/>
      <c r="B1490" s="29"/>
      <c r="C1490" s="29"/>
      <c r="D1490" s="29"/>
      <c r="E1490" s="29"/>
      <c r="F1490" s="29"/>
      <c r="G1490" s="29"/>
      <c r="H1490" s="29"/>
      <c r="J1490" s="29"/>
      <c r="K1490" s="29"/>
      <c r="L1490" s="19"/>
      <c r="M1490" s="19"/>
      <c r="N1490" s="30"/>
      <c r="O1490" s="30"/>
      <c r="P1490" s="32"/>
      <c r="Q1490" s="32"/>
      <c r="R1490" s="32"/>
      <c r="S1490" s="32"/>
      <c r="T1490" s="32"/>
      <c r="U1490" s="30"/>
    </row>
    <row r="1491" spans="1:21">
      <c r="A1491" s="29"/>
      <c r="B1491" s="29"/>
      <c r="C1491" s="29"/>
      <c r="D1491" s="29"/>
      <c r="E1491" s="29"/>
      <c r="F1491" s="29"/>
      <c r="G1491" s="29"/>
      <c r="H1491" s="29"/>
      <c r="J1491" s="29"/>
      <c r="K1491" s="29"/>
      <c r="L1491" s="19"/>
      <c r="M1491" s="19"/>
      <c r="N1491" s="30"/>
      <c r="O1491" s="30"/>
      <c r="P1491" s="32"/>
      <c r="Q1491" s="32"/>
      <c r="R1491" s="32"/>
      <c r="S1491" s="32"/>
      <c r="T1491" s="32"/>
      <c r="U1491" s="30"/>
    </row>
    <row r="1492" spans="1:21">
      <c r="A1492" s="29"/>
      <c r="B1492" s="29"/>
      <c r="C1492" s="29"/>
      <c r="D1492" s="29"/>
      <c r="E1492" s="29"/>
      <c r="F1492" s="29"/>
      <c r="G1492" s="29"/>
      <c r="H1492" s="29"/>
      <c r="J1492" s="29"/>
      <c r="K1492" s="29"/>
      <c r="L1492" s="19"/>
      <c r="M1492" s="19"/>
      <c r="N1492" s="30"/>
      <c r="O1492" s="30"/>
      <c r="P1492" s="32"/>
      <c r="Q1492" s="32"/>
      <c r="R1492" s="32"/>
      <c r="S1492" s="32"/>
      <c r="T1492" s="32"/>
      <c r="U1492" s="30"/>
    </row>
    <row r="1493" spans="1:21">
      <c r="A1493" s="29"/>
      <c r="B1493" s="29"/>
      <c r="C1493" s="29"/>
      <c r="D1493" s="29"/>
      <c r="E1493" s="29"/>
      <c r="F1493" s="29"/>
      <c r="G1493" s="29"/>
      <c r="H1493" s="29"/>
      <c r="J1493" s="29"/>
      <c r="K1493" s="29"/>
      <c r="L1493" s="19"/>
      <c r="M1493" s="19"/>
      <c r="N1493" s="30"/>
      <c r="O1493" s="30"/>
      <c r="P1493" s="32"/>
      <c r="Q1493" s="32"/>
      <c r="R1493" s="32"/>
      <c r="S1493" s="32"/>
      <c r="T1493" s="32"/>
      <c r="U1493" s="30"/>
    </row>
    <row r="1494" spans="1:21">
      <c r="A1494" s="29"/>
      <c r="B1494" s="29"/>
      <c r="C1494" s="29"/>
      <c r="D1494" s="29"/>
      <c r="E1494" s="29"/>
      <c r="F1494" s="29"/>
      <c r="G1494" s="29"/>
      <c r="H1494" s="29"/>
      <c r="J1494" s="29"/>
      <c r="K1494" s="29"/>
      <c r="L1494" s="19"/>
      <c r="M1494" s="19"/>
      <c r="N1494" s="30"/>
      <c r="O1494" s="30"/>
      <c r="P1494" s="32"/>
      <c r="Q1494" s="32"/>
      <c r="R1494" s="32"/>
      <c r="S1494" s="32"/>
      <c r="T1494" s="32"/>
      <c r="U1494" s="30"/>
    </row>
    <row r="1495" spans="1:21">
      <c r="A1495" s="29"/>
      <c r="B1495" s="29"/>
      <c r="C1495" s="29"/>
      <c r="D1495" s="29"/>
      <c r="E1495" s="29"/>
      <c r="F1495" s="29"/>
      <c r="G1495" s="29"/>
      <c r="H1495" s="29"/>
      <c r="J1495" s="29"/>
      <c r="K1495" s="29"/>
      <c r="L1495" s="19"/>
      <c r="M1495" s="19"/>
      <c r="N1495" s="30"/>
      <c r="O1495" s="30"/>
      <c r="P1495" s="32"/>
      <c r="Q1495" s="32"/>
      <c r="R1495" s="32"/>
      <c r="S1495" s="32"/>
      <c r="T1495" s="32"/>
      <c r="U1495" s="30"/>
    </row>
    <row r="1496" spans="1:21">
      <c r="A1496" s="29"/>
      <c r="B1496" s="29"/>
      <c r="C1496" s="29"/>
      <c r="D1496" s="29"/>
      <c r="E1496" s="29"/>
      <c r="F1496" s="29"/>
      <c r="G1496" s="29"/>
      <c r="H1496" s="29"/>
      <c r="J1496" s="29"/>
      <c r="K1496" s="29"/>
      <c r="L1496" s="19"/>
      <c r="M1496" s="19"/>
      <c r="N1496" s="30"/>
      <c r="O1496" s="30"/>
      <c r="P1496" s="32"/>
      <c r="Q1496" s="32"/>
      <c r="R1496" s="32"/>
      <c r="S1496" s="32"/>
      <c r="T1496" s="32"/>
      <c r="U1496" s="30"/>
    </row>
    <row r="1497" spans="1:21">
      <c r="A1497" s="29"/>
      <c r="B1497" s="29"/>
      <c r="C1497" s="29"/>
      <c r="D1497" s="29"/>
      <c r="E1497" s="29"/>
      <c r="F1497" s="29"/>
      <c r="G1497" s="29"/>
      <c r="H1497" s="29"/>
      <c r="J1497" s="29"/>
      <c r="K1497" s="29"/>
      <c r="L1497" s="19"/>
      <c r="M1497" s="19"/>
      <c r="N1497" s="30"/>
      <c r="O1497" s="30"/>
      <c r="P1497" s="32"/>
      <c r="Q1497" s="32"/>
      <c r="R1497" s="32"/>
      <c r="S1497" s="32"/>
      <c r="T1497" s="32"/>
      <c r="U1497" s="30"/>
    </row>
    <row r="1498" spans="1:21">
      <c r="A1498" s="29"/>
      <c r="B1498" s="29"/>
      <c r="C1498" s="29"/>
      <c r="D1498" s="29"/>
      <c r="E1498" s="29"/>
      <c r="F1498" s="29"/>
      <c r="G1498" s="29"/>
      <c r="H1498" s="29"/>
      <c r="J1498" s="29"/>
      <c r="K1498" s="29"/>
      <c r="L1498" s="19"/>
      <c r="M1498" s="19"/>
      <c r="N1498" s="30"/>
      <c r="O1498" s="30"/>
      <c r="P1498" s="32"/>
      <c r="Q1498" s="32"/>
      <c r="R1498" s="32"/>
      <c r="S1498" s="32"/>
      <c r="T1498" s="32"/>
      <c r="U1498" s="30"/>
    </row>
    <row r="1499" spans="1:21">
      <c r="A1499" s="29"/>
      <c r="B1499" s="29"/>
      <c r="C1499" s="29"/>
      <c r="D1499" s="29"/>
      <c r="E1499" s="29"/>
      <c r="F1499" s="29"/>
      <c r="G1499" s="29"/>
      <c r="H1499" s="29"/>
      <c r="J1499" s="29"/>
      <c r="K1499" s="29"/>
      <c r="L1499" s="19"/>
      <c r="M1499" s="19"/>
      <c r="N1499" s="30"/>
      <c r="O1499" s="30"/>
      <c r="P1499" s="32"/>
      <c r="Q1499" s="32"/>
      <c r="R1499" s="32"/>
      <c r="S1499" s="32"/>
      <c r="T1499" s="32"/>
      <c r="U1499" s="30"/>
    </row>
    <row r="1500" spans="1:21">
      <c r="A1500" s="29"/>
      <c r="B1500" s="29"/>
      <c r="C1500" s="29"/>
      <c r="D1500" s="29"/>
      <c r="E1500" s="29"/>
      <c r="F1500" s="29"/>
      <c r="G1500" s="29"/>
      <c r="H1500" s="29"/>
      <c r="J1500" s="29"/>
      <c r="K1500" s="29"/>
      <c r="L1500" s="19"/>
      <c r="M1500" s="19"/>
      <c r="N1500" s="30"/>
      <c r="O1500" s="30"/>
      <c r="P1500" s="32"/>
      <c r="Q1500" s="32"/>
      <c r="R1500" s="32"/>
      <c r="S1500" s="32"/>
      <c r="T1500" s="32"/>
      <c r="U1500" s="30"/>
    </row>
    <row r="1501" spans="1:21">
      <c r="A1501" s="29"/>
      <c r="B1501" s="29"/>
      <c r="C1501" s="29"/>
      <c r="D1501" s="29"/>
      <c r="E1501" s="29"/>
      <c r="F1501" s="29"/>
      <c r="G1501" s="29"/>
      <c r="H1501" s="29"/>
      <c r="J1501" s="29"/>
      <c r="K1501" s="29"/>
      <c r="L1501" s="19"/>
      <c r="M1501" s="19"/>
      <c r="N1501" s="30"/>
      <c r="O1501" s="30"/>
      <c r="P1501" s="32"/>
      <c r="Q1501" s="32"/>
      <c r="R1501" s="32"/>
      <c r="S1501" s="32"/>
      <c r="T1501" s="32"/>
      <c r="U1501" s="30"/>
    </row>
    <row r="1502" spans="1:21">
      <c r="A1502" s="29"/>
      <c r="B1502" s="29"/>
      <c r="C1502" s="29"/>
      <c r="D1502" s="29"/>
      <c r="E1502" s="29"/>
      <c r="F1502" s="29"/>
      <c r="G1502" s="29"/>
      <c r="H1502" s="29"/>
      <c r="J1502" s="29"/>
      <c r="K1502" s="29"/>
      <c r="L1502" s="19"/>
      <c r="M1502" s="19"/>
      <c r="N1502" s="30"/>
      <c r="O1502" s="30"/>
      <c r="P1502" s="32"/>
      <c r="Q1502" s="32"/>
      <c r="R1502" s="32"/>
      <c r="S1502" s="32"/>
      <c r="T1502" s="32"/>
      <c r="U1502" s="30"/>
    </row>
    <row r="1503" spans="1:21">
      <c r="A1503" s="29"/>
      <c r="B1503" s="29"/>
      <c r="C1503" s="29"/>
      <c r="D1503" s="29"/>
      <c r="E1503" s="29"/>
      <c r="F1503" s="29"/>
      <c r="G1503" s="29"/>
      <c r="H1503" s="29"/>
      <c r="J1503" s="29"/>
      <c r="K1503" s="29"/>
      <c r="L1503" s="19"/>
      <c r="M1503" s="19"/>
      <c r="N1503" s="30"/>
      <c r="O1503" s="30"/>
      <c r="P1503" s="32"/>
      <c r="Q1503" s="32"/>
      <c r="R1503" s="32"/>
      <c r="S1503" s="32"/>
      <c r="T1503" s="32"/>
      <c r="U1503" s="30"/>
    </row>
    <row r="1504" spans="1:21">
      <c r="A1504" s="29"/>
      <c r="B1504" s="29"/>
      <c r="C1504" s="29"/>
      <c r="D1504" s="29"/>
      <c r="E1504" s="29"/>
      <c r="F1504" s="29"/>
      <c r="G1504" s="29"/>
      <c r="H1504" s="29"/>
      <c r="J1504" s="29"/>
      <c r="K1504" s="29"/>
      <c r="L1504" s="19"/>
      <c r="M1504" s="19"/>
      <c r="N1504" s="30"/>
      <c r="O1504" s="30"/>
      <c r="P1504" s="32"/>
      <c r="Q1504" s="32"/>
      <c r="R1504" s="32"/>
      <c r="S1504" s="32"/>
      <c r="T1504" s="32"/>
      <c r="U1504" s="30"/>
    </row>
    <row r="1505" spans="1:21">
      <c r="A1505" s="29"/>
      <c r="B1505" s="29"/>
      <c r="C1505" s="29"/>
      <c r="D1505" s="29"/>
      <c r="E1505" s="29"/>
      <c r="F1505" s="29"/>
      <c r="G1505" s="29"/>
      <c r="H1505" s="29"/>
      <c r="J1505" s="29"/>
      <c r="K1505" s="29"/>
      <c r="L1505" s="19"/>
      <c r="M1505" s="19"/>
      <c r="N1505" s="30"/>
      <c r="O1505" s="30"/>
      <c r="P1505" s="32"/>
      <c r="Q1505" s="32"/>
      <c r="R1505" s="32"/>
      <c r="S1505" s="32"/>
      <c r="T1505" s="32"/>
      <c r="U1505" s="30"/>
    </row>
    <row r="1506" spans="1:21">
      <c r="A1506" s="29"/>
      <c r="B1506" s="29"/>
      <c r="C1506" s="29"/>
      <c r="D1506" s="29"/>
      <c r="E1506" s="29"/>
      <c r="F1506" s="29"/>
      <c r="G1506" s="29"/>
      <c r="H1506" s="29"/>
      <c r="J1506" s="29"/>
      <c r="K1506" s="29"/>
      <c r="L1506" s="19"/>
      <c r="M1506" s="19"/>
      <c r="N1506" s="30"/>
      <c r="O1506" s="30"/>
      <c r="P1506" s="32"/>
      <c r="Q1506" s="32"/>
      <c r="R1506" s="32"/>
      <c r="S1506" s="32"/>
      <c r="T1506" s="32"/>
      <c r="U1506" s="30"/>
    </row>
    <row r="1507" spans="1:21">
      <c r="A1507" s="29"/>
      <c r="B1507" s="29"/>
      <c r="C1507" s="29"/>
      <c r="D1507" s="29"/>
      <c r="E1507" s="29"/>
      <c r="F1507" s="29"/>
      <c r="G1507" s="29"/>
      <c r="H1507" s="29"/>
      <c r="J1507" s="29"/>
      <c r="K1507" s="29"/>
      <c r="L1507" s="19"/>
      <c r="M1507" s="19"/>
      <c r="N1507" s="30"/>
      <c r="O1507" s="30"/>
      <c r="P1507" s="32"/>
      <c r="Q1507" s="32"/>
      <c r="R1507" s="32"/>
      <c r="S1507" s="32"/>
      <c r="T1507" s="32"/>
      <c r="U1507" s="30"/>
    </row>
    <row r="1508" spans="1:21">
      <c r="A1508" s="29"/>
      <c r="B1508" s="29"/>
      <c r="C1508" s="29"/>
      <c r="D1508" s="29"/>
      <c r="E1508" s="29"/>
      <c r="F1508" s="29"/>
      <c r="G1508" s="29"/>
      <c r="H1508" s="29"/>
      <c r="J1508" s="29"/>
      <c r="K1508" s="29"/>
      <c r="L1508" s="19"/>
      <c r="M1508" s="19"/>
      <c r="N1508" s="30"/>
      <c r="O1508" s="30"/>
      <c r="P1508" s="32"/>
      <c r="Q1508" s="32"/>
      <c r="R1508" s="32"/>
      <c r="S1508" s="32"/>
      <c r="T1508" s="32"/>
      <c r="U1508" s="30"/>
    </row>
    <row r="1509" spans="1:21">
      <c r="A1509" s="29"/>
      <c r="B1509" s="29"/>
      <c r="C1509" s="29"/>
      <c r="D1509" s="29"/>
      <c r="E1509" s="29"/>
      <c r="F1509" s="29"/>
      <c r="G1509" s="29"/>
      <c r="H1509" s="29"/>
      <c r="J1509" s="29"/>
      <c r="K1509" s="29"/>
      <c r="L1509" s="19"/>
      <c r="M1509" s="19"/>
      <c r="N1509" s="30"/>
      <c r="O1509" s="30"/>
      <c r="P1509" s="32"/>
      <c r="Q1509" s="32"/>
      <c r="R1509" s="32"/>
      <c r="S1509" s="32"/>
      <c r="T1509" s="32"/>
      <c r="U1509" s="30"/>
    </row>
    <row r="1510" spans="1:21">
      <c r="A1510" s="29"/>
      <c r="B1510" s="29"/>
      <c r="C1510" s="29"/>
      <c r="D1510" s="29"/>
      <c r="E1510" s="29"/>
      <c r="F1510" s="29"/>
      <c r="G1510" s="29"/>
      <c r="H1510" s="29"/>
      <c r="J1510" s="29"/>
      <c r="K1510" s="29"/>
      <c r="L1510" s="19"/>
      <c r="M1510" s="19"/>
      <c r="N1510" s="30"/>
      <c r="O1510" s="30"/>
      <c r="P1510" s="32"/>
      <c r="Q1510" s="32"/>
      <c r="R1510" s="32"/>
      <c r="S1510" s="32"/>
      <c r="T1510" s="32"/>
      <c r="U1510" s="30"/>
    </row>
    <row r="1511" spans="1:21">
      <c r="A1511" s="29"/>
      <c r="B1511" s="29"/>
      <c r="C1511" s="29"/>
      <c r="D1511" s="29"/>
      <c r="E1511" s="29"/>
      <c r="F1511" s="29"/>
      <c r="G1511" s="29"/>
      <c r="H1511" s="29"/>
      <c r="J1511" s="29"/>
      <c r="K1511" s="29"/>
      <c r="L1511" s="19"/>
      <c r="M1511" s="19"/>
      <c r="N1511" s="30"/>
      <c r="O1511" s="30"/>
      <c r="P1511" s="32"/>
      <c r="Q1511" s="32"/>
      <c r="R1511" s="32"/>
      <c r="S1511" s="32"/>
      <c r="T1511" s="32"/>
      <c r="U1511" s="30"/>
    </row>
    <row r="1512" spans="1:21">
      <c r="A1512" s="29"/>
      <c r="B1512" s="29"/>
      <c r="C1512" s="29"/>
      <c r="D1512" s="29"/>
      <c r="E1512" s="29"/>
      <c r="F1512" s="29"/>
      <c r="G1512" s="29"/>
      <c r="H1512" s="29"/>
      <c r="J1512" s="29"/>
      <c r="K1512" s="29"/>
      <c r="L1512" s="19"/>
      <c r="M1512" s="19"/>
      <c r="N1512" s="30"/>
      <c r="O1512" s="30"/>
      <c r="P1512" s="32"/>
      <c r="Q1512" s="32"/>
      <c r="R1512" s="32"/>
      <c r="S1512" s="32"/>
      <c r="T1512" s="32"/>
      <c r="U1512" s="30"/>
    </row>
    <row r="1513" spans="1:21">
      <c r="A1513" s="29"/>
      <c r="B1513" s="29"/>
      <c r="C1513" s="29"/>
      <c r="D1513" s="29"/>
      <c r="E1513" s="29"/>
      <c r="F1513" s="29"/>
      <c r="G1513" s="29"/>
      <c r="H1513" s="29"/>
      <c r="J1513" s="29"/>
      <c r="K1513" s="29"/>
      <c r="L1513" s="19"/>
      <c r="M1513" s="19"/>
      <c r="N1513" s="30"/>
      <c r="O1513" s="30"/>
      <c r="P1513" s="32"/>
      <c r="Q1513" s="32"/>
      <c r="R1513" s="32"/>
      <c r="S1513" s="32"/>
      <c r="T1513" s="32"/>
      <c r="U1513" s="30"/>
    </row>
    <row r="1514" spans="1:21">
      <c r="A1514" s="29"/>
      <c r="B1514" s="29"/>
      <c r="C1514" s="29"/>
      <c r="D1514" s="29"/>
      <c r="E1514" s="29"/>
      <c r="F1514" s="29"/>
      <c r="G1514" s="29"/>
      <c r="H1514" s="29"/>
      <c r="J1514" s="29"/>
      <c r="K1514" s="29"/>
      <c r="L1514" s="19"/>
      <c r="M1514" s="19"/>
      <c r="N1514" s="30"/>
      <c r="O1514" s="30"/>
      <c r="P1514" s="32"/>
      <c r="Q1514" s="32"/>
      <c r="R1514" s="32"/>
      <c r="S1514" s="32"/>
      <c r="T1514" s="32"/>
      <c r="U1514" s="30"/>
    </row>
    <row r="1515" spans="1:21">
      <c r="A1515" s="29"/>
      <c r="B1515" s="29"/>
      <c r="C1515" s="29"/>
      <c r="D1515" s="29"/>
      <c r="E1515" s="29"/>
      <c r="F1515" s="29"/>
      <c r="G1515" s="29"/>
      <c r="H1515" s="29"/>
      <c r="J1515" s="29"/>
      <c r="K1515" s="29"/>
      <c r="L1515" s="19"/>
      <c r="M1515" s="19"/>
      <c r="N1515" s="30"/>
      <c r="O1515" s="30"/>
      <c r="P1515" s="32"/>
      <c r="Q1515" s="32"/>
      <c r="R1515" s="32"/>
      <c r="S1515" s="32"/>
      <c r="T1515" s="32"/>
      <c r="U1515" s="30"/>
    </row>
    <row r="1516" spans="1:21">
      <c r="A1516" s="29"/>
      <c r="B1516" s="29"/>
      <c r="C1516" s="29"/>
      <c r="D1516" s="29"/>
      <c r="E1516" s="29"/>
      <c r="F1516" s="29"/>
      <c r="G1516" s="29"/>
      <c r="H1516" s="29"/>
      <c r="J1516" s="29"/>
      <c r="K1516" s="29"/>
      <c r="L1516" s="19"/>
      <c r="M1516" s="19"/>
      <c r="N1516" s="30"/>
      <c r="O1516" s="30"/>
      <c r="P1516" s="32"/>
      <c r="Q1516" s="32"/>
      <c r="R1516" s="32"/>
      <c r="S1516" s="32"/>
      <c r="T1516" s="32"/>
      <c r="U1516" s="30"/>
    </row>
    <row r="1517" spans="1:21">
      <c r="A1517" s="29"/>
      <c r="B1517" s="29"/>
      <c r="C1517" s="29"/>
      <c r="D1517" s="29"/>
      <c r="E1517" s="29"/>
      <c r="F1517" s="29"/>
      <c r="G1517" s="29"/>
      <c r="H1517" s="29"/>
      <c r="J1517" s="29"/>
      <c r="K1517" s="29"/>
      <c r="L1517" s="19"/>
      <c r="M1517" s="19"/>
      <c r="N1517" s="30"/>
      <c r="O1517" s="30"/>
      <c r="P1517" s="32"/>
      <c r="Q1517" s="32"/>
      <c r="R1517" s="32"/>
      <c r="S1517" s="32"/>
      <c r="T1517" s="32"/>
      <c r="U1517" s="30"/>
    </row>
    <row r="1518" spans="1:21">
      <c r="A1518" s="29"/>
      <c r="B1518" s="29"/>
      <c r="C1518" s="29"/>
      <c r="D1518" s="29"/>
      <c r="E1518" s="29"/>
      <c r="F1518" s="29"/>
      <c r="G1518" s="29"/>
      <c r="H1518" s="29"/>
      <c r="J1518" s="29"/>
      <c r="K1518" s="29"/>
      <c r="L1518" s="19"/>
      <c r="M1518" s="19"/>
      <c r="N1518" s="30"/>
      <c r="O1518" s="30"/>
      <c r="P1518" s="32"/>
      <c r="Q1518" s="32"/>
      <c r="R1518" s="32"/>
      <c r="S1518" s="32"/>
      <c r="T1518" s="32"/>
      <c r="U1518" s="30"/>
    </row>
    <row r="1519" spans="1:21">
      <c r="A1519" s="29"/>
      <c r="B1519" s="29"/>
      <c r="C1519" s="29"/>
      <c r="D1519" s="29"/>
      <c r="E1519" s="29"/>
      <c r="F1519" s="29"/>
      <c r="G1519" s="29"/>
      <c r="H1519" s="29"/>
      <c r="J1519" s="29"/>
      <c r="K1519" s="29"/>
      <c r="L1519" s="19"/>
      <c r="M1519" s="19"/>
      <c r="N1519" s="30"/>
      <c r="O1519" s="30"/>
      <c r="P1519" s="32"/>
      <c r="Q1519" s="32"/>
      <c r="R1519" s="32"/>
      <c r="S1519" s="32"/>
      <c r="T1519" s="32"/>
      <c r="U1519" s="30"/>
    </row>
    <row r="1520" spans="1:21">
      <c r="A1520" s="29"/>
      <c r="B1520" s="29"/>
      <c r="C1520" s="29"/>
      <c r="D1520" s="29"/>
      <c r="E1520" s="29"/>
      <c r="F1520" s="29"/>
      <c r="G1520" s="29"/>
      <c r="H1520" s="29"/>
      <c r="J1520" s="29"/>
      <c r="K1520" s="29"/>
      <c r="L1520" s="19"/>
      <c r="M1520" s="19"/>
      <c r="N1520" s="30"/>
      <c r="O1520" s="30"/>
      <c r="P1520" s="32"/>
      <c r="Q1520" s="32"/>
      <c r="R1520" s="32"/>
      <c r="S1520" s="32"/>
      <c r="T1520" s="32"/>
      <c r="U1520" s="30"/>
    </row>
    <row r="1521" spans="1:21">
      <c r="A1521" s="29"/>
      <c r="B1521" s="29"/>
      <c r="C1521" s="29"/>
      <c r="D1521" s="29"/>
      <c r="E1521" s="29"/>
      <c r="F1521" s="29"/>
      <c r="G1521" s="29"/>
      <c r="H1521" s="29"/>
      <c r="J1521" s="29"/>
      <c r="K1521" s="29"/>
      <c r="L1521" s="19"/>
      <c r="M1521" s="19"/>
      <c r="N1521" s="30"/>
      <c r="O1521" s="30"/>
      <c r="P1521" s="32"/>
      <c r="Q1521" s="32"/>
      <c r="R1521" s="32"/>
      <c r="S1521" s="32"/>
      <c r="T1521" s="32"/>
      <c r="U1521" s="30"/>
    </row>
    <row r="1522" spans="1:21">
      <c r="A1522" s="29"/>
      <c r="B1522" s="29"/>
      <c r="C1522" s="29"/>
      <c r="D1522" s="29"/>
      <c r="E1522" s="29"/>
      <c r="F1522" s="29"/>
      <c r="G1522" s="29"/>
      <c r="H1522" s="29"/>
      <c r="J1522" s="29"/>
      <c r="K1522" s="29"/>
      <c r="L1522" s="19"/>
      <c r="M1522" s="19"/>
      <c r="N1522" s="30"/>
      <c r="O1522" s="30"/>
      <c r="P1522" s="32"/>
      <c r="Q1522" s="32"/>
      <c r="R1522" s="32"/>
      <c r="S1522" s="32"/>
      <c r="T1522" s="32"/>
      <c r="U1522" s="30"/>
    </row>
    <row r="1523" spans="1:21">
      <c r="A1523" s="29"/>
      <c r="B1523" s="29"/>
      <c r="C1523" s="29"/>
      <c r="D1523" s="29"/>
      <c r="E1523" s="29"/>
      <c r="F1523" s="29"/>
      <c r="G1523" s="29"/>
      <c r="H1523" s="29"/>
      <c r="J1523" s="29"/>
      <c r="K1523" s="29"/>
      <c r="L1523" s="19"/>
      <c r="M1523" s="19"/>
      <c r="N1523" s="30"/>
      <c r="O1523" s="30"/>
      <c r="P1523" s="32"/>
      <c r="Q1523" s="32"/>
      <c r="R1523" s="32"/>
      <c r="S1523" s="32"/>
      <c r="T1523" s="32"/>
      <c r="U1523" s="30"/>
    </row>
    <row r="1524" spans="1:21">
      <c r="A1524" s="29"/>
      <c r="B1524" s="29"/>
      <c r="C1524" s="29"/>
      <c r="D1524" s="29"/>
      <c r="E1524" s="29"/>
      <c r="F1524" s="29"/>
      <c r="G1524" s="29"/>
      <c r="H1524" s="29"/>
      <c r="J1524" s="29"/>
      <c r="K1524" s="29"/>
      <c r="L1524" s="19"/>
      <c r="M1524" s="19"/>
      <c r="N1524" s="30"/>
      <c r="O1524" s="30"/>
      <c r="P1524" s="32"/>
      <c r="Q1524" s="32"/>
      <c r="R1524" s="32"/>
      <c r="S1524" s="32"/>
      <c r="T1524" s="32"/>
      <c r="U1524" s="30"/>
    </row>
    <row r="1525" spans="1:21">
      <c r="A1525" s="29"/>
      <c r="B1525" s="29"/>
      <c r="C1525" s="29"/>
      <c r="D1525" s="29"/>
      <c r="E1525" s="29"/>
      <c r="F1525" s="29"/>
      <c r="G1525" s="29"/>
      <c r="H1525" s="29"/>
      <c r="J1525" s="29"/>
      <c r="K1525" s="29"/>
      <c r="L1525" s="19"/>
      <c r="M1525" s="19"/>
      <c r="N1525" s="30"/>
      <c r="O1525" s="30"/>
      <c r="P1525" s="32"/>
      <c r="Q1525" s="32"/>
      <c r="R1525" s="32"/>
      <c r="S1525" s="32"/>
      <c r="T1525" s="32"/>
      <c r="U1525" s="30"/>
    </row>
    <row r="1526" spans="1:21">
      <c r="A1526" s="29"/>
      <c r="B1526" s="29"/>
      <c r="C1526" s="29"/>
      <c r="D1526" s="29"/>
      <c r="E1526" s="29"/>
      <c r="F1526" s="29"/>
      <c r="G1526" s="29"/>
      <c r="H1526" s="29"/>
      <c r="J1526" s="29"/>
      <c r="K1526" s="29"/>
      <c r="L1526" s="19"/>
      <c r="M1526" s="19"/>
      <c r="N1526" s="30"/>
      <c r="O1526" s="30"/>
      <c r="P1526" s="32"/>
      <c r="Q1526" s="32"/>
      <c r="R1526" s="32"/>
      <c r="S1526" s="32"/>
      <c r="T1526" s="32"/>
      <c r="U1526" s="30"/>
    </row>
    <row r="1527" spans="1:21">
      <c r="A1527" s="29"/>
      <c r="B1527" s="29"/>
      <c r="C1527" s="29"/>
      <c r="D1527" s="29"/>
      <c r="E1527" s="29"/>
      <c r="F1527" s="29"/>
      <c r="G1527" s="29"/>
      <c r="H1527" s="29"/>
      <c r="J1527" s="29"/>
      <c r="K1527" s="29"/>
      <c r="L1527" s="19"/>
      <c r="M1527" s="19"/>
      <c r="N1527" s="30"/>
      <c r="O1527" s="30"/>
      <c r="P1527" s="32"/>
      <c r="Q1527" s="32"/>
      <c r="R1527" s="32"/>
      <c r="S1527" s="32"/>
      <c r="T1527" s="32"/>
      <c r="U1527" s="30"/>
    </row>
    <row r="1528" spans="1:21">
      <c r="A1528" s="29"/>
      <c r="B1528" s="29"/>
      <c r="C1528" s="29"/>
      <c r="D1528" s="29"/>
      <c r="E1528" s="29"/>
      <c r="F1528" s="29"/>
      <c r="G1528" s="29"/>
      <c r="H1528" s="29"/>
      <c r="J1528" s="29"/>
      <c r="K1528" s="29"/>
      <c r="L1528" s="19"/>
      <c r="M1528" s="19"/>
      <c r="N1528" s="30"/>
      <c r="O1528" s="30"/>
      <c r="P1528" s="32"/>
      <c r="Q1528" s="32"/>
      <c r="R1528" s="32"/>
      <c r="S1528" s="32"/>
      <c r="T1528" s="32"/>
      <c r="U1528" s="30"/>
    </row>
    <row r="1529" spans="1:21">
      <c r="A1529" s="29"/>
      <c r="B1529" s="29"/>
      <c r="C1529" s="29"/>
      <c r="D1529" s="29"/>
      <c r="E1529" s="29"/>
      <c r="F1529" s="29"/>
      <c r="G1529" s="29"/>
      <c r="H1529" s="29"/>
      <c r="J1529" s="29"/>
      <c r="K1529" s="29"/>
      <c r="L1529" s="19"/>
      <c r="M1529" s="19"/>
      <c r="N1529" s="30"/>
      <c r="O1529" s="30"/>
      <c r="P1529" s="32"/>
      <c r="Q1529" s="32"/>
      <c r="R1529" s="32"/>
      <c r="S1529" s="32"/>
      <c r="T1529" s="32"/>
      <c r="U1529" s="30"/>
    </row>
    <row r="1530" spans="1:21">
      <c r="A1530" s="29"/>
      <c r="B1530" s="29"/>
      <c r="C1530" s="29"/>
      <c r="D1530" s="29"/>
      <c r="E1530" s="29"/>
      <c r="F1530" s="29"/>
      <c r="G1530" s="29"/>
      <c r="H1530" s="29"/>
      <c r="J1530" s="29"/>
      <c r="K1530" s="29"/>
      <c r="L1530" s="19"/>
      <c r="M1530" s="19"/>
      <c r="N1530" s="30"/>
      <c r="O1530" s="30"/>
      <c r="P1530" s="32"/>
      <c r="Q1530" s="32"/>
      <c r="R1530" s="32"/>
      <c r="S1530" s="32"/>
      <c r="T1530" s="32"/>
      <c r="U1530" s="30"/>
    </row>
    <row r="1531" spans="1:21">
      <c r="A1531" s="29"/>
      <c r="B1531" s="29"/>
      <c r="C1531" s="29"/>
      <c r="D1531" s="29"/>
      <c r="E1531" s="29"/>
      <c r="F1531" s="29"/>
      <c r="G1531" s="29"/>
      <c r="H1531" s="29"/>
      <c r="J1531" s="29"/>
      <c r="K1531" s="29"/>
      <c r="L1531" s="19"/>
      <c r="M1531" s="19"/>
      <c r="N1531" s="30"/>
      <c r="O1531" s="30"/>
      <c r="P1531" s="32"/>
      <c r="Q1531" s="32"/>
      <c r="R1531" s="32"/>
      <c r="S1531" s="32"/>
      <c r="T1531" s="32"/>
      <c r="U1531" s="30"/>
    </row>
    <row r="1532" spans="1:21">
      <c r="A1532" s="29"/>
      <c r="B1532" s="29"/>
      <c r="C1532" s="29"/>
      <c r="D1532" s="29"/>
      <c r="E1532" s="29"/>
      <c r="F1532" s="29"/>
      <c r="G1532" s="29"/>
      <c r="H1532" s="29"/>
      <c r="J1532" s="29"/>
      <c r="K1532" s="29"/>
      <c r="L1532" s="19"/>
      <c r="M1532" s="19"/>
      <c r="N1532" s="30"/>
      <c r="O1532" s="30"/>
      <c r="P1532" s="32"/>
      <c r="Q1532" s="32"/>
      <c r="R1532" s="32"/>
      <c r="S1532" s="32"/>
      <c r="T1532" s="32"/>
      <c r="U1532" s="30"/>
    </row>
    <row r="1533" spans="1:21">
      <c r="A1533" s="29"/>
      <c r="B1533" s="29"/>
      <c r="C1533" s="29"/>
      <c r="D1533" s="29"/>
      <c r="E1533" s="29"/>
      <c r="F1533" s="29"/>
      <c r="G1533" s="29"/>
      <c r="H1533" s="29"/>
      <c r="J1533" s="29"/>
      <c r="K1533" s="29"/>
      <c r="L1533" s="19"/>
      <c r="M1533" s="19"/>
      <c r="N1533" s="30"/>
      <c r="O1533" s="30"/>
      <c r="P1533" s="32"/>
      <c r="Q1533" s="32"/>
      <c r="R1533" s="32"/>
      <c r="S1533" s="32"/>
      <c r="T1533" s="32"/>
      <c r="U1533" s="30"/>
    </row>
    <row r="1534" spans="1:21">
      <c r="A1534" s="29"/>
      <c r="B1534" s="29"/>
      <c r="C1534" s="29"/>
      <c r="D1534" s="29"/>
      <c r="E1534" s="29"/>
      <c r="F1534" s="29"/>
      <c r="G1534" s="29"/>
      <c r="H1534" s="29"/>
      <c r="J1534" s="29"/>
      <c r="K1534" s="29"/>
      <c r="L1534" s="19"/>
      <c r="M1534" s="19"/>
      <c r="N1534" s="30"/>
      <c r="O1534" s="30"/>
      <c r="P1534" s="32"/>
      <c r="Q1534" s="32"/>
      <c r="R1534" s="32"/>
      <c r="S1534" s="32"/>
      <c r="T1534" s="32"/>
      <c r="U1534" s="30"/>
    </row>
    <row r="1535" spans="1:21">
      <c r="A1535" s="29"/>
      <c r="B1535" s="29"/>
      <c r="C1535" s="29"/>
      <c r="D1535" s="29"/>
      <c r="E1535" s="29"/>
      <c r="F1535" s="29"/>
      <c r="G1535" s="29"/>
      <c r="H1535" s="29"/>
      <c r="J1535" s="29"/>
      <c r="K1535" s="29"/>
      <c r="L1535" s="19"/>
      <c r="M1535" s="19"/>
      <c r="N1535" s="30"/>
      <c r="O1535" s="30"/>
      <c r="P1535" s="32"/>
      <c r="Q1535" s="32"/>
      <c r="R1535" s="32"/>
      <c r="S1535" s="32"/>
      <c r="T1535" s="32"/>
      <c r="U1535" s="30"/>
    </row>
    <row r="1536" spans="1:21">
      <c r="A1536" s="29"/>
      <c r="B1536" s="29"/>
      <c r="C1536" s="29"/>
      <c r="D1536" s="29"/>
      <c r="E1536" s="29"/>
      <c r="F1536" s="29"/>
      <c r="G1536" s="29"/>
      <c r="H1536" s="29"/>
      <c r="J1536" s="29"/>
      <c r="K1536" s="29"/>
      <c r="L1536" s="19"/>
      <c r="M1536" s="19"/>
      <c r="N1536" s="30"/>
      <c r="O1536" s="30"/>
      <c r="P1536" s="32"/>
      <c r="Q1536" s="32"/>
      <c r="R1536" s="32"/>
      <c r="S1536" s="32"/>
      <c r="T1536" s="32"/>
      <c r="U1536" s="30"/>
    </row>
    <row r="1537" spans="1:21">
      <c r="A1537" s="29"/>
      <c r="B1537" s="29"/>
      <c r="C1537" s="29"/>
      <c r="D1537" s="29"/>
      <c r="E1537" s="29"/>
      <c r="F1537" s="29"/>
      <c r="G1537" s="29"/>
      <c r="H1537" s="29"/>
      <c r="J1537" s="29"/>
      <c r="K1537" s="29"/>
      <c r="L1537" s="19"/>
      <c r="M1537" s="19"/>
      <c r="N1537" s="30"/>
      <c r="O1537" s="30"/>
      <c r="P1537" s="32"/>
      <c r="Q1537" s="32"/>
      <c r="R1537" s="32"/>
      <c r="S1537" s="32"/>
      <c r="T1537" s="32"/>
      <c r="U1537" s="30"/>
    </row>
    <row r="1538" spans="1:21">
      <c r="A1538" s="29"/>
      <c r="B1538" s="29"/>
      <c r="C1538" s="29"/>
      <c r="D1538" s="29"/>
      <c r="E1538" s="29"/>
      <c r="F1538" s="29"/>
      <c r="G1538" s="29"/>
      <c r="H1538" s="29"/>
      <c r="J1538" s="29"/>
      <c r="K1538" s="29"/>
      <c r="L1538" s="19"/>
      <c r="M1538" s="19"/>
      <c r="N1538" s="30"/>
      <c r="O1538" s="30"/>
      <c r="P1538" s="32"/>
      <c r="Q1538" s="32"/>
      <c r="R1538" s="32"/>
      <c r="S1538" s="32"/>
      <c r="T1538" s="32"/>
      <c r="U1538" s="30"/>
    </row>
    <row r="1539" spans="1:21">
      <c r="A1539" s="29"/>
      <c r="B1539" s="29"/>
      <c r="C1539" s="29"/>
      <c r="D1539" s="29"/>
      <c r="E1539" s="29"/>
      <c r="F1539" s="29"/>
      <c r="G1539" s="29"/>
      <c r="H1539" s="29"/>
      <c r="J1539" s="29"/>
      <c r="K1539" s="29"/>
      <c r="L1539" s="19"/>
      <c r="M1539" s="19"/>
      <c r="N1539" s="30"/>
      <c r="O1539" s="30"/>
      <c r="P1539" s="32"/>
      <c r="Q1539" s="32"/>
      <c r="R1539" s="32"/>
      <c r="S1539" s="32"/>
      <c r="T1539" s="32"/>
      <c r="U1539" s="30"/>
    </row>
    <row r="1540" spans="1:21">
      <c r="A1540" s="29"/>
      <c r="B1540" s="29"/>
      <c r="C1540" s="29"/>
      <c r="D1540" s="29"/>
      <c r="E1540" s="29"/>
      <c r="F1540" s="29"/>
      <c r="G1540" s="29"/>
      <c r="H1540" s="29"/>
      <c r="J1540" s="29"/>
      <c r="K1540" s="29"/>
      <c r="L1540" s="19"/>
      <c r="M1540" s="19"/>
      <c r="N1540" s="30"/>
      <c r="O1540" s="30"/>
      <c r="P1540" s="32"/>
      <c r="Q1540" s="32"/>
      <c r="R1540" s="32"/>
      <c r="S1540" s="32"/>
      <c r="T1540" s="32"/>
      <c r="U1540" s="30"/>
    </row>
    <row r="1541" spans="1:21">
      <c r="A1541" s="29"/>
      <c r="B1541" s="29"/>
      <c r="C1541" s="29"/>
      <c r="D1541" s="29"/>
      <c r="E1541" s="29"/>
      <c r="F1541" s="29"/>
      <c r="G1541" s="29"/>
      <c r="H1541" s="29"/>
      <c r="J1541" s="29"/>
      <c r="K1541" s="29"/>
      <c r="L1541" s="19"/>
      <c r="M1541" s="19"/>
      <c r="N1541" s="30"/>
      <c r="O1541" s="30"/>
      <c r="P1541" s="32"/>
      <c r="Q1541" s="32"/>
      <c r="R1541" s="32"/>
      <c r="S1541" s="32"/>
      <c r="T1541" s="32"/>
      <c r="U1541" s="30"/>
    </row>
    <row r="1542" spans="1:21">
      <c r="A1542" s="29"/>
      <c r="B1542" s="29"/>
      <c r="C1542" s="29"/>
      <c r="D1542" s="29"/>
      <c r="E1542" s="29"/>
      <c r="F1542" s="29"/>
      <c r="G1542" s="29"/>
      <c r="H1542" s="29"/>
      <c r="J1542" s="29"/>
      <c r="K1542" s="29"/>
      <c r="L1542" s="19"/>
      <c r="M1542" s="19"/>
      <c r="N1542" s="30"/>
      <c r="O1542" s="30"/>
      <c r="P1542" s="32"/>
      <c r="Q1542" s="32"/>
      <c r="R1542" s="32"/>
      <c r="S1542" s="32"/>
      <c r="T1542" s="32"/>
      <c r="U1542" s="30"/>
    </row>
    <row r="1543" spans="1:21">
      <c r="A1543" s="29"/>
      <c r="B1543" s="29"/>
      <c r="C1543" s="29"/>
      <c r="D1543" s="29"/>
      <c r="E1543" s="29"/>
      <c r="F1543" s="29"/>
      <c r="G1543" s="29"/>
      <c r="H1543" s="29"/>
      <c r="J1543" s="29"/>
      <c r="K1543" s="29"/>
      <c r="L1543" s="19"/>
      <c r="M1543" s="19"/>
      <c r="N1543" s="30"/>
      <c r="O1543" s="30"/>
      <c r="P1543" s="32"/>
      <c r="Q1543" s="32"/>
      <c r="R1543" s="32"/>
      <c r="S1543" s="32"/>
      <c r="T1543" s="32"/>
      <c r="U1543" s="30"/>
    </row>
    <row r="1544" spans="1:21">
      <c r="A1544" s="29"/>
      <c r="B1544" s="29"/>
      <c r="C1544" s="29"/>
      <c r="D1544" s="29"/>
      <c r="E1544" s="29"/>
      <c r="F1544" s="29"/>
      <c r="G1544" s="29"/>
      <c r="H1544" s="29"/>
      <c r="J1544" s="29"/>
      <c r="K1544" s="29"/>
      <c r="L1544" s="19"/>
      <c r="M1544" s="19"/>
      <c r="N1544" s="30"/>
      <c r="O1544" s="30"/>
      <c r="P1544" s="32"/>
      <c r="Q1544" s="32"/>
      <c r="R1544" s="32"/>
      <c r="S1544" s="32"/>
      <c r="T1544" s="32"/>
      <c r="U1544" s="30"/>
    </row>
    <row r="1545" spans="1:21">
      <c r="A1545" s="29"/>
      <c r="B1545" s="29"/>
      <c r="C1545" s="29"/>
      <c r="D1545" s="29"/>
      <c r="E1545" s="29"/>
      <c r="F1545" s="29"/>
      <c r="G1545" s="29"/>
      <c r="H1545" s="29"/>
      <c r="J1545" s="29"/>
      <c r="K1545" s="29"/>
      <c r="L1545" s="19"/>
      <c r="M1545" s="19"/>
      <c r="N1545" s="30"/>
      <c r="O1545" s="30"/>
      <c r="P1545" s="32"/>
      <c r="Q1545" s="32"/>
      <c r="R1545" s="32"/>
      <c r="S1545" s="32"/>
      <c r="T1545" s="32"/>
      <c r="U1545" s="30"/>
    </row>
    <row r="1546" spans="1:21">
      <c r="A1546" s="29"/>
      <c r="B1546" s="29"/>
      <c r="C1546" s="29"/>
      <c r="D1546" s="29"/>
      <c r="E1546" s="29"/>
      <c r="F1546" s="29"/>
      <c r="G1546" s="29"/>
      <c r="H1546" s="29"/>
      <c r="J1546" s="29"/>
      <c r="K1546" s="29"/>
      <c r="L1546" s="19"/>
      <c r="M1546" s="19"/>
      <c r="N1546" s="30"/>
      <c r="O1546" s="30"/>
      <c r="P1546" s="32"/>
      <c r="Q1546" s="32"/>
      <c r="R1546" s="32"/>
      <c r="S1546" s="32"/>
      <c r="T1546" s="32"/>
      <c r="U1546" s="30"/>
    </row>
    <row r="1547" spans="1:21">
      <c r="A1547" s="29"/>
      <c r="B1547" s="29"/>
      <c r="C1547" s="29"/>
      <c r="D1547" s="29"/>
      <c r="E1547" s="29"/>
      <c r="F1547" s="29"/>
      <c r="G1547" s="29"/>
      <c r="H1547" s="29"/>
      <c r="J1547" s="29"/>
      <c r="K1547" s="29"/>
      <c r="L1547" s="19"/>
      <c r="M1547" s="19"/>
      <c r="N1547" s="30"/>
      <c r="O1547" s="30"/>
      <c r="P1547" s="32"/>
      <c r="Q1547" s="32"/>
      <c r="R1547" s="32"/>
      <c r="S1547" s="32"/>
      <c r="T1547" s="32"/>
      <c r="U1547" s="30"/>
    </row>
    <row r="1548" spans="1:21">
      <c r="A1548" s="29"/>
      <c r="B1548" s="29"/>
      <c r="C1548" s="29"/>
      <c r="D1548" s="29"/>
      <c r="E1548" s="29"/>
      <c r="F1548" s="29"/>
      <c r="G1548" s="29"/>
      <c r="H1548" s="29"/>
      <c r="J1548" s="29"/>
      <c r="K1548" s="29"/>
      <c r="L1548" s="19"/>
      <c r="M1548" s="19"/>
      <c r="N1548" s="30"/>
      <c r="O1548" s="30"/>
      <c r="P1548" s="32"/>
      <c r="Q1548" s="32"/>
      <c r="R1548" s="32"/>
      <c r="S1548" s="32"/>
      <c r="T1548" s="32"/>
      <c r="U1548" s="30"/>
    </row>
    <row r="1549" spans="1:21">
      <c r="A1549" s="29"/>
      <c r="B1549" s="29"/>
      <c r="C1549" s="29"/>
      <c r="D1549" s="29"/>
      <c r="E1549" s="29"/>
      <c r="F1549" s="29"/>
      <c r="G1549" s="29"/>
      <c r="H1549" s="29"/>
      <c r="J1549" s="29"/>
      <c r="K1549" s="29"/>
      <c r="L1549" s="19"/>
      <c r="M1549" s="19"/>
      <c r="N1549" s="30"/>
      <c r="O1549" s="30"/>
      <c r="P1549" s="32"/>
      <c r="Q1549" s="32"/>
      <c r="R1549" s="32"/>
      <c r="S1549" s="32"/>
      <c r="T1549" s="32"/>
      <c r="U1549" s="30"/>
    </row>
    <row r="1550" spans="1:21">
      <c r="A1550" s="29"/>
      <c r="B1550" s="29"/>
      <c r="C1550" s="29"/>
      <c r="D1550" s="29"/>
      <c r="E1550" s="29"/>
      <c r="F1550" s="29"/>
      <c r="G1550" s="29"/>
      <c r="H1550" s="29"/>
      <c r="J1550" s="29"/>
      <c r="K1550" s="29"/>
      <c r="L1550" s="19"/>
      <c r="M1550" s="19"/>
      <c r="N1550" s="30"/>
      <c r="O1550" s="30"/>
      <c r="P1550" s="32"/>
      <c r="Q1550" s="32"/>
      <c r="R1550" s="32"/>
      <c r="S1550" s="32"/>
      <c r="T1550" s="32"/>
      <c r="U1550" s="30"/>
    </row>
    <row r="1551" spans="1:21">
      <c r="A1551" s="29"/>
      <c r="B1551" s="29"/>
      <c r="C1551" s="29"/>
      <c r="D1551" s="29"/>
      <c r="E1551" s="29"/>
      <c r="F1551" s="29"/>
      <c r="G1551" s="29"/>
      <c r="H1551" s="29"/>
      <c r="J1551" s="29"/>
      <c r="K1551" s="29"/>
      <c r="L1551" s="19"/>
      <c r="M1551" s="19"/>
      <c r="N1551" s="30"/>
      <c r="O1551" s="30"/>
      <c r="P1551" s="32"/>
      <c r="Q1551" s="32"/>
      <c r="R1551" s="32"/>
      <c r="S1551" s="32"/>
      <c r="T1551" s="32"/>
      <c r="U1551" s="30"/>
    </row>
    <row r="1552" spans="1:21">
      <c r="A1552" s="29"/>
      <c r="B1552" s="29"/>
      <c r="C1552" s="29"/>
      <c r="D1552" s="29"/>
      <c r="E1552" s="29"/>
      <c r="F1552" s="29"/>
      <c r="G1552" s="29"/>
      <c r="H1552" s="29"/>
      <c r="J1552" s="29"/>
      <c r="K1552" s="29"/>
      <c r="L1552" s="19"/>
      <c r="M1552" s="19"/>
      <c r="N1552" s="30"/>
      <c r="O1552" s="30"/>
      <c r="P1552" s="32"/>
      <c r="Q1552" s="32"/>
      <c r="R1552" s="32"/>
      <c r="S1552" s="32"/>
      <c r="T1552" s="32"/>
      <c r="U1552" s="30"/>
    </row>
    <row r="1553" spans="1:21">
      <c r="A1553" s="29"/>
      <c r="B1553" s="29"/>
      <c r="C1553" s="29"/>
      <c r="D1553" s="29"/>
      <c r="E1553" s="29"/>
      <c r="F1553" s="29"/>
      <c r="G1553" s="29"/>
      <c r="H1553" s="29"/>
      <c r="J1553" s="29"/>
      <c r="K1553" s="29"/>
      <c r="L1553" s="19"/>
      <c r="M1553" s="19"/>
      <c r="N1553" s="30"/>
      <c r="O1553" s="30"/>
      <c r="P1553" s="32"/>
      <c r="Q1553" s="32"/>
      <c r="R1553" s="32"/>
      <c r="S1553" s="32"/>
      <c r="T1553" s="32"/>
      <c r="U1553" s="30"/>
    </row>
    <row r="1554" spans="1:21">
      <c r="A1554" s="29"/>
      <c r="B1554" s="29"/>
      <c r="C1554" s="29"/>
      <c r="D1554" s="29"/>
      <c r="E1554" s="29"/>
      <c r="F1554" s="29"/>
      <c r="G1554" s="29"/>
      <c r="H1554" s="29"/>
      <c r="J1554" s="29"/>
      <c r="K1554" s="29"/>
      <c r="L1554" s="19"/>
      <c r="M1554" s="19"/>
      <c r="N1554" s="30"/>
      <c r="O1554" s="30"/>
      <c r="P1554" s="32"/>
      <c r="Q1554" s="32"/>
      <c r="R1554" s="32"/>
      <c r="S1554" s="32"/>
      <c r="T1554" s="32"/>
      <c r="U1554" s="30"/>
    </row>
    <row r="1555" spans="1:21">
      <c r="A1555" s="29"/>
      <c r="B1555" s="29"/>
      <c r="C1555" s="29"/>
      <c r="D1555" s="29"/>
      <c r="E1555" s="29"/>
      <c r="F1555" s="29"/>
      <c r="G1555" s="29"/>
      <c r="H1555" s="29"/>
      <c r="J1555" s="29"/>
      <c r="K1555" s="29"/>
      <c r="L1555" s="19"/>
      <c r="M1555" s="19"/>
      <c r="N1555" s="30"/>
      <c r="O1555" s="30"/>
      <c r="P1555" s="32"/>
      <c r="Q1555" s="32"/>
      <c r="R1555" s="32"/>
      <c r="S1555" s="32"/>
      <c r="T1555" s="32"/>
      <c r="U1555" s="30"/>
    </row>
    <row r="1556" spans="1:21">
      <c r="A1556" s="29"/>
      <c r="B1556" s="29"/>
      <c r="C1556" s="29"/>
      <c r="D1556" s="29"/>
      <c r="E1556" s="29"/>
      <c r="F1556" s="29"/>
      <c r="G1556" s="29"/>
      <c r="H1556" s="29"/>
      <c r="J1556" s="29"/>
      <c r="K1556" s="29"/>
      <c r="L1556" s="19"/>
      <c r="M1556" s="19"/>
      <c r="N1556" s="30"/>
      <c r="O1556" s="30"/>
      <c r="P1556" s="32"/>
      <c r="Q1556" s="32"/>
      <c r="R1556" s="32"/>
      <c r="S1556" s="32"/>
      <c r="T1556" s="32"/>
      <c r="U1556" s="30"/>
    </row>
    <row r="1557" spans="1:21">
      <c r="A1557" s="29"/>
      <c r="B1557" s="29"/>
      <c r="C1557" s="29"/>
      <c r="D1557" s="29"/>
      <c r="E1557" s="29"/>
      <c r="F1557" s="29"/>
      <c r="G1557" s="29"/>
      <c r="H1557" s="29"/>
      <c r="J1557" s="29"/>
      <c r="K1557" s="29"/>
      <c r="L1557" s="19"/>
      <c r="M1557" s="19"/>
      <c r="N1557" s="30"/>
      <c r="O1557" s="30"/>
      <c r="P1557" s="32"/>
      <c r="Q1557" s="32"/>
      <c r="R1557" s="32"/>
      <c r="S1557" s="32"/>
      <c r="T1557" s="32"/>
      <c r="U1557" s="30"/>
    </row>
    <row r="1558" spans="1:21">
      <c r="A1558" s="29"/>
      <c r="B1558" s="29"/>
      <c r="C1558" s="29"/>
      <c r="D1558" s="29"/>
      <c r="E1558" s="29"/>
      <c r="F1558" s="29"/>
      <c r="G1558" s="29"/>
      <c r="H1558" s="29"/>
      <c r="J1558" s="29"/>
      <c r="K1558" s="29"/>
      <c r="L1558" s="19"/>
      <c r="M1558" s="19"/>
      <c r="N1558" s="30"/>
      <c r="O1558" s="30"/>
      <c r="P1558" s="32"/>
      <c r="Q1558" s="32"/>
      <c r="R1558" s="32"/>
      <c r="S1558" s="32"/>
      <c r="T1558" s="32"/>
      <c r="U1558" s="30"/>
    </row>
    <row r="1559" spans="1:21">
      <c r="A1559" s="29"/>
      <c r="B1559" s="29"/>
      <c r="C1559" s="29"/>
      <c r="D1559" s="29"/>
      <c r="E1559" s="29"/>
      <c r="F1559" s="29"/>
      <c r="G1559" s="29"/>
      <c r="H1559" s="29"/>
      <c r="J1559" s="29"/>
      <c r="K1559" s="29"/>
      <c r="L1559" s="19"/>
      <c r="M1559" s="19"/>
      <c r="N1559" s="30"/>
      <c r="O1559" s="30"/>
      <c r="P1559" s="32"/>
      <c r="Q1559" s="32"/>
      <c r="R1559" s="32"/>
      <c r="S1559" s="32"/>
      <c r="T1559" s="32"/>
      <c r="U1559" s="30"/>
    </row>
    <row r="1560" spans="1:21">
      <c r="A1560" s="29"/>
      <c r="B1560" s="29"/>
      <c r="C1560" s="29"/>
      <c r="D1560" s="29"/>
      <c r="E1560" s="29"/>
      <c r="F1560" s="29"/>
      <c r="G1560" s="29"/>
      <c r="H1560" s="29"/>
      <c r="J1560" s="29"/>
      <c r="K1560" s="29"/>
      <c r="L1560" s="19"/>
      <c r="M1560" s="19"/>
      <c r="N1560" s="30"/>
      <c r="O1560" s="30"/>
      <c r="P1560" s="32"/>
      <c r="Q1560" s="32"/>
      <c r="R1560" s="32"/>
      <c r="S1560" s="32"/>
      <c r="T1560" s="32"/>
      <c r="U1560" s="30"/>
    </row>
    <row r="1561" spans="1:21">
      <c r="A1561" s="29"/>
      <c r="B1561" s="29"/>
      <c r="C1561" s="29"/>
      <c r="D1561" s="29"/>
      <c r="E1561" s="29"/>
      <c r="F1561" s="29"/>
      <c r="G1561" s="29"/>
      <c r="H1561" s="29"/>
      <c r="J1561" s="29"/>
      <c r="K1561" s="29"/>
      <c r="L1561" s="19"/>
      <c r="M1561" s="19"/>
      <c r="N1561" s="30"/>
      <c r="O1561" s="30"/>
      <c r="P1561" s="32"/>
      <c r="Q1561" s="32"/>
      <c r="R1561" s="32"/>
      <c r="S1561" s="32"/>
      <c r="T1561" s="32"/>
      <c r="U1561" s="30"/>
    </row>
    <row r="1562" spans="1:21">
      <c r="A1562" s="29"/>
      <c r="B1562" s="29"/>
      <c r="C1562" s="29"/>
      <c r="D1562" s="29"/>
      <c r="E1562" s="29"/>
      <c r="F1562" s="29"/>
      <c r="G1562" s="29"/>
      <c r="H1562" s="29"/>
      <c r="J1562" s="29"/>
      <c r="K1562" s="29"/>
      <c r="L1562" s="19"/>
      <c r="M1562" s="19"/>
      <c r="N1562" s="30"/>
      <c r="O1562" s="30"/>
      <c r="P1562" s="32"/>
      <c r="Q1562" s="32"/>
      <c r="R1562" s="32"/>
      <c r="S1562" s="32"/>
      <c r="T1562" s="32"/>
      <c r="U1562" s="30"/>
    </row>
    <row r="1563" spans="1:21">
      <c r="A1563" s="29"/>
      <c r="B1563" s="29"/>
      <c r="C1563" s="29"/>
      <c r="D1563" s="29"/>
      <c r="E1563" s="29"/>
      <c r="F1563" s="29"/>
      <c r="G1563" s="29"/>
      <c r="H1563" s="29"/>
      <c r="J1563" s="29"/>
      <c r="K1563" s="29"/>
      <c r="L1563" s="19"/>
      <c r="M1563" s="19"/>
      <c r="N1563" s="30"/>
      <c r="O1563" s="30"/>
      <c r="P1563" s="32"/>
      <c r="Q1563" s="32"/>
      <c r="R1563" s="32"/>
      <c r="S1563" s="32"/>
      <c r="T1563" s="32"/>
      <c r="U1563" s="30"/>
    </row>
    <row r="1564" spans="1:21">
      <c r="A1564" s="29"/>
      <c r="B1564" s="29"/>
      <c r="C1564" s="29"/>
      <c r="D1564" s="29"/>
      <c r="E1564" s="29"/>
      <c r="F1564" s="29"/>
      <c r="G1564" s="29"/>
      <c r="H1564" s="29"/>
      <c r="J1564" s="29"/>
      <c r="K1564" s="29"/>
      <c r="L1564" s="19"/>
      <c r="M1564" s="19"/>
      <c r="N1564" s="30"/>
      <c r="O1564" s="30"/>
      <c r="P1564" s="32"/>
      <c r="Q1564" s="32"/>
      <c r="R1564" s="32"/>
      <c r="S1564" s="32"/>
      <c r="T1564" s="32"/>
      <c r="U1564" s="30"/>
    </row>
    <row r="1565" spans="1:21">
      <c r="A1565" s="29"/>
      <c r="B1565" s="29"/>
      <c r="C1565" s="29"/>
      <c r="D1565" s="29"/>
      <c r="E1565" s="29"/>
      <c r="F1565" s="29"/>
      <c r="G1565" s="29"/>
      <c r="H1565" s="29"/>
      <c r="J1565" s="29"/>
      <c r="K1565" s="29"/>
      <c r="L1565" s="19"/>
      <c r="M1565" s="19"/>
      <c r="N1565" s="30"/>
      <c r="O1565" s="30"/>
      <c r="P1565" s="32"/>
      <c r="Q1565" s="32"/>
      <c r="R1565" s="32"/>
      <c r="S1565" s="32"/>
      <c r="T1565" s="32"/>
      <c r="U1565" s="30"/>
    </row>
    <row r="1566" spans="1:21">
      <c r="A1566" s="29"/>
      <c r="B1566" s="29"/>
      <c r="C1566" s="29"/>
      <c r="D1566" s="29"/>
      <c r="E1566" s="29"/>
      <c r="F1566" s="29"/>
      <c r="G1566" s="29"/>
      <c r="H1566" s="29"/>
      <c r="J1566" s="29"/>
      <c r="K1566" s="29"/>
      <c r="L1566" s="19"/>
      <c r="M1566" s="19"/>
      <c r="N1566" s="30"/>
      <c r="O1566" s="30"/>
      <c r="P1566" s="32"/>
      <c r="Q1566" s="32"/>
      <c r="R1566" s="32"/>
      <c r="S1566" s="32"/>
      <c r="T1566" s="32"/>
      <c r="U1566" s="30"/>
    </row>
    <row r="1567" spans="1:21">
      <c r="A1567" s="29"/>
      <c r="B1567" s="29"/>
      <c r="C1567" s="29"/>
      <c r="D1567" s="29"/>
      <c r="E1567" s="29"/>
      <c r="F1567" s="29"/>
      <c r="G1567" s="29"/>
      <c r="H1567" s="29"/>
      <c r="J1567" s="29"/>
      <c r="K1567" s="29"/>
      <c r="L1567" s="19"/>
      <c r="M1567" s="19"/>
      <c r="N1567" s="30"/>
      <c r="O1567" s="30"/>
      <c r="P1567" s="32"/>
      <c r="Q1567" s="32"/>
      <c r="R1567" s="32"/>
      <c r="S1567" s="32"/>
      <c r="T1567" s="32"/>
      <c r="U1567" s="30"/>
    </row>
    <row r="1568" spans="1:21">
      <c r="A1568" s="29"/>
      <c r="B1568" s="29"/>
      <c r="C1568" s="29"/>
      <c r="D1568" s="29"/>
      <c r="E1568" s="29"/>
      <c r="F1568" s="29"/>
      <c r="G1568" s="29"/>
      <c r="H1568" s="29"/>
      <c r="J1568" s="29"/>
      <c r="K1568" s="29"/>
      <c r="L1568" s="19"/>
      <c r="M1568" s="19"/>
      <c r="N1568" s="30"/>
      <c r="O1568" s="30"/>
      <c r="P1568" s="32"/>
      <c r="Q1568" s="32"/>
      <c r="R1568" s="32"/>
      <c r="S1568" s="32"/>
      <c r="T1568" s="32"/>
      <c r="U1568" s="30"/>
    </row>
    <row r="1569" spans="1:21">
      <c r="A1569" s="29"/>
      <c r="B1569" s="29"/>
      <c r="C1569" s="29"/>
      <c r="D1569" s="29"/>
      <c r="E1569" s="29"/>
      <c r="F1569" s="29"/>
      <c r="G1569" s="29"/>
      <c r="H1569" s="29"/>
      <c r="J1569" s="29"/>
      <c r="K1569" s="29"/>
      <c r="L1569" s="19"/>
      <c r="M1569" s="19"/>
      <c r="N1569" s="30"/>
      <c r="O1569" s="30"/>
      <c r="P1569" s="32"/>
      <c r="Q1569" s="32"/>
      <c r="R1569" s="32"/>
      <c r="S1569" s="32"/>
      <c r="T1569" s="32"/>
      <c r="U1569" s="30"/>
    </row>
    <row r="1570" spans="1:21">
      <c r="A1570" s="29"/>
      <c r="B1570" s="29"/>
      <c r="C1570" s="29"/>
      <c r="D1570" s="29"/>
      <c r="E1570" s="29"/>
      <c r="F1570" s="29"/>
      <c r="G1570" s="29"/>
      <c r="H1570" s="29"/>
      <c r="J1570" s="29"/>
      <c r="K1570" s="29"/>
      <c r="L1570" s="19"/>
      <c r="M1570" s="19"/>
      <c r="N1570" s="30"/>
      <c r="O1570" s="30"/>
      <c r="P1570" s="32"/>
      <c r="Q1570" s="32"/>
      <c r="R1570" s="32"/>
      <c r="S1570" s="32"/>
      <c r="T1570" s="32"/>
      <c r="U1570" s="30"/>
    </row>
    <row r="1571" spans="1:21">
      <c r="A1571" s="29"/>
      <c r="B1571" s="29"/>
      <c r="C1571" s="29"/>
      <c r="D1571" s="29"/>
      <c r="E1571" s="29"/>
      <c r="F1571" s="29"/>
      <c r="G1571" s="29"/>
      <c r="H1571" s="29"/>
      <c r="J1571" s="29"/>
      <c r="K1571" s="29"/>
      <c r="L1571" s="19"/>
      <c r="M1571" s="19"/>
      <c r="N1571" s="30"/>
      <c r="O1571" s="30"/>
      <c r="P1571" s="32"/>
      <c r="Q1571" s="32"/>
      <c r="R1571" s="32"/>
      <c r="S1571" s="32"/>
      <c r="T1571" s="32"/>
      <c r="U1571" s="30"/>
    </row>
    <row r="1572" spans="1:21">
      <c r="A1572" s="29"/>
      <c r="B1572" s="29"/>
      <c r="C1572" s="29"/>
      <c r="D1572" s="29"/>
      <c r="E1572" s="29"/>
      <c r="F1572" s="29"/>
      <c r="G1572" s="29"/>
      <c r="H1572" s="29"/>
      <c r="J1572" s="29"/>
      <c r="K1572" s="29"/>
      <c r="L1572" s="19"/>
      <c r="M1572" s="19"/>
      <c r="N1572" s="30"/>
      <c r="O1572" s="30"/>
      <c r="P1572" s="32"/>
      <c r="Q1572" s="32"/>
      <c r="R1572" s="32"/>
      <c r="S1572" s="32"/>
      <c r="T1572" s="32"/>
      <c r="U1572" s="30"/>
    </row>
    <row r="1573" spans="1:21">
      <c r="A1573" s="29"/>
      <c r="B1573" s="29"/>
      <c r="C1573" s="29"/>
      <c r="D1573" s="29"/>
      <c r="E1573" s="29"/>
      <c r="F1573" s="29"/>
      <c r="G1573" s="29"/>
      <c r="H1573" s="29"/>
      <c r="J1573" s="29"/>
      <c r="K1573" s="29"/>
      <c r="L1573" s="19"/>
      <c r="M1573" s="19"/>
      <c r="N1573" s="30"/>
      <c r="O1573" s="30"/>
      <c r="P1573" s="32"/>
      <c r="Q1573" s="32"/>
      <c r="R1573" s="32"/>
      <c r="S1573" s="32"/>
      <c r="T1573" s="32"/>
      <c r="U1573" s="30"/>
    </row>
    <row r="1574" spans="1:21">
      <c r="A1574" s="29"/>
      <c r="B1574" s="29"/>
      <c r="C1574" s="29"/>
      <c r="D1574" s="29"/>
      <c r="E1574" s="29"/>
      <c r="F1574" s="29"/>
      <c r="G1574" s="29"/>
      <c r="H1574" s="29"/>
      <c r="J1574" s="29"/>
      <c r="K1574" s="29"/>
      <c r="L1574" s="19"/>
      <c r="M1574" s="19"/>
      <c r="N1574" s="30"/>
      <c r="O1574" s="30"/>
      <c r="P1574" s="32"/>
      <c r="Q1574" s="32"/>
      <c r="R1574" s="32"/>
      <c r="S1574" s="32"/>
      <c r="T1574" s="32"/>
      <c r="U1574" s="30"/>
    </row>
    <row r="1575" spans="1:21">
      <c r="A1575" s="29"/>
      <c r="B1575" s="29"/>
      <c r="C1575" s="29"/>
      <c r="D1575" s="29"/>
      <c r="E1575" s="29"/>
      <c r="F1575" s="29"/>
      <c r="G1575" s="29"/>
      <c r="H1575" s="29"/>
      <c r="J1575" s="29"/>
      <c r="K1575" s="29"/>
      <c r="L1575" s="19"/>
      <c r="M1575" s="19"/>
      <c r="N1575" s="30"/>
      <c r="O1575" s="30"/>
      <c r="P1575" s="32"/>
      <c r="Q1575" s="32"/>
      <c r="R1575" s="32"/>
      <c r="S1575" s="32"/>
      <c r="T1575" s="32"/>
      <c r="U1575" s="30"/>
    </row>
    <row r="1576" spans="1:21">
      <c r="A1576" s="29"/>
      <c r="B1576" s="29"/>
      <c r="C1576" s="29"/>
      <c r="D1576" s="29"/>
      <c r="E1576" s="29"/>
      <c r="F1576" s="29"/>
      <c r="G1576" s="29"/>
      <c r="H1576" s="29"/>
      <c r="J1576" s="29"/>
      <c r="K1576" s="29"/>
      <c r="L1576" s="19"/>
      <c r="M1576" s="19"/>
      <c r="N1576" s="30"/>
      <c r="O1576" s="30"/>
      <c r="P1576" s="32"/>
      <c r="Q1576" s="32"/>
      <c r="R1576" s="32"/>
      <c r="S1576" s="32"/>
      <c r="T1576" s="32"/>
      <c r="U1576" s="30"/>
    </row>
    <row r="1577" spans="1:21">
      <c r="A1577" s="29"/>
      <c r="B1577" s="29"/>
      <c r="C1577" s="29"/>
      <c r="D1577" s="29"/>
      <c r="E1577" s="29"/>
      <c r="F1577" s="29"/>
      <c r="G1577" s="29"/>
      <c r="H1577" s="29"/>
      <c r="J1577" s="29"/>
      <c r="K1577" s="29"/>
      <c r="L1577" s="19"/>
      <c r="M1577" s="19"/>
      <c r="N1577" s="30"/>
      <c r="O1577" s="30"/>
      <c r="P1577" s="32"/>
      <c r="Q1577" s="32"/>
      <c r="R1577" s="32"/>
      <c r="S1577" s="32"/>
      <c r="T1577" s="32"/>
      <c r="U1577" s="30"/>
    </row>
    <row r="1578" spans="1:21">
      <c r="A1578" s="29"/>
      <c r="B1578" s="29"/>
      <c r="C1578" s="29"/>
      <c r="D1578" s="29"/>
      <c r="E1578" s="29"/>
      <c r="F1578" s="29"/>
      <c r="G1578" s="29"/>
      <c r="H1578" s="29"/>
      <c r="J1578" s="29"/>
      <c r="K1578" s="29"/>
      <c r="L1578" s="19"/>
      <c r="M1578" s="19"/>
      <c r="N1578" s="30"/>
      <c r="O1578" s="30"/>
      <c r="P1578" s="32"/>
      <c r="Q1578" s="32"/>
      <c r="R1578" s="32"/>
      <c r="S1578" s="32"/>
      <c r="T1578" s="32"/>
      <c r="U1578" s="30"/>
    </row>
    <row r="1579" spans="1:21">
      <c r="A1579" s="29"/>
      <c r="B1579" s="29"/>
      <c r="C1579" s="29"/>
      <c r="D1579" s="29"/>
      <c r="E1579" s="29"/>
      <c r="F1579" s="29"/>
      <c r="G1579" s="29"/>
      <c r="H1579" s="29"/>
      <c r="J1579" s="29"/>
      <c r="K1579" s="29"/>
      <c r="L1579" s="19"/>
      <c r="M1579" s="19"/>
      <c r="N1579" s="30"/>
      <c r="O1579" s="30"/>
      <c r="P1579" s="32"/>
      <c r="Q1579" s="32"/>
      <c r="R1579" s="32"/>
      <c r="S1579" s="32"/>
      <c r="T1579" s="32"/>
      <c r="U1579" s="30"/>
    </row>
    <row r="1580" spans="1:21">
      <c r="A1580" s="29"/>
      <c r="B1580" s="29"/>
      <c r="C1580" s="29"/>
      <c r="D1580" s="29"/>
      <c r="E1580" s="29"/>
      <c r="F1580" s="29"/>
      <c r="G1580" s="29"/>
      <c r="H1580" s="29"/>
      <c r="J1580" s="29"/>
      <c r="K1580" s="29"/>
      <c r="L1580" s="19"/>
      <c r="M1580" s="19"/>
      <c r="N1580" s="30"/>
      <c r="O1580" s="30"/>
      <c r="P1580" s="32"/>
      <c r="Q1580" s="32"/>
      <c r="R1580" s="32"/>
      <c r="S1580" s="32"/>
      <c r="T1580" s="32"/>
      <c r="U1580" s="30"/>
    </row>
    <row r="1581" spans="1:21">
      <c r="A1581" s="29"/>
      <c r="B1581" s="29"/>
      <c r="C1581" s="29"/>
      <c r="D1581" s="29"/>
      <c r="E1581" s="29"/>
      <c r="F1581" s="29"/>
      <c r="G1581" s="29"/>
      <c r="H1581" s="29"/>
      <c r="J1581" s="29"/>
      <c r="K1581" s="29"/>
      <c r="L1581" s="19"/>
      <c r="M1581" s="19"/>
      <c r="N1581" s="30"/>
      <c r="O1581" s="30"/>
      <c r="P1581" s="32"/>
      <c r="Q1581" s="32"/>
      <c r="R1581" s="32"/>
      <c r="S1581" s="32"/>
      <c r="T1581" s="32"/>
      <c r="U1581" s="30"/>
    </row>
    <row r="1582" spans="1:21">
      <c r="A1582" s="29"/>
      <c r="B1582" s="29"/>
      <c r="C1582" s="29"/>
      <c r="D1582" s="29"/>
      <c r="E1582" s="29"/>
      <c r="F1582" s="29"/>
      <c r="G1582" s="29"/>
      <c r="H1582" s="29"/>
      <c r="J1582" s="29"/>
      <c r="K1582" s="29"/>
      <c r="L1582" s="19"/>
      <c r="M1582" s="19"/>
      <c r="N1582" s="30"/>
      <c r="O1582" s="30"/>
      <c r="P1582" s="32"/>
      <c r="Q1582" s="32"/>
      <c r="R1582" s="32"/>
      <c r="S1582" s="32"/>
      <c r="T1582" s="32"/>
      <c r="U1582" s="30"/>
    </row>
    <row r="1583" spans="1:21">
      <c r="A1583" s="29"/>
      <c r="B1583" s="29"/>
      <c r="C1583" s="29"/>
      <c r="D1583" s="29"/>
      <c r="E1583" s="29"/>
      <c r="F1583" s="29"/>
      <c r="G1583" s="29"/>
      <c r="H1583" s="29"/>
      <c r="J1583" s="29"/>
      <c r="K1583" s="29"/>
      <c r="L1583" s="19"/>
      <c r="M1583" s="19"/>
      <c r="N1583" s="30"/>
      <c r="O1583" s="30"/>
      <c r="P1583" s="32"/>
      <c r="Q1583" s="32"/>
      <c r="R1583" s="32"/>
      <c r="S1583" s="32"/>
      <c r="T1583" s="32"/>
      <c r="U1583" s="30"/>
    </row>
    <row r="1584" spans="1:21">
      <c r="A1584" s="29"/>
      <c r="B1584" s="29"/>
      <c r="C1584" s="29"/>
      <c r="D1584" s="29"/>
      <c r="E1584" s="29"/>
      <c r="F1584" s="29"/>
      <c r="G1584" s="29"/>
      <c r="H1584" s="29"/>
      <c r="J1584" s="29"/>
      <c r="K1584" s="29"/>
      <c r="L1584" s="19"/>
      <c r="M1584" s="19"/>
      <c r="N1584" s="30"/>
      <c r="O1584" s="30"/>
      <c r="P1584" s="32"/>
      <c r="Q1584" s="32"/>
      <c r="R1584" s="32"/>
      <c r="S1584" s="32"/>
      <c r="T1584" s="32"/>
      <c r="U1584" s="30"/>
    </row>
    <row r="1585" spans="1:21">
      <c r="A1585" s="29"/>
      <c r="B1585" s="29"/>
      <c r="C1585" s="29"/>
      <c r="D1585" s="29"/>
      <c r="E1585" s="29"/>
      <c r="F1585" s="29"/>
      <c r="G1585" s="29"/>
      <c r="H1585" s="29"/>
      <c r="J1585" s="29"/>
      <c r="K1585" s="29"/>
      <c r="L1585" s="19"/>
      <c r="M1585" s="19"/>
      <c r="N1585" s="30"/>
      <c r="O1585" s="30"/>
      <c r="P1585" s="32"/>
      <c r="Q1585" s="32"/>
      <c r="R1585" s="32"/>
      <c r="S1585" s="32"/>
      <c r="T1585" s="32"/>
      <c r="U1585" s="30"/>
    </row>
    <row r="1586" spans="1:21">
      <c r="A1586" s="29"/>
      <c r="B1586" s="29"/>
      <c r="C1586" s="29"/>
      <c r="D1586" s="29"/>
      <c r="E1586" s="29"/>
      <c r="F1586" s="29"/>
      <c r="G1586" s="29"/>
      <c r="H1586" s="29"/>
      <c r="J1586" s="29"/>
      <c r="K1586" s="29"/>
      <c r="L1586" s="19"/>
      <c r="M1586" s="19"/>
      <c r="N1586" s="30"/>
      <c r="O1586" s="30"/>
      <c r="P1586" s="32"/>
      <c r="Q1586" s="32"/>
      <c r="R1586" s="32"/>
      <c r="S1586" s="32"/>
      <c r="T1586" s="32"/>
      <c r="U1586" s="30"/>
    </row>
    <row r="1587" spans="1:21">
      <c r="A1587" s="29"/>
      <c r="B1587" s="29"/>
      <c r="C1587" s="29"/>
      <c r="D1587" s="29"/>
      <c r="E1587" s="29"/>
      <c r="F1587" s="29"/>
      <c r="G1587" s="29"/>
      <c r="H1587" s="29"/>
      <c r="J1587" s="29"/>
      <c r="K1587" s="29"/>
      <c r="L1587" s="19"/>
      <c r="M1587" s="19"/>
      <c r="N1587" s="30"/>
      <c r="O1587" s="30"/>
      <c r="P1587" s="32"/>
      <c r="Q1587" s="32"/>
      <c r="R1587" s="32"/>
      <c r="S1587" s="32"/>
      <c r="T1587" s="32"/>
      <c r="U1587" s="30"/>
    </row>
    <row r="1588" spans="1:21">
      <c r="A1588" s="29"/>
      <c r="B1588" s="29"/>
      <c r="C1588" s="29"/>
      <c r="D1588" s="29"/>
      <c r="E1588" s="29"/>
      <c r="F1588" s="29"/>
      <c r="G1588" s="29"/>
      <c r="H1588" s="29"/>
      <c r="J1588" s="29"/>
      <c r="K1588" s="29"/>
      <c r="L1588" s="19"/>
      <c r="M1588" s="19"/>
      <c r="N1588" s="30"/>
      <c r="O1588" s="30"/>
      <c r="P1588" s="32"/>
      <c r="Q1588" s="32"/>
      <c r="R1588" s="32"/>
      <c r="S1588" s="32"/>
      <c r="T1588" s="32"/>
      <c r="U1588" s="30"/>
    </row>
    <row r="1589" spans="1:21">
      <c r="A1589" s="29"/>
      <c r="B1589" s="29"/>
      <c r="C1589" s="29"/>
      <c r="D1589" s="29"/>
      <c r="E1589" s="29"/>
      <c r="F1589" s="29"/>
      <c r="G1589" s="29"/>
      <c r="H1589" s="29"/>
      <c r="J1589" s="29"/>
      <c r="K1589" s="29"/>
      <c r="L1589" s="19"/>
      <c r="M1589" s="19"/>
      <c r="N1589" s="30"/>
      <c r="O1589" s="30"/>
      <c r="P1589" s="32"/>
      <c r="Q1589" s="32"/>
      <c r="R1589" s="32"/>
      <c r="S1589" s="32"/>
      <c r="T1589" s="32"/>
      <c r="U1589" s="30"/>
    </row>
    <row r="1590" spans="1:21">
      <c r="A1590" s="29"/>
      <c r="B1590" s="29"/>
      <c r="C1590" s="29"/>
      <c r="D1590" s="29"/>
      <c r="E1590" s="29"/>
      <c r="F1590" s="29"/>
      <c r="G1590" s="29"/>
      <c r="H1590" s="29"/>
      <c r="J1590" s="29"/>
      <c r="K1590" s="29"/>
      <c r="L1590" s="19"/>
      <c r="M1590" s="19"/>
      <c r="N1590" s="30"/>
      <c r="O1590" s="30"/>
      <c r="P1590" s="32"/>
      <c r="Q1590" s="32"/>
      <c r="R1590" s="32"/>
      <c r="S1590" s="32"/>
      <c r="T1590" s="32"/>
      <c r="U1590" s="30"/>
    </row>
    <row r="1591" spans="1:21">
      <c r="A1591" s="29"/>
      <c r="B1591" s="29"/>
      <c r="C1591" s="29"/>
      <c r="D1591" s="29"/>
      <c r="E1591" s="29"/>
      <c r="F1591" s="29"/>
      <c r="G1591" s="29"/>
      <c r="H1591" s="29"/>
      <c r="J1591" s="29"/>
      <c r="K1591" s="29"/>
      <c r="L1591" s="19"/>
      <c r="M1591" s="19"/>
      <c r="N1591" s="30"/>
      <c r="O1591" s="30"/>
      <c r="P1591" s="32"/>
      <c r="Q1591" s="32"/>
      <c r="R1591" s="32"/>
      <c r="S1591" s="32"/>
      <c r="T1591" s="32"/>
      <c r="U1591" s="30"/>
    </row>
    <row r="1592" spans="1:21">
      <c r="A1592" s="29"/>
      <c r="B1592" s="29"/>
      <c r="C1592" s="29"/>
      <c r="D1592" s="29"/>
      <c r="E1592" s="29"/>
      <c r="F1592" s="29"/>
      <c r="G1592" s="29"/>
      <c r="H1592" s="29"/>
      <c r="J1592" s="29"/>
      <c r="K1592" s="29"/>
      <c r="L1592" s="19"/>
      <c r="M1592" s="19"/>
      <c r="N1592" s="30"/>
      <c r="O1592" s="30"/>
      <c r="P1592" s="32"/>
      <c r="Q1592" s="32"/>
      <c r="R1592" s="32"/>
      <c r="S1592" s="32"/>
      <c r="T1592" s="32"/>
      <c r="U1592" s="30"/>
    </row>
    <row r="1593" spans="1:21">
      <c r="A1593" s="29"/>
      <c r="B1593" s="29"/>
      <c r="C1593" s="29"/>
      <c r="D1593" s="29"/>
      <c r="E1593" s="29"/>
      <c r="F1593" s="29"/>
      <c r="G1593" s="29"/>
      <c r="H1593" s="29"/>
      <c r="J1593" s="29"/>
      <c r="K1593" s="29"/>
      <c r="L1593" s="19"/>
      <c r="M1593" s="19"/>
      <c r="N1593" s="30"/>
      <c r="O1593" s="30"/>
      <c r="P1593" s="32"/>
      <c r="Q1593" s="32"/>
      <c r="R1593" s="32"/>
      <c r="S1593" s="32"/>
      <c r="T1593" s="32"/>
      <c r="U1593" s="30"/>
    </row>
    <row r="1594" spans="1:21">
      <c r="A1594" s="29"/>
      <c r="B1594" s="29"/>
      <c r="C1594" s="29"/>
      <c r="D1594" s="29"/>
      <c r="E1594" s="29"/>
      <c r="F1594" s="29"/>
      <c r="G1594" s="29"/>
      <c r="H1594" s="29"/>
      <c r="J1594" s="29"/>
      <c r="K1594" s="29"/>
      <c r="L1594" s="19"/>
      <c r="M1594" s="19"/>
      <c r="N1594" s="30"/>
      <c r="O1594" s="30"/>
      <c r="P1594" s="32"/>
      <c r="Q1594" s="32"/>
      <c r="R1594" s="32"/>
      <c r="S1594" s="32"/>
      <c r="T1594" s="32"/>
      <c r="U1594" s="30"/>
    </row>
    <row r="1595" spans="1:21">
      <c r="A1595" s="29"/>
      <c r="B1595" s="29"/>
      <c r="C1595" s="29"/>
      <c r="D1595" s="29"/>
      <c r="E1595" s="29"/>
      <c r="F1595" s="29"/>
      <c r="G1595" s="29"/>
      <c r="H1595" s="29"/>
      <c r="J1595" s="29"/>
      <c r="K1595" s="29"/>
      <c r="L1595" s="19"/>
      <c r="M1595" s="19"/>
      <c r="N1595" s="30"/>
      <c r="O1595" s="30"/>
      <c r="P1595" s="32"/>
      <c r="Q1595" s="32"/>
      <c r="R1595" s="32"/>
      <c r="S1595" s="32"/>
      <c r="T1595" s="32"/>
      <c r="U1595" s="30"/>
    </row>
    <row r="1596" spans="1:21">
      <c r="A1596" s="29"/>
      <c r="B1596" s="29"/>
      <c r="C1596" s="29"/>
      <c r="D1596" s="29"/>
      <c r="E1596" s="29"/>
      <c r="F1596" s="29"/>
      <c r="G1596" s="29"/>
      <c r="H1596" s="29"/>
      <c r="J1596" s="29"/>
      <c r="K1596" s="29"/>
      <c r="L1596" s="19"/>
      <c r="M1596" s="19"/>
      <c r="N1596" s="30"/>
      <c r="O1596" s="30"/>
      <c r="P1596" s="32"/>
      <c r="Q1596" s="32"/>
      <c r="R1596" s="32"/>
      <c r="S1596" s="32"/>
      <c r="T1596" s="32"/>
      <c r="U1596" s="30"/>
    </row>
    <row r="1597" spans="1:21">
      <c r="A1597" s="29"/>
      <c r="B1597" s="29"/>
      <c r="C1597" s="29"/>
      <c r="D1597" s="29"/>
      <c r="E1597" s="29"/>
      <c r="F1597" s="29"/>
      <c r="G1597" s="29"/>
      <c r="H1597" s="29"/>
      <c r="J1597" s="29"/>
      <c r="K1597" s="29"/>
      <c r="L1597" s="19"/>
      <c r="M1597" s="19"/>
      <c r="N1597" s="30"/>
      <c r="O1597" s="30"/>
      <c r="P1597" s="32"/>
      <c r="Q1597" s="32"/>
      <c r="R1597" s="32"/>
      <c r="S1597" s="32"/>
      <c r="T1597" s="32"/>
      <c r="U1597" s="30"/>
    </row>
    <row r="1598" spans="1:21">
      <c r="A1598" s="29"/>
      <c r="B1598" s="29"/>
      <c r="C1598" s="29"/>
      <c r="D1598" s="29"/>
      <c r="E1598" s="29"/>
      <c r="F1598" s="29"/>
      <c r="G1598" s="29"/>
      <c r="H1598" s="29"/>
      <c r="J1598" s="29"/>
      <c r="K1598" s="29"/>
      <c r="L1598" s="19"/>
      <c r="M1598" s="19"/>
      <c r="N1598" s="30"/>
      <c r="O1598" s="30"/>
      <c r="P1598" s="32"/>
      <c r="Q1598" s="32"/>
      <c r="R1598" s="32"/>
      <c r="S1598" s="32"/>
      <c r="T1598" s="32"/>
      <c r="U1598" s="30"/>
    </row>
    <row r="1599" spans="1:21">
      <c r="A1599" s="29"/>
      <c r="B1599" s="29"/>
      <c r="C1599" s="29"/>
      <c r="D1599" s="29"/>
      <c r="E1599" s="29"/>
      <c r="F1599" s="29"/>
      <c r="G1599" s="29"/>
      <c r="H1599" s="29"/>
      <c r="J1599" s="29"/>
      <c r="K1599" s="29"/>
      <c r="L1599" s="19"/>
      <c r="M1599" s="19"/>
      <c r="N1599" s="30"/>
      <c r="O1599" s="30"/>
      <c r="P1599" s="32"/>
      <c r="Q1599" s="32"/>
      <c r="R1599" s="32"/>
      <c r="S1599" s="32"/>
      <c r="T1599" s="32"/>
      <c r="U1599" s="30"/>
    </row>
    <row r="1600" spans="1:21">
      <c r="A1600" s="29"/>
      <c r="B1600" s="29"/>
      <c r="C1600" s="29"/>
      <c r="D1600" s="29"/>
      <c r="E1600" s="29"/>
      <c r="F1600" s="29"/>
      <c r="G1600" s="29"/>
      <c r="H1600" s="29"/>
      <c r="J1600" s="29"/>
      <c r="K1600" s="29"/>
      <c r="L1600" s="19"/>
      <c r="M1600" s="19"/>
      <c r="N1600" s="30"/>
      <c r="O1600" s="30"/>
      <c r="P1600" s="32"/>
      <c r="Q1600" s="32"/>
      <c r="R1600" s="32"/>
      <c r="S1600" s="32"/>
      <c r="T1600" s="32"/>
      <c r="U1600" s="30"/>
    </row>
    <row r="1601" spans="1:21">
      <c r="A1601" s="29"/>
      <c r="B1601" s="29"/>
      <c r="C1601" s="29"/>
      <c r="D1601" s="29"/>
      <c r="E1601" s="29"/>
      <c r="F1601" s="29"/>
      <c r="G1601" s="29"/>
      <c r="H1601" s="29"/>
      <c r="J1601" s="29"/>
      <c r="K1601" s="29"/>
      <c r="L1601" s="19"/>
      <c r="M1601" s="19"/>
      <c r="N1601" s="30"/>
      <c r="O1601" s="30"/>
      <c r="P1601" s="32"/>
      <c r="Q1601" s="32"/>
      <c r="R1601" s="32"/>
      <c r="S1601" s="32"/>
      <c r="T1601" s="32"/>
      <c r="U1601" s="30"/>
    </row>
    <row r="1602" spans="1:21">
      <c r="A1602" s="29"/>
      <c r="B1602" s="29"/>
      <c r="C1602" s="29"/>
      <c r="D1602" s="29"/>
      <c r="E1602" s="29"/>
      <c r="F1602" s="29"/>
      <c r="G1602" s="29"/>
      <c r="H1602" s="29"/>
      <c r="J1602" s="29"/>
      <c r="K1602" s="29"/>
      <c r="L1602" s="19"/>
      <c r="M1602" s="19"/>
      <c r="N1602" s="30"/>
      <c r="O1602" s="30"/>
      <c r="P1602" s="32"/>
      <c r="Q1602" s="32"/>
      <c r="R1602" s="32"/>
      <c r="S1602" s="32"/>
      <c r="T1602" s="32"/>
      <c r="U1602" s="30"/>
    </row>
    <row r="1603" spans="1:21">
      <c r="A1603" s="29"/>
      <c r="B1603" s="29"/>
      <c r="C1603" s="29"/>
      <c r="D1603" s="29"/>
      <c r="E1603" s="29"/>
      <c r="F1603" s="29"/>
      <c r="G1603" s="29"/>
      <c r="H1603" s="29"/>
      <c r="J1603" s="29"/>
      <c r="K1603" s="29"/>
      <c r="L1603" s="19"/>
      <c r="M1603" s="19"/>
      <c r="N1603" s="30"/>
      <c r="O1603" s="30"/>
      <c r="P1603" s="32"/>
      <c r="Q1603" s="32"/>
      <c r="R1603" s="32"/>
      <c r="S1603" s="32"/>
      <c r="T1603" s="32"/>
      <c r="U1603" s="30"/>
    </row>
    <row r="1604" spans="1:21">
      <c r="A1604" s="29"/>
      <c r="B1604" s="29"/>
      <c r="C1604" s="29"/>
      <c r="D1604" s="29"/>
      <c r="E1604" s="29"/>
      <c r="F1604" s="29"/>
      <c r="G1604" s="29"/>
      <c r="H1604" s="29"/>
      <c r="J1604" s="29"/>
      <c r="K1604" s="29"/>
      <c r="L1604" s="19"/>
      <c r="M1604" s="19"/>
      <c r="N1604" s="30"/>
      <c r="O1604" s="30"/>
      <c r="P1604" s="32"/>
      <c r="Q1604" s="32"/>
      <c r="R1604" s="32"/>
      <c r="S1604" s="32"/>
      <c r="T1604" s="32"/>
      <c r="U1604" s="30"/>
    </row>
    <row r="1605" spans="1:21">
      <c r="A1605" s="29"/>
      <c r="B1605" s="29"/>
      <c r="C1605" s="29"/>
      <c r="D1605" s="29"/>
      <c r="E1605" s="29"/>
      <c r="F1605" s="29"/>
      <c r="G1605" s="29"/>
      <c r="H1605" s="29"/>
      <c r="J1605" s="29"/>
      <c r="K1605" s="29"/>
      <c r="L1605" s="19"/>
      <c r="M1605" s="19"/>
      <c r="N1605" s="30"/>
      <c r="O1605" s="30"/>
      <c r="P1605" s="32"/>
      <c r="Q1605" s="32"/>
      <c r="R1605" s="32"/>
      <c r="S1605" s="32"/>
      <c r="T1605" s="32"/>
      <c r="U1605" s="30"/>
    </row>
    <row r="1606" spans="1:21">
      <c r="A1606" s="29"/>
      <c r="B1606" s="29"/>
      <c r="C1606" s="29"/>
      <c r="D1606" s="29"/>
      <c r="E1606" s="29"/>
      <c r="F1606" s="29"/>
      <c r="G1606" s="29"/>
      <c r="H1606" s="29"/>
      <c r="J1606" s="29"/>
      <c r="K1606" s="29"/>
      <c r="L1606" s="19"/>
      <c r="M1606" s="19"/>
      <c r="N1606" s="30"/>
      <c r="O1606" s="30"/>
      <c r="P1606" s="32"/>
      <c r="Q1606" s="32"/>
      <c r="R1606" s="32"/>
      <c r="S1606" s="32"/>
      <c r="T1606" s="32"/>
      <c r="U1606" s="30"/>
    </row>
    <row r="1607" spans="1:21">
      <c r="A1607" s="29"/>
      <c r="B1607" s="29"/>
      <c r="C1607" s="29"/>
      <c r="D1607" s="29"/>
      <c r="E1607" s="29"/>
      <c r="F1607" s="29"/>
      <c r="G1607" s="29"/>
      <c r="H1607" s="29"/>
      <c r="J1607" s="29"/>
      <c r="K1607" s="29"/>
      <c r="L1607" s="19"/>
      <c r="M1607" s="19"/>
      <c r="N1607" s="30"/>
      <c r="O1607" s="30"/>
      <c r="P1607" s="32"/>
      <c r="Q1607" s="32"/>
      <c r="R1607" s="32"/>
      <c r="S1607" s="32"/>
      <c r="T1607" s="32"/>
      <c r="U1607" s="30"/>
    </row>
    <row r="1608" spans="1:21">
      <c r="A1608" s="29"/>
      <c r="B1608" s="29"/>
      <c r="C1608" s="29"/>
      <c r="D1608" s="29"/>
      <c r="E1608" s="29"/>
      <c r="F1608" s="29"/>
      <c r="G1608" s="29"/>
      <c r="H1608" s="29"/>
      <c r="J1608" s="29"/>
      <c r="K1608" s="29"/>
      <c r="L1608" s="19"/>
      <c r="M1608" s="19"/>
      <c r="N1608" s="30"/>
      <c r="O1608" s="30"/>
      <c r="P1608" s="32"/>
      <c r="Q1608" s="32"/>
      <c r="R1608" s="32"/>
      <c r="S1608" s="32"/>
      <c r="T1608" s="32"/>
      <c r="U1608" s="30"/>
    </row>
    <row r="1609" spans="1:21">
      <c r="A1609" s="29"/>
      <c r="B1609" s="29"/>
      <c r="C1609" s="29"/>
      <c r="D1609" s="29"/>
      <c r="E1609" s="29"/>
      <c r="F1609" s="29"/>
      <c r="G1609" s="29"/>
      <c r="H1609" s="29"/>
      <c r="J1609" s="29"/>
      <c r="K1609" s="29"/>
      <c r="L1609" s="19"/>
      <c r="M1609" s="19"/>
      <c r="N1609" s="30"/>
      <c r="O1609" s="30"/>
      <c r="P1609" s="32"/>
      <c r="Q1609" s="32"/>
      <c r="R1609" s="32"/>
      <c r="S1609" s="32"/>
      <c r="T1609" s="32"/>
      <c r="U1609" s="30"/>
    </row>
    <row r="1610" spans="1:21">
      <c r="A1610" s="29"/>
      <c r="B1610" s="29"/>
      <c r="C1610" s="29"/>
      <c r="D1610" s="29"/>
      <c r="E1610" s="29"/>
      <c r="F1610" s="29"/>
      <c r="G1610" s="29"/>
      <c r="H1610" s="29"/>
      <c r="J1610" s="29"/>
      <c r="K1610" s="29"/>
      <c r="L1610" s="19"/>
      <c r="M1610" s="19"/>
      <c r="N1610" s="30"/>
      <c r="O1610" s="30"/>
      <c r="P1610" s="32"/>
      <c r="Q1610" s="32"/>
      <c r="R1610" s="32"/>
      <c r="S1610" s="32"/>
      <c r="T1610" s="32"/>
      <c r="U1610" s="30"/>
    </row>
    <row r="1611" spans="1:21">
      <c r="A1611" s="29"/>
      <c r="B1611" s="29"/>
      <c r="C1611" s="29"/>
      <c r="D1611" s="29"/>
      <c r="E1611" s="29"/>
      <c r="F1611" s="29"/>
      <c r="G1611" s="29"/>
      <c r="H1611" s="29"/>
      <c r="J1611" s="29"/>
      <c r="K1611" s="29"/>
      <c r="L1611" s="19"/>
      <c r="M1611" s="19"/>
      <c r="N1611" s="30"/>
      <c r="O1611" s="30"/>
      <c r="P1611" s="32"/>
      <c r="Q1611" s="32"/>
      <c r="R1611" s="32"/>
      <c r="S1611" s="32"/>
      <c r="T1611" s="32"/>
      <c r="U1611" s="30"/>
    </row>
    <row r="1612" spans="1:21">
      <c r="A1612" s="29"/>
      <c r="B1612" s="29"/>
      <c r="C1612" s="29"/>
      <c r="D1612" s="29"/>
      <c r="E1612" s="29"/>
      <c r="F1612" s="29"/>
      <c r="G1612" s="29"/>
      <c r="H1612" s="29"/>
      <c r="J1612" s="29"/>
      <c r="K1612" s="29"/>
      <c r="L1612" s="19"/>
      <c r="M1612" s="19"/>
      <c r="N1612" s="30"/>
      <c r="O1612" s="30"/>
      <c r="P1612" s="32"/>
      <c r="Q1612" s="32"/>
      <c r="R1612" s="32"/>
      <c r="S1612" s="32"/>
      <c r="T1612" s="32"/>
      <c r="U1612" s="30"/>
    </row>
    <row r="1613" spans="1:21">
      <c r="A1613" s="29"/>
      <c r="B1613" s="29"/>
      <c r="C1613" s="29"/>
      <c r="D1613" s="29"/>
      <c r="E1613" s="29"/>
      <c r="F1613" s="29"/>
      <c r="G1613" s="29"/>
      <c r="H1613" s="29"/>
      <c r="J1613" s="29"/>
      <c r="K1613" s="29"/>
      <c r="L1613" s="19"/>
      <c r="M1613" s="19"/>
      <c r="N1613" s="30"/>
      <c r="O1613" s="30"/>
      <c r="P1613" s="32"/>
      <c r="Q1613" s="32"/>
      <c r="R1613" s="32"/>
      <c r="S1613" s="32"/>
      <c r="T1613" s="32"/>
      <c r="U1613" s="30"/>
    </row>
    <row r="1614" spans="1:21">
      <c r="A1614" s="29"/>
      <c r="B1614" s="29"/>
      <c r="C1614" s="29"/>
      <c r="D1614" s="29"/>
      <c r="E1614" s="29"/>
      <c r="F1614" s="29"/>
      <c r="G1614" s="29"/>
      <c r="H1614" s="29"/>
      <c r="J1614" s="29"/>
      <c r="K1614" s="29"/>
      <c r="L1614" s="19"/>
      <c r="M1614" s="19"/>
      <c r="N1614" s="30"/>
      <c r="O1614" s="30"/>
      <c r="P1614" s="32"/>
      <c r="Q1614" s="32"/>
      <c r="R1614" s="32"/>
      <c r="S1614" s="32"/>
      <c r="T1614" s="32"/>
      <c r="U1614" s="30"/>
    </row>
    <row r="1615" spans="1:21">
      <c r="A1615" s="29"/>
      <c r="B1615" s="29"/>
      <c r="C1615" s="29"/>
      <c r="D1615" s="29"/>
      <c r="E1615" s="29"/>
      <c r="F1615" s="29"/>
      <c r="G1615" s="29"/>
      <c r="H1615" s="29"/>
      <c r="J1615" s="29"/>
      <c r="K1615" s="29"/>
      <c r="L1615" s="19"/>
      <c r="M1615" s="19"/>
      <c r="N1615" s="30"/>
      <c r="O1615" s="30"/>
      <c r="P1615" s="32"/>
      <c r="Q1615" s="32"/>
      <c r="R1615" s="32"/>
      <c r="S1615" s="32"/>
      <c r="T1615" s="32"/>
      <c r="U1615" s="30"/>
    </row>
    <row r="1616" spans="1:21">
      <c r="A1616" s="29"/>
      <c r="B1616" s="29"/>
      <c r="C1616" s="29"/>
      <c r="D1616" s="29"/>
      <c r="E1616" s="29"/>
      <c r="F1616" s="29"/>
      <c r="G1616" s="29"/>
      <c r="H1616" s="29"/>
      <c r="J1616" s="29"/>
      <c r="K1616" s="29"/>
      <c r="L1616" s="19"/>
      <c r="M1616" s="19"/>
      <c r="N1616" s="30"/>
      <c r="O1616" s="30"/>
      <c r="P1616" s="32"/>
      <c r="Q1616" s="32"/>
      <c r="R1616" s="32"/>
      <c r="S1616" s="32"/>
      <c r="T1616" s="32"/>
      <c r="U1616" s="30"/>
    </row>
    <row r="1617" spans="1:21">
      <c r="A1617" s="29"/>
      <c r="B1617" s="29"/>
      <c r="C1617" s="29"/>
      <c r="D1617" s="29"/>
      <c r="E1617" s="29"/>
      <c r="F1617" s="29"/>
      <c r="G1617" s="29"/>
      <c r="H1617" s="29"/>
      <c r="J1617" s="29"/>
      <c r="K1617" s="29"/>
      <c r="L1617" s="19"/>
      <c r="M1617" s="19"/>
      <c r="N1617" s="30"/>
      <c r="O1617" s="30"/>
      <c r="P1617" s="32"/>
      <c r="Q1617" s="32"/>
      <c r="R1617" s="32"/>
      <c r="S1617" s="32"/>
      <c r="T1617" s="32"/>
      <c r="U1617" s="30"/>
    </row>
    <row r="1618" spans="1:21">
      <c r="A1618" s="29"/>
      <c r="B1618" s="29"/>
      <c r="C1618" s="29"/>
      <c r="D1618" s="29"/>
      <c r="E1618" s="29"/>
      <c r="F1618" s="29"/>
      <c r="G1618" s="29"/>
      <c r="H1618" s="29"/>
      <c r="J1618" s="29"/>
      <c r="K1618" s="29"/>
      <c r="L1618" s="19"/>
      <c r="M1618" s="19"/>
      <c r="N1618" s="30"/>
      <c r="O1618" s="30"/>
      <c r="P1618" s="32"/>
      <c r="Q1618" s="32"/>
      <c r="R1618" s="32"/>
      <c r="S1618" s="32"/>
      <c r="T1618" s="32"/>
      <c r="U1618" s="30"/>
    </row>
    <row r="1619" spans="1:21">
      <c r="A1619" s="29"/>
      <c r="B1619" s="29"/>
      <c r="C1619" s="29"/>
      <c r="D1619" s="29"/>
      <c r="E1619" s="29"/>
      <c r="F1619" s="29"/>
      <c r="G1619" s="29"/>
      <c r="H1619" s="29"/>
      <c r="J1619" s="29"/>
      <c r="K1619" s="29"/>
      <c r="L1619" s="19"/>
      <c r="M1619" s="19"/>
      <c r="N1619" s="30"/>
      <c r="O1619" s="30"/>
      <c r="P1619" s="32"/>
      <c r="Q1619" s="32"/>
      <c r="R1619" s="32"/>
      <c r="S1619" s="32"/>
      <c r="T1619" s="32"/>
      <c r="U1619" s="30"/>
    </row>
    <row r="1620" spans="1:21">
      <c r="A1620" s="29"/>
      <c r="B1620" s="29"/>
      <c r="C1620" s="29"/>
      <c r="D1620" s="29"/>
      <c r="E1620" s="29"/>
      <c r="F1620" s="29"/>
      <c r="G1620" s="29"/>
      <c r="H1620" s="29"/>
      <c r="J1620" s="29"/>
      <c r="K1620" s="29"/>
      <c r="L1620" s="19"/>
      <c r="M1620" s="19"/>
      <c r="N1620" s="30"/>
      <c r="O1620" s="30"/>
      <c r="P1620" s="32"/>
      <c r="Q1620" s="32"/>
      <c r="R1620" s="32"/>
      <c r="S1620" s="32"/>
      <c r="T1620" s="32"/>
      <c r="U1620" s="30"/>
    </row>
    <row r="1621" spans="1:21">
      <c r="A1621" s="29"/>
      <c r="B1621" s="29"/>
      <c r="C1621" s="29"/>
      <c r="D1621" s="29"/>
      <c r="E1621" s="29"/>
      <c r="F1621" s="29"/>
      <c r="G1621" s="29"/>
      <c r="H1621" s="29"/>
      <c r="J1621" s="29"/>
      <c r="K1621" s="29"/>
      <c r="L1621" s="19"/>
      <c r="M1621" s="19"/>
      <c r="N1621" s="30"/>
      <c r="O1621" s="30"/>
      <c r="P1621" s="32"/>
      <c r="Q1621" s="32"/>
      <c r="R1621" s="32"/>
      <c r="S1621" s="32"/>
      <c r="T1621" s="32"/>
      <c r="U1621" s="30"/>
    </row>
    <row r="1622" spans="1:21">
      <c r="A1622" s="29"/>
      <c r="B1622" s="29"/>
      <c r="C1622" s="29"/>
      <c r="D1622" s="29"/>
      <c r="E1622" s="29"/>
      <c r="F1622" s="29"/>
      <c r="G1622" s="29"/>
      <c r="H1622" s="29"/>
      <c r="J1622" s="29"/>
      <c r="K1622" s="29"/>
      <c r="L1622" s="19"/>
      <c r="M1622" s="19"/>
      <c r="N1622" s="30"/>
      <c r="O1622" s="30"/>
      <c r="P1622" s="32"/>
      <c r="Q1622" s="32"/>
      <c r="R1622" s="32"/>
      <c r="S1622" s="32"/>
      <c r="T1622" s="32"/>
      <c r="U1622" s="30"/>
    </row>
    <row r="1623" spans="1:21">
      <c r="A1623" s="29"/>
      <c r="B1623" s="29"/>
      <c r="C1623" s="29"/>
      <c r="D1623" s="29"/>
      <c r="E1623" s="29"/>
      <c r="F1623" s="29"/>
      <c r="G1623" s="29"/>
      <c r="H1623" s="29"/>
      <c r="J1623" s="29"/>
      <c r="K1623" s="29"/>
      <c r="L1623" s="19"/>
      <c r="M1623" s="19"/>
      <c r="N1623" s="30"/>
      <c r="O1623" s="30"/>
      <c r="P1623" s="32"/>
      <c r="Q1623" s="32"/>
      <c r="R1623" s="32"/>
      <c r="S1623" s="32"/>
      <c r="T1623" s="32"/>
      <c r="U1623" s="30"/>
    </row>
    <row r="1624" spans="1:21">
      <c r="A1624" s="29"/>
      <c r="B1624" s="29"/>
      <c r="C1624" s="29"/>
      <c r="D1624" s="29"/>
      <c r="E1624" s="29"/>
      <c r="F1624" s="29"/>
      <c r="G1624" s="29"/>
      <c r="H1624" s="29"/>
      <c r="J1624" s="29"/>
      <c r="K1624" s="29"/>
      <c r="L1624" s="19"/>
      <c r="M1624" s="19"/>
      <c r="N1624" s="30"/>
      <c r="O1624" s="30"/>
      <c r="P1624" s="32"/>
      <c r="Q1624" s="32"/>
      <c r="R1624" s="32"/>
      <c r="S1624" s="32"/>
      <c r="T1624" s="32"/>
      <c r="U1624" s="30"/>
    </row>
    <row r="1625" spans="1:21">
      <c r="A1625" s="29"/>
      <c r="B1625" s="29"/>
      <c r="C1625" s="29"/>
      <c r="D1625" s="29"/>
      <c r="E1625" s="29"/>
      <c r="F1625" s="29"/>
      <c r="G1625" s="29"/>
      <c r="H1625" s="29"/>
      <c r="J1625" s="29"/>
      <c r="K1625" s="29"/>
      <c r="L1625" s="19"/>
      <c r="M1625" s="19"/>
      <c r="N1625" s="30"/>
      <c r="O1625" s="30"/>
      <c r="P1625" s="32"/>
      <c r="Q1625" s="32"/>
      <c r="R1625" s="32"/>
      <c r="S1625" s="32"/>
      <c r="T1625" s="32"/>
      <c r="U1625" s="30"/>
    </row>
    <row r="1626" spans="1:21">
      <c r="A1626" s="29"/>
      <c r="B1626" s="29"/>
      <c r="C1626" s="29"/>
      <c r="D1626" s="29"/>
      <c r="E1626" s="29"/>
      <c r="F1626" s="29"/>
      <c r="G1626" s="29"/>
      <c r="H1626" s="29"/>
      <c r="J1626" s="29"/>
      <c r="K1626" s="29"/>
      <c r="L1626" s="19"/>
      <c r="M1626" s="19"/>
      <c r="N1626" s="30"/>
      <c r="O1626" s="30"/>
      <c r="P1626" s="32"/>
      <c r="Q1626" s="32"/>
      <c r="R1626" s="32"/>
      <c r="S1626" s="32"/>
      <c r="T1626" s="32"/>
      <c r="U1626" s="30"/>
    </row>
    <row r="1627" spans="1:21">
      <c r="A1627" s="29"/>
      <c r="B1627" s="29"/>
      <c r="C1627" s="29"/>
      <c r="D1627" s="29"/>
      <c r="E1627" s="29"/>
      <c r="F1627" s="29"/>
      <c r="G1627" s="29"/>
      <c r="H1627" s="29"/>
      <c r="J1627" s="29"/>
      <c r="K1627" s="29"/>
      <c r="L1627" s="19"/>
      <c r="M1627" s="19"/>
      <c r="N1627" s="30"/>
      <c r="O1627" s="30"/>
      <c r="P1627" s="32"/>
      <c r="Q1627" s="32"/>
      <c r="R1627" s="32"/>
      <c r="S1627" s="32"/>
      <c r="T1627" s="32"/>
      <c r="U1627" s="30"/>
    </row>
    <row r="1628" spans="1:21">
      <c r="A1628" s="29"/>
      <c r="B1628" s="29"/>
      <c r="C1628" s="29"/>
      <c r="D1628" s="29"/>
      <c r="E1628" s="29"/>
      <c r="F1628" s="29"/>
      <c r="G1628" s="29"/>
      <c r="H1628" s="29"/>
      <c r="J1628" s="29"/>
      <c r="K1628" s="29"/>
      <c r="L1628" s="19"/>
      <c r="M1628" s="19"/>
      <c r="N1628" s="30"/>
      <c r="O1628" s="30"/>
      <c r="P1628" s="32"/>
      <c r="Q1628" s="32"/>
      <c r="R1628" s="32"/>
      <c r="S1628" s="32"/>
      <c r="T1628" s="32"/>
      <c r="U1628" s="30"/>
    </row>
    <row r="1629" spans="1:21">
      <c r="A1629" s="29"/>
      <c r="B1629" s="29"/>
      <c r="C1629" s="29"/>
      <c r="D1629" s="29"/>
      <c r="E1629" s="29"/>
      <c r="F1629" s="29"/>
      <c r="G1629" s="29"/>
      <c r="H1629" s="29"/>
      <c r="J1629" s="29"/>
      <c r="K1629" s="29"/>
      <c r="L1629" s="19"/>
      <c r="M1629" s="19"/>
      <c r="N1629" s="30"/>
      <c r="O1629" s="30"/>
      <c r="P1629" s="32"/>
      <c r="Q1629" s="32"/>
      <c r="R1629" s="32"/>
      <c r="S1629" s="32"/>
      <c r="T1629" s="32"/>
      <c r="U1629" s="30"/>
    </row>
    <row r="1630" spans="1:21">
      <c r="A1630" s="29"/>
      <c r="B1630" s="29"/>
      <c r="C1630" s="29"/>
      <c r="D1630" s="29"/>
      <c r="E1630" s="29"/>
      <c r="F1630" s="29"/>
      <c r="G1630" s="29"/>
      <c r="H1630" s="29"/>
      <c r="J1630" s="29"/>
      <c r="K1630" s="29"/>
      <c r="L1630" s="19"/>
      <c r="M1630" s="19"/>
      <c r="N1630" s="30"/>
      <c r="O1630" s="30"/>
      <c r="P1630" s="32"/>
      <c r="Q1630" s="32"/>
      <c r="R1630" s="32"/>
      <c r="S1630" s="32"/>
      <c r="T1630" s="32"/>
      <c r="U1630" s="30"/>
    </row>
    <row r="1631" spans="1:21">
      <c r="A1631" s="29"/>
      <c r="B1631" s="29"/>
      <c r="C1631" s="29"/>
      <c r="D1631" s="29"/>
      <c r="E1631" s="29"/>
      <c r="F1631" s="29"/>
      <c r="G1631" s="29"/>
      <c r="H1631" s="29"/>
      <c r="J1631" s="29"/>
      <c r="K1631" s="29"/>
      <c r="L1631" s="19"/>
      <c r="M1631" s="19"/>
      <c r="N1631" s="30"/>
      <c r="O1631" s="30"/>
      <c r="P1631" s="32"/>
      <c r="Q1631" s="32"/>
      <c r="R1631" s="32"/>
      <c r="S1631" s="32"/>
      <c r="T1631" s="32"/>
      <c r="U1631" s="30"/>
    </row>
    <row r="1632" spans="1:21">
      <c r="A1632" s="29"/>
      <c r="B1632" s="29"/>
      <c r="C1632" s="29"/>
      <c r="D1632" s="29"/>
      <c r="E1632" s="29"/>
      <c r="F1632" s="29"/>
      <c r="G1632" s="29"/>
      <c r="H1632" s="29"/>
      <c r="J1632" s="29"/>
      <c r="K1632" s="29"/>
      <c r="L1632" s="19"/>
      <c r="M1632" s="19"/>
      <c r="N1632" s="30"/>
      <c r="O1632" s="30"/>
      <c r="P1632" s="32"/>
      <c r="Q1632" s="32"/>
      <c r="R1632" s="32"/>
      <c r="S1632" s="32"/>
      <c r="T1632" s="32"/>
      <c r="U1632" s="30"/>
    </row>
    <row r="1633" spans="1:21">
      <c r="A1633" s="29"/>
      <c r="B1633" s="29"/>
      <c r="C1633" s="29"/>
      <c r="D1633" s="29"/>
      <c r="E1633" s="29"/>
      <c r="F1633" s="29"/>
      <c r="G1633" s="29"/>
      <c r="H1633" s="29"/>
      <c r="J1633" s="29"/>
      <c r="K1633" s="29"/>
      <c r="L1633" s="19"/>
      <c r="M1633" s="19"/>
      <c r="N1633" s="30"/>
      <c r="O1633" s="30"/>
      <c r="P1633" s="32"/>
      <c r="Q1633" s="32"/>
      <c r="R1633" s="32"/>
      <c r="S1633" s="32"/>
      <c r="T1633" s="32"/>
      <c r="U1633" s="30"/>
    </row>
    <row r="1634" spans="1:21">
      <c r="A1634" s="29"/>
      <c r="B1634" s="29"/>
      <c r="C1634" s="29"/>
      <c r="D1634" s="29"/>
      <c r="E1634" s="29"/>
      <c r="F1634" s="29"/>
      <c r="G1634" s="29"/>
      <c r="H1634" s="29"/>
      <c r="J1634" s="29"/>
      <c r="K1634" s="29"/>
      <c r="L1634" s="19"/>
      <c r="M1634" s="19"/>
      <c r="N1634" s="30"/>
      <c r="O1634" s="30"/>
      <c r="P1634" s="32"/>
      <c r="Q1634" s="32"/>
      <c r="R1634" s="32"/>
      <c r="S1634" s="32"/>
      <c r="T1634" s="32"/>
      <c r="U1634" s="30"/>
    </row>
    <row r="1635" spans="1:21">
      <c r="A1635" s="29"/>
      <c r="B1635" s="29"/>
      <c r="C1635" s="29"/>
      <c r="D1635" s="29"/>
      <c r="E1635" s="29"/>
      <c r="F1635" s="29"/>
      <c r="G1635" s="29"/>
      <c r="H1635" s="29"/>
      <c r="J1635" s="29"/>
      <c r="K1635" s="29"/>
      <c r="L1635" s="19"/>
      <c r="M1635" s="19"/>
      <c r="N1635" s="30"/>
      <c r="O1635" s="30"/>
      <c r="P1635" s="32"/>
      <c r="Q1635" s="32"/>
      <c r="R1635" s="32"/>
      <c r="S1635" s="32"/>
      <c r="T1635" s="32"/>
      <c r="U1635" s="30"/>
    </row>
    <row r="1636" spans="1:21">
      <c r="A1636" s="29"/>
      <c r="B1636" s="29"/>
      <c r="C1636" s="29"/>
      <c r="D1636" s="29"/>
      <c r="E1636" s="29"/>
      <c r="F1636" s="29"/>
      <c r="G1636" s="29"/>
      <c r="H1636" s="29"/>
      <c r="J1636" s="29"/>
      <c r="K1636" s="29"/>
      <c r="L1636" s="19"/>
      <c r="M1636" s="19"/>
      <c r="N1636" s="30"/>
      <c r="O1636" s="30"/>
      <c r="P1636" s="32"/>
      <c r="Q1636" s="32"/>
      <c r="R1636" s="32"/>
      <c r="S1636" s="32"/>
      <c r="T1636" s="32"/>
      <c r="U1636" s="30"/>
    </row>
    <row r="1637" spans="1:21">
      <c r="A1637" s="29"/>
      <c r="B1637" s="29"/>
      <c r="C1637" s="29"/>
      <c r="D1637" s="29"/>
      <c r="E1637" s="29"/>
      <c r="F1637" s="29"/>
      <c r="G1637" s="29"/>
      <c r="H1637" s="29"/>
      <c r="J1637" s="29"/>
      <c r="K1637" s="29"/>
      <c r="L1637" s="19"/>
      <c r="M1637" s="19"/>
      <c r="N1637" s="30"/>
      <c r="O1637" s="30"/>
      <c r="P1637" s="32"/>
      <c r="Q1637" s="32"/>
      <c r="R1637" s="32"/>
      <c r="S1637" s="32"/>
      <c r="T1637" s="32"/>
      <c r="U1637" s="30"/>
    </row>
    <row r="1638" spans="1:21">
      <c r="A1638" s="29"/>
      <c r="B1638" s="29"/>
      <c r="C1638" s="29"/>
      <c r="D1638" s="29"/>
      <c r="E1638" s="29"/>
      <c r="F1638" s="29"/>
      <c r="G1638" s="29"/>
      <c r="H1638" s="29"/>
      <c r="J1638" s="29"/>
      <c r="K1638" s="29"/>
      <c r="L1638" s="19"/>
      <c r="M1638" s="19"/>
      <c r="N1638" s="30"/>
      <c r="O1638" s="30"/>
      <c r="P1638" s="32"/>
      <c r="Q1638" s="32"/>
      <c r="R1638" s="32"/>
      <c r="S1638" s="32"/>
      <c r="T1638" s="32"/>
      <c r="U1638" s="30"/>
    </row>
    <row r="1639" spans="1:21">
      <c r="A1639" s="29"/>
      <c r="B1639" s="29"/>
      <c r="C1639" s="29"/>
      <c r="D1639" s="29"/>
      <c r="E1639" s="29"/>
      <c r="F1639" s="29"/>
      <c r="G1639" s="29"/>
      <c r="H1639" s="29"/>
      <c r="J1639" s="29"/>
      <c r="K1639" s="29"/>
      <c r="L1639" s="19"/>
      <c r="M1639" s="19"/>
      <c r="N1639" s="30"/>
      <c r="O1639" s="30"/>
      <c r="P1639" s="32"/>
      <c r="Q1639" s="32"/>
      <c r="R1639" s="32"/>
      <c r="S1639" s="32"/>
      <c r="T1639" s="32"/>
      <c r="U1639" s="30"/>
    </row>
    <row r="1640" spans="1:21">
      <c r="A1640" s="29"/>
      <c r="B1640" s="29"/>
      <c r="C1640" s="29"/>
      <c r="D1640" s="29"/>
      <c r="E1640" s="29"/>
      <c r="F1640" s="29"/>
      <c r="G1640" s="29"/>
      <c r="H1640" s="29"/>
      <c r="J1640" s="29"/>
      <c r="K1640" s="29"/>
      <c r="L1640" s="19"/>
      <c r="M1640" s="19"/>
      <c r="N1640" s="30"/>
      <c r="O1640" s="30"/>
      <c r="P1640" s="32"/>
      <c r="Q1640" s="32"/>
      <c r="R1640" s="32"/>
      <c r="S1640" s="32"/>
      <c r="T1640" s="32"/>
      <c r="U1640" s="30"/>
    </row>
    <row r="1641" spans="1:21">
      <c r="A1641" s="29"/>
      <c r="B1641" s="29"/>
      <c r="C1641" s="29"/>
      <c r="D1641" s="29"/>
      <c r="E1641" s="29"/>
      <c r="F1641" s="29"/>
      <c r="G1641" s="29"/>
      <c r="H1641" s="29"/>
      <c r="J1641" s="29"/>
      <c r="K1641" s="29"/>
      <c r="L1641" s="19"/>
      <c r="M1641" s="19"/>
      <c r="N1641" s="30"/>
      <c r="O1641" s="30"/>
      <c r="P1641" s="32"/>
      <c r="Q1641" s="32"/>
      <c r="R1641" s="32"/>
      <c r="S1641" s="32"/>
      <c r="T1641" s="32"/>
      <c r="U1641" s="30"/>
    </row>
    <row r="1642" spans="1:21">
      <c r="A1642" s="29"/>
      <c r="B1642" s="29"/>
      <c r="C1642" s="29"/>
      <c r="D1642" s="29"/>
      <c r="E1642" s="29"/>
      <c r="F1642" s="29"/>
      <c r="G1642" s="29"/>
      <c r="H1642" s="29"/>
      <c r="J1642" s="29"/>
      <c r="K1642" s="29"/>
      <c r="L1642" s="19"/>
      <c r="M1642" s="19"/>
      <c r="N1642" s="30"/>
      <c r="O1642" s="30"/>
      <c r="P1642" s="32"/>
      <c r="Q1642" s="32"/>
      <c r="R1642" s="32"/>
      <c r="S1642" s="32"/>
      <c r="T1642" s="32"/>
      <c r="U1642" s="30"/>
    </row>
    <row r="1643" spans="1:21">
      <c r="A1643" s="29"/>
      <c r="B1643" s="29"/>
      <c r="C1643" s="29"/>
      <c r="D1643" s="29"/>
      <c r="E1643" s="29"/>
      <c r="F1643" s="29"/>
      <c r="G1643" s="29"/>
      <c r="H1643" s="29"/>
      <c r="J1643" s="29"/>
      <c r="K1643" s="29"/>
      <c r="L1643" s="19"/>
      <c r="M1643" s="19"/>
      <c r="N1643" s="30"/>
      <c r="O1643" s="30"/>
      <c r="P1643" s="32"/>
      <c r="Q1643" s="32"/>
      <c r="R1643" s="32"/>
      <c r="S1643" s="32"/>
      <c r="T1643" s="32"/>
      <c r="U1643" s="30"/>
    </row>
    <row r="1644" spans="1:21">
      <c r="A1644" s="29"/>
      <c r="B1644" s="29"/>
      <c r="C1644" s="29"/>
      <c r="D1644" s="29"/>
      <c r="E1644" s="29"/>
      <c r="F1644" s="29"/>
      <c r="G1644" s="29"/>
      <c r="H1644" s="29"/>
      <c r="J1644" s="29"/>
      <c r="K1644" s="29"/>
      <c r="L1644" s="19"/>
      <c r="M1644" s="19"/>
      <c r="N1644" s="30"/>
      <c r="O1644" s="30"/>
      <c r="P1644" s="32"/>
      <c r="Q1644" s="32"/>
      <c r="R1644" s="32"/>
      <c r="S1644" s="32"/>
      <c r="T1644" s="32"/>
      <c r="U1644" s="30"/>
    </row>
    <row r="1645" spans="1:21">
      <c r="A1645" s="29"/>
      <c r="B1645" s="29"/>
      <c r="C1645" s="29"/>
      <c r="D1645" s="29"/>
      <c r="E1645" s="29"/>
      <c r="F1645" s="29"/>
      <c r="G1645" s="29"/>
      <c r="H1645" s="29"/>
      <c r="J1645" s="29"/>
      <c r="K1645" s="29"/>
      <c r="L1645" s="19"/>
      <c r="M1645" s="19"/>
      <c r="N1645" s="30"/>
      <c r="O1645" s="30"/>
      <c r="P1645" s="32"/>
      <c r="Q1645" s="32"/>
      <c r="R1645" s="32"/>
      <c r="S1645" s="32"/>
      <c r="T1645" s="32"/>
      <c r="U1645" s="30"/>
    </row>
    <row r="1646" spans="1:21">
      <c r="A1646" s="29"/>
      <c r="B1646" s="29"/>
      <c r="C1646" s="29"/>
      <c r="D1646" s="29"/>
      <c r="E1646" s="29"/>
      <c r="F1646" s="29"/>
      <c r="G1646" s="29"/>
      <c r="H1646" s="29"/>
      <c r="J1646" s="29"/>
      <c r="K1646" s="29"/>
      <c r="L1646" s="19"/>
      <c r="M1646" s="19"/>
      <c r="N1646" s="30"/>
      <c r="O1646" s="30"/>
      <c r="P1646" s="32"/>
      <c r="Q1646" s="32"/>
      <c r="R1646" s="32"/>
      <c r="S1646" s="32"/>
      <c r="T1646" s="32"/>
      <c r="U1646" s="30"/>
    </row>
    <row r="1647" spans="1:21">
      <c r="A1647" s="29"/>
      <c r="B1647" s="29"/>
      <c r="C1647" s="29"/>
      <c r="D1647" s="29"/>
      <c r="E1647" s="29"/>
      <c r="F1647" s="29"/>
      <c r="G1647" s="29"/>
      <c r="H1647" s="29"/>
      <c r="J1647" s="29"/>
      <c r="K1647" s="29"/>
      <c r="L1647" s="19"/>
      <c r="M1647" s="19"/>
      <c r="N1647" s="30"/>
      <c r="O1647" s="30"/>
      <c r="P1647" s="32"/>
      <c r="Q1647" s="32"/>
      <c r="R1647" s="32"/>
      <c r="S1647" s="32"/>
      <c r="T1647" s="32"/>
      <c r="U1647" s="30"/>
    </row>
    <row r="1648" spans="1:21">
      <c r="A1648" s="29"/>
      <c r="B1648" s="29"/>
      <c r="C1648" s="29"/>
      <c r="D1648" s="29"/>
      <c r="E1648" s="29"/>
      <c r="F1648" s="29"/>
      <c r="G1648" s="29"/>
      <c r="H1648" s="29"/>
      <c r="J1648" s="29"/>
      <c r="K1648" s="29"/>
      <c r="L1648" s="19"/>
      <c r="M1648" s="19"/>
      <c r="N1648" s="30"/>
      <c r="O1648" s="30"/>
      <c r="P1648" s="32"/>
      <c r="Q1648" s="32"/>
      <c r="R1648" s="32"/>
      <c r="S1648" s="32"/>
      <c r="T1648" s="32"/>
      <c r="U1648" s="30"/>
    </row>
    <row r="1649" spans="1:21">
      <c r="A1649" s="29"/>
      <c r="B1649" s="29"/>
      <c r="C1649" s="29"/>
      <c r="D1649" s="29"/>
      <c r="E1649" s="29"/>
      <c r="F1649" s="29"/>
      <c r="G1649" s="29"/>
      <c r="H1649" s="29"/>
      <c r="J1649" s="29"/>
      <c r="K1649" s="29"/>
      <c r="L1649" s="19"/>
      <c r="M1649" s="19"/>
      <c r="N1649" s="30"/>
      <c r="O1649" s="30"/>
      <c r="P1649" s="32"/>
      <c r="Q1649" s="32"/>
      <c r="R1649" s="32"/>
      <c r="S1649" s="32"/>
      <c r="T1649" s="32"/>
      <c r="U1649" s="30"/>
    </row>
    <row r="1650" spans="1:21">
      <c r="A1650" s="29"/>
      <c r="B1650" s="29"/>
      <c r="C1650" s="29"/>
      <c r="D1650" s="29"/>
      <c r="E1650" s="29"/>
      <c r="F1650" s="29"/>
      <c r="G1650" s="29"/>
      <c r="H1650" s="29"/>
      <c r="J1650" s="29"/>
      <c r="K1650" s="29"/>
      <c r="L1650" s="19"/>
      <c r="M1650" s="19"/>
      <c r="N1650" s="30"/>
      <c r="O1650" s="30"/>
      <c r="P1650" s="32"/>
      <c r="Q1650" s="32"/>
      <c r="R1650" s="32"/>
      <c r="S1650" s="32"/>
      <c r="T1650" s="32"/>
      <c r="U1650" s="30"/>
    </row>
    <row r="1651" spans="1:21">
      <c r="A1651" s="29"/>
      <c r="B1651" s="29"/>
      <c r="C1651" s="29"/>
      <c r="D1651" s="29"/>
      <c r="E1651" s="29"/>
      <c r="F1651" s="29"/>
      <c r="G1651" s="29"/>
      <c r="H1651" s="29"/>
      <c r="J1651" s="29"/>
      <c r="K1651" s="29"/>
      <c r="L1651" s="19"/>
      <c r="M1651" s="19"/>
      <c r="N1651" s="30"/>
      <c r="O1651" s="30"/>
      <c r="P1651" s="32"/>
      <c r="Q1651" s="32"/>
      <c r="R1651" s="32"/>
      <c r="S1651" s="32"/>
      <c r="T1651" s="32"/>
      <c r="U1651" s="30"/>
    </row>
    <row r="1652" spans="1:21">
      <c r="A1652" s="29"/>
      <c r="B1652" s="29"/>
      <c r="C1652" s="29"/>
      <c r="D1652" s="29"/>
      <c r="E1652" s="29"/>
      <c r="F1652" s="29"/>
      <c r="G1652" s="29"/>
      <c r="H1652" s="29"/>
      <c r="J1652" s="29"/>
      <c r="K1652" s="29"/>
      <c r="L1652" s="19"/>
      <c r="M1652" s="19"/>
      <c r="N1652" s="30"/>
      <c r="O1652" s="30"/>
      <c r="P1652" s="32"/>
      <c r="Q1652" s="32"/>
      <c r="R1652" s="32"/>
      <c r="S1652" s="32"/>
      <c r="T1652" s="32"/>
      <c r="U1652" s="30"/>
    </row>
    <row r="1653" spans="1:21">
      <c r="A1653" s="29"/>
      <c r="B1653" s="29"/>
      <c r="C1653" s="29"/>
      <c r="D1653" s="29"/>
      <c r="E1653" s="29"/>
      <c r="F1653" s="29"/>
      <c r="G1653" s="29"/>
      <c r="H1653" s="29"/>
      <c r="J1653" s="29"/>
      <c r="K1653" s="29"/>
      <c r="L1653" s="19"/>
      <c r="M1653" s="19"/>
      <c r="N1653" s="30"/>
      <c r="O1653" s="30"/>
      <c r="P1653" s="32"/>
      <c r="Q1653" s="32"/>
      <c r="R1653" s="32"/>
      <c r="S1653" s="32"/>
      <c r="T1653" s="32"/>
      <c r="U1653" s="30"/>
    </row>
    <row r="1654" spans="1:21">
      <c r="A1654" s="29"/>
      <c r="B1654" s="29"/>
      <c r="C1654" s="29"/>
      <c r="D1654" s="29"/>
      <c r="E1654" s="29"/>
      <c r="F1654" s="29"/>
      <c r="G1654" s="29"/>
      <c r="H1654" s="29"/>
      <c r="J1654" s="29"/>
      <c r="K1654" s="29"/>
      <c r="L1654" s="19"/>
      <c r="M1654" s="19"/>
      <c r="N1654" s="30"/>
      <c r="O1654" s="30"/>
      <c r="P1654" s="32"/>
      <c r="Q1654" s="32"/>
      <c r="R1654" s="32"/>
      <c r="S1654" s="32"/>
      <c r="T1654" s="32"/>
      <c r="U1654" s="30"/>
    </row>
    <row r="1655" spans="1:21">
      <c r="A1655" s="29"/>
      <c r="B1655" s="29"/>
      <c r="C1655" s="29"/>
      <c r="D1655" s="29"/>
      <c r="E1655" s="29"/>
      <c r="F1655" s="29"/>
      <c r="G1655" s="29"/>
      <c r="H1655" s="29"/>
      <c r="J1655" s="29"/>
      <c r="K1655" s="29"/>
      <c r="L1655" s="19"/>
      <c r="M1655" s="19"/>
      <c r="N1655" s="30"/>
      <c r="O1655" s="30"/>
      <c r="P1655" s="32"/>
      <c r="Q1655" s="32"/>
      <c r="R1655" s="32"/>
      <c r="S1655" s="32"/>
      <c r="T1655" s="32"/>
      <c r="U1655" s="30"/>
    </row>
    <row r="1656" spans="1:21">
      <c r="A1656" s="29"/>
      <c r="B1656" s="29"/>
      <c r="C1656" s="29"/>
      <c r="D1656" s="29"/>
      <c r="E1656" s="29"/>
      <c r="F1656" s="29"/>
      <c r="G1656" s="29"/>
      <c r="H1656" s="29"/>
      <c r="J1656" s="29"/>
      <c r="K1656" s="29"/>
      <c r="L1656" s="19"/>
      <c r="M1656" s="19"/>
      <c r="N1656" s="30"/>
      <c r="O1656" s="30"/>
      <c r="P1656" s="32"/>
      <c r="Q1656" s="32"/>
      <c r="R1656" s="32"/>
      <c r="S1656" s="32"/>
      <c r="T1656" s="32"/>
      <c r="U1656" s="30"/>
    </row>
    <row r="1657" spans="1:21">
      <c r="A1657" s="29"/>
      <c r="B1657" s="29"/>
      <c r="C1657" s="29"/>
      <c r="D1657" s="29"/>
      <c r="E1657" s="29"/>
      <c r="F1657" s="29"/>
      <c r="G1657" s="29"/>
      <c r="H1657" s="29"/>
      <c r="J1657" s="29"/>
      <c r="K1657" s="29"/>
      <c r="L1657" s="19"/>
      <c r="M1657" s="19"/>
      <c r="N1657" s="30"/>
      <c r="O1657" s="30"/>
      <c r="P1657" s="32"/>
      <c r="Q1657" s="32"/>
      <c r="R1657" s="32"/>
      <c r="S1657" s="32"/>
      <c r="T1657" s="32"/>
      <c r="U1657" s="30"/>
    </row>
    <row r="1658" spans="1:21">
      <c r="A1658" s="29"/>
      <c r="B1658" s="29"/>
      <c r="C1658" s="29"/>
      <c r="D1658" s="29"/>
      <c r="E1658" s="29"/>
      <c r="F1658" s="29"/>
      <c r="G1658" s="29"/>
      <c r="H1658" s="29"/>
      <c r="J1658" s="29"/>
      <c r="K1658" s="29"/>
      <c r="L1658" s="19"/>
      <c r="M1658" s="19"/>
      <c r="N1658" s="30"/>
      <c r="O1658" s="30"/>
      <c r="P1658" s="32"/>
      <c r="Q1658" s="32"/>
      <c r="R1658" s="32"/>
      <c r="S1658" s="32"/>
      <c r="T1658" s="32"/>
      <c r="U1658" s="30"/>
    </row>
    <row r="1659" spans="1:21">
      <c r="A1659" s="29"/>
      <c r="B1659" s="29"/>
      <c r="C1659" s="29"/>
      <c r="D1659" s="29"/>
      <c r="E1659" s="29"/>
      <c r="F1659" s="29"/>
      <c r="G1659" s="29"/>
      <c r="H1659" s="29"/>
      <c r="J1659" s="29"/>
      <c r="K1659" s="29"/>
      <c r="L1659" s="19"/>
      <c r="M1659" s="19"/>
      <c r="N1659" s="30"/>
      <c r="O1659" s="30"/>
      <c r="P1659" s="32"/>
      <c r="Q1659" s="32"/>
      <c r="R1659" s="32"/>
      <c r="S1659" s="32"/>
      <c r="T1659" s="32"/>
      <c r="U1659" s="30"/>
    </row>
    <row r="1660" spans="1:21">
      <c r="A1660" s="29"/>
      <c r="B1660" s="29"/>
      <c r="C1660" s="29"/>
      <c r="D1660" s="29"/>
      <c r="E1660" s="29"/>
      <c r="F1660" s="29"/>
      <c r="G1660" s="29"/>
      <c r="H1660" s="29"/>
      <c r="J1660" s="29"/>
      <c r="K1660" s="29"/>
      <c r="L1660" s="19"/>
      <c r="M1660" s="19"/>
      <c r="N1660" s="30"/>
      <c r="O1660" s="30"/>
      <c r="P1660" s="32"/>
      <c r="Q1660" s="32"/>
      <c r="R1660" s="32"/>
      <c r="S1660" s="32"/>
      <c r="T1660" s="32"/>
      <c r="U1660" s="30"/>
    </row>
    <row r="1661" spans="1:21">
      <c r="A1661" s="29"/>
      <c r="B1661" s="29"/>
      <c r="C1661" s="29"/>
      <c r="D1661" s="29"/>
      <c r="E1661" s="29"/>
      <c r="F1661" s="29"/>
      <c r="G1661" s="29"/>
      <c r="H1661" s="29"/>
      <c r="J1661" s="29"/>
      <c r="K1661" s="29"/>
      <c r="L1661" s="19"/>
      <c r="M1661" s="19"/>
      <c r="N1661" s="30"/>
      <c r="O1661" s="30"/>
      <c r="P1661" s="32"/>
      <c r="Q1661" s="32"/>
      <c r="R1661" s="32"/>
      <c r="S1661" s="32"/>
      <c r="T1661" s="32"/>
      <c r="U1661" s="30"/>
    </row>
    <row r="1662" spans="1:21">
      <c r="A1662" s="29"/>
      <c r="B1662" s="29"/>
      <c r="C1662" s="29"/>
      <c r="D1662" s="29"/>
      <c r="E1662" s="29"/>
      <c r="F1662" s="29"/>
      <c r="G1662" s="29"/>
      <c r="H1662" s="29"/>
      <c r="J1662" s="29"/>
      <c r="K1662" s="29"/>
      <c r="L1662" s="19"/>
      <c r="M1662" s="19"/>
      <c r="N1662" s="30"/>
      <c r="O1662" s="30"/>
      <c r="P1662" s="32"/>
      <c r="Q1662" s="32"/>
      <c r="R1662" s="32"/>
      <c r="S1662" s="32"/>
      <c r="T1662" s="32"/>
      <c r="U1662" s="30"/>
    </row>
    <row r="1663" spans="1:21">
      <c r="A1663" s="29"/>
      <c r="B1663" s="29"/>
      <c r="C1663" s="29"/>
      <c r="D1663" s="29"/>
      <c r="E1663" s="29"/>
      <c r="F1663" s="29"/>
      <c r="G1663" s="29"/>
      <c r="H1663" s="29"/>
      <c r="J1663" s="29"/>
      <c r="K1663" s="29"/>
      <c r="L1663" s="19"/>
      <c r="M1663" s="19"/>
      <c r="N1663" s="30"/>
      <c r="O1663" s="30"/>
      <c r="P1663" s="32"/>
      <c r="Q1663" s="32"/>
      <c r="R1663" s="32"/>
      <c r="S1663" s="32"/>
      <c r="T1663" s="32"/>
      <c r="U1663" s="30"/>
    </row>
    <row r="1664" spans="1:21">
      <c r="A1664" s="29"/>
      <c r="B1664" s="29"/>
      <c r="C1664" s="29"/>
      <c r="D1664" s="29"/>
      <c r="E1664" s="29"/>
      <c r="F1664" s="29"/>
      <c r="G1664" s="29"/>
      <c r="H1664" s="29"/>
      <c r="J1664" s="29"/>
      <c r="K1664" s="29"/>
      <c r="L1664" s="19"/>
      <c r="M1664" s="19"/>
      <c r="N1664" s="30"/>
      <c r="O1664" s="30"/>
      <c r="P1664" s="32"/>
      <c r="Q1664" s="32"/>
      <c r="R1664" s="32"/>
      <c r="S1664" s="32"/>
      <c r="T1664" s="32"/>
      <c r="U1664" s="30"/>
    </row>
    <row r="1665" spans="1:21">
      <c r="A1665" s="29"/>
      <c r="B1665" s="29"/>
      <c r="C1665" s="29"/>
      <c r="D1665" s="29"/>
      <c r="E1665" s="29"/>
      <c r="F1665" s="29"/>
      <c r="G1665" s="29"/>
      <c r="H1665" s="29"/>
      <c r="J1665" s="29"/>
      <c r="K1665" s="29"/>
      <c r="L1665" s="19"/>
      <c r="M1665" s="19"/>
      <c r="N1665" s="30"/>
      <c r="O1665" s="30"/>
      <c r="P1665" s="32"/>
      <c r="Q1665" s="32"/>
      <c r="R1665" s="32"/>
      <c r="S1665" s="32"/>
      <c r="T1665" s="32"/>
      <c r="U1665" s="30"/>
    </row>
    <row r="1666" spans="1:21">
      <c r="A1666" s="29"/>
      <c r="B1666" s="29"/>
      <c r="C1666" s="29"/>
      <c r="D1666" s="29"/>
      <c r="E1666" s="29"/>
      <c r="F1666" s="29"/>
      <c r="G1666" s="29"/>
      <c r="H1666" s="29"/>
      <c r="J1666" s="29"/>
      <c r="K1666" s="29"/>
      <c r="L1666" s="19"/>
      <c r="M1666" s="19"/>
      <c r="N1666" s="30"/>
      <c r="O1666" s="30"/>
      <c r="P1666" s="32"/>
      <c r="Q1666" s="32"/>
      <c r="R1666" s="32"/>
      <c r="S1666" s="32"/>
      <c r="T1666" s="32"/>
      <c r="U1666" s="30"/>
    </row>
    <row r="1667" spans="1:21">
      <c r="A1667" s="29"/>
      <c r="B1667" s="29"/>
      <c r="C1667" s="29"/>
      <c r="D1667" s="29"/>
      <c r="E1667" s="29"/>
      <c r="F1667" s="29"/>
      <c r="G1667" s="29"/>
      <c r="H1667" s="29"/>
      <c r="J1667" s="29"/>
      <c r="K1667" s="29"/>
      <c r="L1667" s="19"/>
      <c r="M1667" s="19"/>
      <c r="N1667" s="30"/>
      <c r="O1667" s="30"/>
      <c r="P1667" s="32"/>
      <c r="Q1667" s="32"/>
      <c r="R1667" s="32"/>
      <c r="S1667" s="32"/>
      <c r="T1667" s="32"/>
      <c r="U1667" s="30"/>
    </row>
    <row r="1668" spans="1:21">
      <c r="A1668" s="29"/>
      <c r="B1668" s="29"/>
      <c r="C1668" s="29"/>
      <c r="D1668" s="29"/>
      <c r="E1668" s="29"/>
      <c r="F1668" s="29"/>
      <c r="G1668" s="29"/>
      <c r="H1668" s="29"/>
      <c r="J1668" s="29"/>
      <c r="K1668" s="29"/>
      <c r="L1668" s="19"/>
      <c r="M1668" s="19"/>
      <c r="N1668" s="30"/>
      <c r="O1668" s="30"/>
      <c r="P1668" s="32"/>
      <c r="Q1668" s="32"/>
      <c r="R1668" s="32"/>
      <c r="S1668" s="32"/>
      <c r="T1668" s="32"/>
      <c r="U1668" s="30"/>
    </row>
    <row r="1669" spans="1:21">
      <c r="A1669" s="29"/>
      <c r="B1669" s="29"/>
      <c r="C1669" s="29"/>
      <c r="D1669" s="29"/>
      <c r="E1669" s="29"/>
      <c r="F1669" s="29"/>
      <c r="G1669" s="29"/>
      <c r="H1669" s="29"/>
      <c r="J1669" s="29"/>
      <c r="K1669" s="29"/>
      <c r="L1669" s="19"/>
      <c r="M1669" s="19"/>
      <c r="N1669" s="30"/>
      <c r="O1669" s="30"/>
      <c r="P1669" s="32"/>
      <c r="Q1669" s="32"/>
      <c r="R1669" s="32"/>
      <c r="S1669" s="32"/>
      <c r="T1669" s="32"/>
      <c r="U1669" s="30"/>
    </row>
    <row r="1670" spans="1:21">
      <c r="A1670" s="29"/>
      <c r="B1670" s="29"/>
      <c r="C1670" s="29"/>
      <c r="D1670" s="29"/>
      <c r="E1670" s="29"/>
      <c r="F1670" s="29"/>
      <c r="G1670" s="29"/>
      <c r="H1670" s="29"/>
      <c r="J1670" s="29"/>
      <c r="K1670" s="29"/>
      <c r="L1670" s="19"/>
      <c r="M1670" s="19"/>
      <c r="N1670" s="30"/>
      <c r="O1670" s="30"/>
      <c r="P1670" s="32"/>
      <c r="Q1670" s="32"/>
      <c r="R1670" s="32"/>
      <c r="S1670" s="32"/>
      <c r="T1670" s="32"/>
      <c r="U1670" s="30"/>
    </row>
    <row r="1671" spans="1:21">
      <c r="A1671" s="29"/>
      <c r="B1671" s="29"/>
      <c r="C1671" s="29"/>
      <c r="D1671" s="29"/>
      <c r="E1671" s="29"/>
      <c r="F1671" s="29"/>
      <c r="G1671" s="29"/>
      <c r="H1671" s="29"/>
      <c r="J1671" s="29"/>
      <c r="K1671" s="29"/>
      <c r="L1671" s="19"/>
      <c r="M1671" s="19"/>
      <c r="N1671" s="30"/>
      <c r="O1671" s="30"/>
      <c r="P1671" s="32"/>
      <c r="Q1671" s="32"/>
      <c r="R1671" s="32"/>
      <c r="S1671" s="32"/>
      <c r="T1671" s="32"/>
      <c r="U1671" s="30"/>
    </row>
    <row r="1672" spans="1:21">
      <c r="A1672" s="29"/>
      <c r="B1672" s="29"/>
      <c r="C1672" s="29"/>
      <c r="D1672" s="29"/>
      <c r="E1672" s="29"/>
      <c r="F1672" s="29"/>
      <c r="G1672" s="29"/>
      <c r="H1672" s="29"/>
      <c r="J1672" s="29"/>
      <c r="K1672" s="29"/>
      <c r="L1672" s="19"/>
      <c r="M1672" s="19"/>
      <c r="N1672" s="30"/>
      <c r="O1672" s="30"/>
      <c r="P1672" s="32"/>
      <c r="Q1672" s="32"/>
      <c r="R1672" s="32"/>
      <c r="S1672" s="32"/>
      <c r="T1672" s="32"/>
      <c r="U1672" s="30"/>
    </row>
    <row r="1673" spans="1:21">
      <c r="A1673" s="29"/>
      <c r="B1673" s="29"/>
      <c r="C1673" s="29"/>
      <c r="D1673" s="29"/>
      <c r="E1673" s="29"/>
      <c r="F1673" s="29"/>
      <c r="G1673" s="29"/>
      <c r="H1673" s="29"/>
      <c r="J1673" s="29"/>
      <c r="K1673" s="29"/>
      <c r="L1673" s="19"/>
      <c r="M1673" s="19"/>
      <c r="N1673" s="30"/>
      <c r="O1673" s="30"/>
      <c r="P1673" s="32"/>
      <c r="Q1673" s="32"/>
      <c r="R1673" s="32"/>
      <c r="S1673" s="32"/>
      <c r="T1673" s="32"/>
      <c r="U1673" s="30"/>
    </row>
    <row r="1674" spans="1:21">
      <c r="A1674" s="29"/>
      <c r="B1674" s="29"/>
      <c r="C1674" s="29"/>
      <c r="D1674" s="29"/>
      <c r="E1674" s="29"/>
      <c r="F1674" s="29"/>
      <c r="G1674" s="29"/>
      <c r="H1674" s="29"/>
      <c r="J1674" s="29"/>
      <c r="K1674" s="29"/>
      <c r="L1674" s="19"/>
      <c r="M1674" s="19"/>
      <c r="N1674" s="30"/>
      <c r="O1674" s="30"/>
      <c r="P1674" s="32"/>
      <c r="Q1674" s="32"/>
      <c r="R1674" s="32"/>
      <c r="S1674" s="32"/>
      <c r="T1674" s="32"/>
      <c r="U1674" s="30"/>
    </row>
    <row r="1675" spans="1:21">
      <c r="A1675" s="29"/>
      <c r="B1675" s="29"/>
      <c r="C1675" s="29"/>
      <c r="D1675" s="29"/>
      <c r="E1675" s="29"/>
      <c r="F1675" s="29"/>
      <c r="G1675" s="29"/>
      <c r="H1675" s="29"/>
      <c r="J1675" s="29"/>
      <c r="K1675" s="29"/>
      <c r="L1675" s="19"/>
      <c r="M1675" s="19"/>
      <c r="N1675" s="30"/>
      <c r="O1675" s="30"/>
      <c r="P1675" s="32"/>
      <c r="Q1675" s="32"/>
      <c r="R1675" s="32"/>
      <c r="S1675" s="32"/>
      <c r="T1675" s="32"/>
      <c r="U1675" s="30"/>
    </row>
    <row r="1676" spans="1:21">
      <c r="A1676" s="29"/>
      <c r="B1676" s="29"/>
      <c r="C1676" s="29"/>
      <c r="D1676" s="29"/>
      <c r="E1676" s="29"/>
      <c r="F1676" s="29"/>
      <c r="G1676" s="29"/>
      <c r="H1676" s="29"/>
      <c r="J1676" s="29"/>
      <c r="K1676" s="29"/>
      <c r="L1676" s="19"/>
      <c r="M1676" s="19"/>
      <c r="N1676" s="30"/>
      <c r="O1676" s="30"/>
      <c r="P1676" s="32"/>
      <c r="Q1676" s="32"/>
      <c r="R1676" s="32"/>
      <c r="S1676" s="32"/>
      <c r="T1676" s="32"/>
      <c r="U1676" s="30"/>
    </row>
    <row r="1677" spans="1:21">
      <c r="A1677" s="29"/>
      <c r="B1677" s="29"/>
      <c r="C1677" s="29"/>
      <c r="D1677" s="29"/>
      <c r="E1677" s="29"/>
      <c r="F1677" s="29"/>
      <c r="G1677" s="29"/>
      <c r="H1677" s="29"/>
      <c r="J1677" s="29"/>
      <c r="K1677" s="29"/>
      <c r="L1677" s="19"/>
      <c r="M1677" s="19"/>
      <c r="N1677" s="30"/>
      <c r="O1677" s="30"/>
      <c r="P1677" s="32"/>
      <c r="Q1677" s="32"/>
      <c r="R1677" s="32"/>
      <c r="S1677" s="32"/>
      <c r="T1677" s="32"/>
      <c r="U1677" s="30"/>
    </row>
    <row r="1678" spans="1:21">
      <c r="A1678" s="29"/>
      <c r="B1678" s="29"/>
      <c r="C1678" s="29"/>
      <c r="D1678" s="29"/>
      <c r="E1678" s="29"/>
      <c r="F1678" s="29"/>
      <c r="G1678" s="29"/>
      <c r="H1678" s="29"/>
      <c r="J1678" s="29"/>
      <c r="K1678" s="29"/>
      <c r="L1678" s="19"/>
      <c r="M1678" s="19"/>
      <c r="N1678" s="30"/>
      <c r="O1678" s="30"/>
      <c r="P1678" s="32"/>
      <c r="Q1678" s="32"/>
      <c r="R1678" s="32"/>
      <c r="S1678" s="32"/>
      <c r="T1678" s="32"/>
      <c r="U1678" s="30"/>
    </row>
    <row r="1679" spans="1:21">
      <c r="A1679" s="29"/>
      <c r="B1679" s="29"/>
      <c r="C1679" s="29"/>
      <c r="D1679" s="29"/>
      <c r="E1679" s="29"/>
      <c r="F1679" s="29"/>
      <c r="G1679" s="29"/>
      <c r="H1679" s="29"/>
      <c r="J1679" s="29"/>
      <c r="K1679" s="29"/>
      <c r="L1679" s="19"/>
      <c r="M1679" s="19"/>
      <c r="N1679" s="30"/>
      <c r="O1679" s="30"/>
      <c r="P1679" s="32"/>
      <c r="Q1679" s="32"/>
      <c r="R1679" s="32"/>
      <c r="S1679" s="32"/>
      <c r="T1679" s="32"/>
      <c r="U1679" s="30"/>
    </row>
    <row r="1680" spans="1:21">
      <c r="A1680" s="29"/>
      <c r="B1680" s="29"/>
      <c r="C1680" s="29"/>
      <c r="D1680" s="29"/>
      <c r="E1680" s="29"/>
      <c r="F1680" s="29"/>
      <c r="G1680" s="29"/>
      <c r="H1680" s="29"/>
      <c r="J1680" s="29"/>
      <c r="K1680" s="29"/>
      <c r="L1680" s="19"/>
      <c r="M1680" s="19"/>
      <c r="N1680" s="30"/>
      <c r="O1680" s="30"/>
      <c r="P1680" s="32"/>
      <c r="Q1680" s="32"/>
      <c r="R1680" s="32"/>
      <c r="S1680" s="32"/>
      <c r="T1680" s="32"/>
      <c r="U1680" s="30"/>
    </row>
    <row r="1681" spans="1:21">
      <c r="A1681" s="29"/>
      <c r="B1681" s="29"/>
      <c r="C1681" s="29"/>
      <c r="D1681" s="29"/>
      <c r="E1681" s="29"/>
      <c r="F1681" s="29"/>
      <c r="G1681" s="29"/>
      <c r="H1681" s="29"/>
      <c r="J1681" s="29"/>
      <c r="K1681" s="29"/>
      <c r="L1681" s="19"/>
      <c r="M1681" s="19"/>
      <c r="N1681" s="30"/>
      <c r="O1681" s="30"/>
      <c r="P1681" s="32"/>
      <c r="Q1681" s="32"/>
      <c r="R1681" s="32"/>
      <c r="S1681" s="32"/>
      <c r="T1681" s="32"/>
      <c r="U1681" s="30"/>
    </row>
    <row r="1682" spans="1:21">
      <c r="A1682" s="29"/>
      <c r="B1682" s="29"/>
      <c r="C1682" s="29"/>
      <c r="D1682" s="29"/>
      <c r="E1682" s="29"/>
      <c r="F1682" s="29"/>
      <c r="G1682" s="29"/>
      <c r="H1682" s="29"/>
      <c r="J1682" s="29"/>
      <c r="K1682" s="29"/>
      <c r="L1682" s="19"/>
      <c r="M1682" s="19"/>
      <c r="N1682" s="30"/>
      <c r="O1682" s="30"/>
      <c r="P1682" s="32"/>
      <c r="Q1682" s="32"/>
      <c r="R1682" s="32"/>
      <c r="S1682" s="32"/>
      <c r="T1682" s="32"/>
      <c r="U1682" s="30"/>
    </row>
    <row r="1683" spans="1:21">
      <c r="A1683" s="29"/>
      <c r="B1683" s="29"/>
      <c r="C1683" s="29"/>
      <c r="D1683" s="29"/>
      <c r="E1683" s="29"/>
      <c r="F1683" s="29"/>
      <c r="G1683" s="29"/>
      <c r="H1683" s="29"/>
      <c r="J1683" s="29"/>
      <c r="K1683" s="29"/>
      <c r="L1683" s="19"/>
      <c r="M1683" s="19"/>
      <c r="N1683" s="30"/>
      <c r="O1683" s="30"/>
      <c r="P1683" s="32"/>
      <c r="Q1683" s="32"/>
      <c r="R1683" s="32"/>
      <c r="S1683" s="32"/>
      <c r="T1683" s="32"/>
      <c r="U1683" s="30"/>
    </row>
    <row r="1684" spans="1:21">
      <c r="A1684" s="29"/>
      <c r="B1684" s="29"/>
      <c r="C1684" s="29"/>
      <c r="D1684" s="29"/>
      <c r="E1684" s="29"/>
      <c r="F1684" s="29"/>
      <c r="G1684" s="29"/>
      <c r="H1684" s="29"/>
      <c r="J1684" s="29"/>
      <c r="K1684" s="29"/>
      <c r="L1684" s="19"/>
      <c r="M1684" s="19"/>
      <c r="N1684" s="30"/>
      <c r="O1684" s="30"/>
      <c r="P1684" s="32"/>
      <c r="Q1684" s="32"/>
      <c r="R1684" s="32"/>
      <c r="S1684" s="32"/>
      <c r="T1684" s="32"/>
      <c r="U1684" s="30"/>
    </row>
    <row r="1685" spans="1:21">
      <c r="A1685" s="29"/>
      <c r="B1685" s="29"/>
      <c r="C1685" s="29"/>
      <c r="D1685" s="29"/>
      <c r="E1685" s="29"/>
      <c r="F1685" s="29"/>
      <c r="G1685" s="29"/>
      <c r="H1685" s="29"/>
      <c r="J1685" s="29"/>
      <c r="K1685" s="29"/>
      <c r="L1685" s="19"/>
      <c r="M1685" s="19"/>
      <c r="N1685" s="30"/>
      <c r="O1685" s="30"/>
      <c r="P1685" s="32"/>
      <c r="Q1685" s="32"/>
      <c r="R1685" s="32"/>
      <c r="S1685" s="32"/>
      <c r="T1685" s="32"/>
      <c r="U1685" s="30"/>
    </row>
    <row r="1686" spans="1:21">
      <c r="A1686" s="29"/>
      <c r="B1686" s="29"/>
      <c r="C1686" s="29"/>
      <c r="D1686" s="29"/>
      <c r="E1686" s="29"/>
      <c r="F1686" s="29"/>
      <c r="G1686" s="29"/>
      <c r="H1686" s="29"/>
      <c r="J1686" s="29"/>
      <c r="K1686" s="29"/>
      <c r="L1686" s="19"/>
      <c r="M1686" s="19"/>
      <c r="N1686" s="30"/>
      <c r="O1686" s="30"/>
      <c r="P1686" s="32"/>
      <c r="Q1686" s="32"/>
      <c r="R1686" s="32"/>
      <c r="S1686" s="32"/>
      <c r="T1686" s="32"/>
      <c r="U1686" s="30"/>
    </row>
    <row r="1687" spans="1:21">
      <c r="A1687" s="29"/>
      <c r="B1687" s="29"/>
      <c r="C1687" s="29"/>
      <c r="D1687" s="29"/>
      <c r="E1687" s="29"/>
      <c r="F1687" s="29"/>
      <c r="G1687" s="29"/>
      <c r="H1687" s="29"/>
      <c r="J1687" s="29"/>
      <c r="K1687" s="29"/>
      <c r="L1687" s="19"/>
      <c r="M1687" s="19"/>
      <c r="N1687" s="30"/>
      <c r="O1687" s="30"/>
      <c r="P1687" s="32"/>
      <c r="Q1687" s="32"/>
      <c r="R1687" s="32"/>
      <c r="S1687" s="32"/>
      <c r="T1687" s="32"/>
      <c r="U1687" s="30"/>
    </row>
    <row r="1688" spans="1:21">
      <c r="A1688" s="29"/>
      <c r="B1688" s="29"/>
      <c r="C1688" s="29"/>
      <c r="D1688" s="29"/>
      <c r="E1688" s="29"/>
      <c r="F1688" s="29"/>
      <c r="G1688" s="29"/>
      <c r="H1688" s="29"/>
      <c r="J1688" s="29"/>
      <c r="K1688" s="29"/>
      <c r="L1688" s="19"/>
      <c r="M1688" s="19"/>
      <c r="N1688" s="30"/>
      <c r="O1688" s="30"/>
      <c r="P1688" s="32"/>
      <c r="Q1688" s="32"/>
      <c r="R1688" s="32"/>
      <c r="S1688" s="32"/>
      <c r="T1688" s="32"/>
      <c r="U1688" s="30"/>
    </row>
    <row r="1689" spans="1:21">
      <c r="A1689" s="29"/>
      <c r="B1689" s="29"/>
      <c r="C1689" s="29"/>
      <c r="D1689" s="29"/>
      <c r="E1689" s="29"/>
      <c r="F1689" s="29"/>
      <c r="G1689" s="29"/>
      <c r="H1689" s="29"/>
      <c r="J1689" s="29"/>
      <c r="K1689" s="29"/>
      <c r="L1689" s="19"/>
      <c r="M1689" s="19"/>
      <c r="N1689" s="30"/>
      <c r="O1689" s="30"/>
      <c r="P1689" s="32"/>
      <c r="Q1689" s="32"/>
      <c r="R1689" s="32"/>
      <c r="S1689" s="32"/>
      <c r="T1689" s="32"/>
      <c r="U1689" s="30"/>
    </row>
    <row r="1690" spans="1:21">
      <c r="A1690" s="29"/>
      <c r="B1690" s="29"/>
      <c r="C1690" s="29"/>
      <c r="D1690" s="29"/>
      <c r="E1690" s="29"/>
      <c r="F1690" s="29"/>
      <c r="G1690" s="29"/>
      <c r="H1690" s="29"/>
      <c r="J1690" s="29"/>
      <c r="K1690" s="29"/>
      <c r="L1690" s="19"/>
      <c r="M1690" s="19"/>
      <c r="N1690" s="30"/>
      <c r="O1690" s="30"/>
      <c r="P1690" s="32"/>
      <c r="Q1690" s="32"/>
      <c r="R1690" s="32"/>
      <c r="S1690" s="32"/>
      <c r="T1690" s="32"/>
      <c r="U1690" s="30"/>
    </row>
    <row r="1691" spans="1:21">
      <c r="A1691" s="29"/>
      <c r="B1691" s="29"/>
      <c r="C1691" s="29"/>
      <c r="D1691" s="29"/>
      <c r="E1691" s="29"/>
      <c r="F1691" s="29"/>
      <c r="G1691" s="29"/>
      <c r="H1691" s="29"/>
      <c r="J1691" s="29"/>
      <c r="K1691" s="29"/>
      <c r="L1691" s="19"/>
      <c r="M1691" s="19"/>
      <c r="N1691" s="30"/>
      <c r="O1691" s="30"/>
      <c r="P1691" s="32"/>
      <c r="Q1691" s="32"/>
      <c r="R1691" s="32"/>
      <c r="S1691" s="32"/>
      <c r="T1691" s="32"/>
      <c r="U1691" s="30"/>
    </row>
    <row r="1692" spans="1:21">
      <c r="A1692" s="29"/>
      <c r="B1692" s="29"/>
      <c r="C1692" s="29"/>
      <c r="D1692" s="29"/>
      <c r="E1692" s="29"/>
      <c r="F1692" s="29"/>
      <c r="G1692" s="29"/>
      <c r="H1692" s="29"/>
      <c r="J1692" s="29"/>
      <c r="K1692" s="29"/>
      <c r="L1692" s="19"/>
      <c r="M1692" s="19"/>
      <c r="N1692" s="30"/>
      <c r="O1692" s="30"/>
      <c r="P1692" s="32"/>
      <c r="Q1692" s="32"/>
      <c r="R1692" s="32"/>
      <c r="S1692" s="32"/>
      <c r="T1692" s="32"/>
      <c r="U1692" s="30"/>
    </row>
    <row r="1693" spans="1:21">
      <c r="A1693" s="29"/>
      <c r="B1693" s="29"/>
      <c r="C1693" s="29"/>
      <c r="D1693" s="29"/>
      <c r="E1693" s="29"/>
      <c r="F1693" s="29"/>
      <c r="G1693" s="29"/>
      <c r="H1693" s="29"/>
      <c r="J1693" s="29"/>
      <c r="K1693" s="29"/>
      <c r="L1693" s="19"/>
      <c r="M1693" s="19"/>
      <c r="N1693" s="30"/>
      <c r="O1693" s="30"/>
      <c r="P1693" s="32"/>
      <c r="Q1693" s="32"/>
      <c r="R1693" s="32"/>
      <c r="S1693" s="32"/>
      <c r="T1693" s="32"/>
      <c r="U1693" s="30"/>
    </row>
    <row r="1694" spans="1:21">
      <c r="A1694" s="29"/>
      <c r="B1694" s="29"/>
      <c r="C1694" s="29"/>
      <c r="D1694" s="29"/>
      <c r="E1694" s="29"/>
      <c r="F1694" s="29"/>
      <c r="G1694" s="29"/>
      <c r="H1694" s="29"/>
      <c r="J1694" s="29"/>
      <c r="K1694" s="29"/>
      <c r="L1694" s="19"/>
      <c r="M1694" s="19"/>
      <c r="N1694" s="30"/>
      <c r="O1694" s="30"/>
      <c r="P1694" s="32"/>
      <c r="Q1694" s="32"/>
      <c r="R1694" s="32"/>
      <c r="S1694" s="32"/>
      <c r="T1694" s="32"/>
      <c r="U1694" s="30"/>
    </row>
    <row r="1695" spans="1:21">
      <c r="A1695" s="29"/>
      <c r="B1695" s="29"/>
      <c r="C1695" s="29"/>
      <c r="D1695" s="29"/>
      <c r="E1695" s="29"/>
      <c r="F1695" s="29"/>
      <c r="G1695" s="29"/>
      <c r="H1695" s="29"/>
      <c r="J1695" s="29"/>
      <c r="K1695" s="29"/>
      <c r="L1695" s="19"/>
      <c r="M1695" s="19"/>
      <c r="N1695" s="30"/>
      <c r="O1695" s="30"/>
      <c r="P1695" s="32"/>
      <c r="Q1695" s="32"/>
      <c r="R1695" s="32"/>
      <c r="S1695" s="32"/>
      <c r="T1695" s="32"/>
      <c r="U1695" s="30"/>
    </row>
    <row r="1696" spans="1:21">
      <c r="A1696" s="29"/>
      <c r="B1696" s="29"/>
      <c r="C1696" s="29"/>
      <c r="D1696" s="29"/>
      <c r="E1696" s="29"/>
      <c r="F1696" s="29"/>
      <c r="G1696" s="29"/>
      <c r="H1696" s="29"/>
      <c r="J1696" s="29"/>
      <c r="K1696" s="29"/>
      <c r="L1696" s="19"/>
      <c r="M1696" s="19"/>
      <c r="N1696" s="30"/>
      <c r="O1696" s="30"/>
      <c r="P1696" s="32"/>
      <c r="Q1696" s="32"/>
      <c r="R1696" s="32"/>
      <c r="S1696" s="32"/>
      <c r="T1696" s="32"/>
      <c r="U1696" s="30"/>
    </row>
    <row r="1697" spans="1:21">
      <c r="A1697" s="29"/>
      <c r="B1697" s="29"/>
      <c r="C1697" s="29"/>
      <c r="D1697" s="29"/>
      <c r="E1697" s="29"/>
      <c r="F1697" s="29"/>
      <c r="G1697" s="29"/>
      <c r="H1697" s="29"/>
      <c r="J1697" s="29"/>
      <c r="K1697" s="29"/>
      <c r="L1697" s="19"/>
      <c r="M1697" s="19"/>
      <c r="N1697" s="30"/>
      <c r="O1697" s="30"/>
      <c r="P1697" s="32"/>
      <c r="Q1697" s="32"/>
      <c r="R1697" s="32"/>
      <c r="S1697" s="32"/>
      <c r="T1697" s="32"/>
      <c r="U1697" s="30"/>
    </row>
    <row r="1698" spans="1:21">
      <c r="A1698" s="29"/>
      <c r="B1698" s="29"/>
      <c r="C1698" s="29"/>
      <c r="D1698" s="29"/>
      <c r="E1698" s="29"/>
      <c r="F1698" s="29"/>
      <c r="G1698" s="29"/>
      <c r="H1698" s="29"/>
      <c r="J1698" s="29"/>
      <c r="K1698" s="29"/>
      <c r="L1698" s="19"/>
      <c r="M1698" s="19"/>
      <c r="N1698" s="30"/>
      <c r="O1698" s="30"/>
      <c r="P1698" s="32"/>
      <c r="Q1698" s="32"/>
      <c r="R1698" s="32"/>
      <c r="S1698" s="32"/>
      <c r="T1698" s="32"/>
      <c r="U1698" s="30"/>
    </row>
    <row r="1699" spans="1:21">
      <c r="A1699" s="29"/>
      <c r="B1699" s="29"/>
      <c r="C1699" s="29"/>
      <c r="D1699" s="29"/>
      <c r="E1699" s="29"/>
      <c r="F1699" s="29"/>
      <c r="G1699" s="29"/>
      <c r="H1699" s="29"/>
      <c r="J1699" s="29"/>
      <c r="K1699" s="29"/>
      <c r="L1699" s="19"/>
      <c r="M1699" s="19"/>
      <c r="N1699" s="30"/>
      <c r="O1699" s="30"/>
      <c r="P1699" s="32"/>
      <c r="Q1699" s="32"/>
      <c r="R1699" s="32"/>
      <c r="S1699" s="32"/>
      <c r="T1699" s="32"/>
      <c r="U1699" s="30"/>
    </row>
    <row r="1700" spans="1:21">
      <c r="A1700" s="29"/>
      <c r="B1700" s="29"/>
      <c r="C1700" s="29"/>
      <c r="D1700" s="29"/>
      <c r="E1700" s="29"/>
      <c r="F1700" s="29"/>
      <c r="G1700" s="29"/>
      <c r="H1700" s="29"/>
      <c r="J1700" s="29"/>
      <c r="K1700" s="29"/>
      <c r="L1700" s="19"/>
      <c r="M1700" s="19"/>
      <c r="N1700" s="30"/>
      <c r="O1700" s="30"/>
      <c r="P1700" s="32"/>
      <c r="Q1700" s="32"/>
      <c r="R1700" s="32"/>
      <c r="S1700" s="32"/>
      <c r="T1700" s="32"/>
      <c r="U1700" s="30"/>
    </row>
    <row r="1701" spans="1:21">
      <c r="A1701" s="29"/>
      <c r="B1701" s="29"/>
      <c r="C1701" s="29"/>
      <c r="D1701" s="29"/>
      <c r="E1701" s="29"/>
      <c r="F1701" s="29"/>
      <c r="G1701" s="29"/>
      <c r="H1701" s="29"/>
      <c r="J1701" s="29"/>
      <c r="K1701" s="29"/>
      <c r="L1701" s="19"/>
      <c r="M1701" s="19"/>
      <c r="N1701" s="30"/>
      <c r="O1701" s="30"/>
      <c r="P1701" s="32"/>
      <c r="Q1701" s="32"/>
      <c r="R1701" s="32"/>
      <c r="S1701" s="32"/>
      <c r="T1701" s="32"/>
      <c r="U1701" s="30"/>
    </row>
    <row r="1702" spans="1:21">
      <c r="A1702" s="29"/>
      <c r="B1702" s="29"/>
      <c r="C1702" s="29"/>
      <c r="D1702" s="29"/>
      <c r="E1702" s="29"/>
      <c r="F1702" s="29"/>
      <c r="G1702" s="29"/>
      <c r="H1702" s="29"/>
      <c r="J1702" s="29"/>
      <c r="K1702" s="29"/>
      <c r="L1702" s="19"/>
      <c r="M1702" s="19"/>
      <c r="N1702" s="30"/>
      <c r="O1702" s="30"/>
      <c r="P1702" s="32"/>
      <c r="Q1702" s="32"/>
      <c r="R1702" s="32"/>
      <c r="S1702" s="32"/>
      <c r="T1702" s="32"/>
      <c r="U1702" s="30"/>
    </row>
    <row r="1703" spans="1:21">
      <c r="A1703" s="29"/>
      <c r="B1703" s="29"/>
      <c r="C1703" s="29"/>
      <c r="D1703" s="29"/>
      <c r="E1703" s="29"/>
      <c r="F1703" s="29"/>
      <c r="G1703" s="29"/>
      <c r="H1703" s="29"/>
      <c r="J1703" s="29"/>
      <c r="K1703" s="29"/>
      <c r="L1703" s="19"/>
      <c r="M1703" s="19"/>
      <c r="N1703" s="30"/>
      <c r="O1703" s="30"/>
      <c r="P1703" s="32"/>
      <c r="Q1703" s="32"/>
      <c r="R1703" s="32"/>
      <c r="S1703" s="32"/>
      <c r="T1703" s="32"/>
      <c r="U1703" s="30"/>
    </row>
    <row r="1704" spans="1:21">
      <c r="A1704" s="29"/>
      <c r="B1704" s="29"/>
      <c r="C1704" s="29"/>
      <c r="D1704" s="29"/>
      <c r="E1704" s="29"/>
      <c r="F1704" s="29"/>
      <c r="G1704" s="29"/>
      <c r="H1704" s="29"/>
      <c r="J1704" s="29"/>
      <c r="K1704" s="29"/>
      <c r="L1704" s="19"/>
      <c r="M1704" s="19"/>
      <c r="N1704" s="30"/>
      <c r="O1704" s="30"/>
      <c r="P1704" s="32"/>
      <c r="Q1704" s="32"/>
      <c r="R1704" s="32"/>
      <c r="S1704" s="32"/>
      <c r="T1704" s="32"/>
      <c r="U1704" s="30"/>
    </row>
    <row r="1705" spans="1:21">
      <c r="A1705" s="29"/>
      <c r="B1705" s="29"/>
      <c r="C1705" s="29"/>
      <c r="D1705" s="29"/>
      <c r="E1705" s="29"/>
      <c r="F1705" s="29"/>
      <c r="G1705" s="29"/>
      <c r="H1705" s="29"/>
      <c r="J1705" s="29"/>
      <c r="K1705" s="29"/>
      <c r="L1705" s="19"/>
      <c r="M1705" s="19"/>
      <c r="N1705" s="30"/>
      <c r="O1705" s="30"/>
      <c r="P1705" s="32"/>
      <c r="Q1705" s="32"/>
      <c r="R1705" s="32"/>
      <c r="S1705" s="32"/>
      <c r="T1705" s="32"/>
      <c r="U1705" s="30"/>
    </row>
    <row r="1706" spans="1:21">
      <c r="A1706" s="29"/>
      <c r="B1706" s="29"/>
      <c r="C1706" s="29"/>
      <c r="D1706" s="29"/>
      <c r="E1706" s="29"/>
      <c r="F1706" s="29"/>
      <c r="G1706" s="29"/>
      <c r="H1706" s="29"/>
      <c r="J1706" s="29"/>
      <c r="K1706" s="29"/>
      <c r="L1706" s="19"/>
      <c r="M1706" s="19"/>
      <c r="N1706" s="30"/>
      <c r="O1706" s="30"/>
      <c r="P1706" s="32"/>
      <c r="Q1706" s="32"/>
      <c r="R1706" s="32"/>
      <c r="S1706" s="32"/>
      <c r="T1706" s="32"/>
      <c r="U1706" s="30"/>
    </row>
    <row r="1707" spans="1:21">
      <c r="A1707" s="29"/>
      <c r="B1707" s="29"/>
      <c r="C1707" s="29"/>
      <c r="D1707" s="29"/>
      <c r="E1707" s="29"/>
      <c r="F1707" s="29"/>
      <c r="G1707" s="29"/>
      <c r="H1707" s="29"/>
      <c r="J1707" s="29"/>
      <c r="K1707" s="29"/>
      <c r="L1707" s="19"/>
      <c r="M1707" s="19"/>
      <c r="N1707" s="30"/>
      <c r="O1707" s="30"/>
      <c r="P1707" s="32"/>
      <c r="Q1707" s="32"/>
      <c r="R1707" s="32"/>
      <c r="S1707" s="32"/>
      <c r="T1707" s="32"/>
      <c r="U1707" s="30"/>
    </row>
    <row r="1708" spans="1:21">
      <c r="A1708" s="29"/>
      <c r="B1708" s="29"/>
      <c r="C1708" s="29"/>
      <c r="D1708" s="29"/>
      <c r="E1708" s="29"/>
      <c r="F1708" s="29"/>
      <c r="G1708" s="29"/>
      <c r="H1708" s="29"/>
      <c r="J1708" s="29"/>
      <c r="K1708" s="29"/>
      <c r="L1708" s="19"/>
      <c r="M1708" s="19"/>
      <c r="N1708" s="30"/>
      <c r="O1708" s="30"/>
      <c r="P1708" s="32"/>
      <c r="Q1708" s="32"/>
      <c r="R1708" s="32"/>
      <c r="S1708" s="32"/>
      <c r="T1708" s="32"/>
      <c r="U1708" s="30"/>
    </row>
    <row r="1709" spans="1:21">
      <c r="A1709" s="29"/>
      <c r="B1709" s="29"/>
      <c r="C1709" s="29"/>
      <c r="D1709" s="29"/>
      <c r="E1709" s="29"/>
      <c r="F1709" s="29"/>
      <c r="G1709" s="29"/>
      <c r="H1709" s="29"/>
      <c r="J1709" s="29"/>
      <c r="K1709" s="29"/>
      <c r="L1709" s="19"/>
      <c r="M1709" s="19"/>
      <c r="N1709" s="30"/>
      <c r="O1709" s="30"/>
      <c r="P1709" s="32"/>
      <c r="Q1709" s="32"/>
      <c r="R1709" s="32"/>
      <c r="S1709" s="32"/>
      <c r="T1709" s="32"/>
      <c r="U1709" s="30"/>
    </row>
    <row r="1710" spans="1:21">
      <c r="A1710" s="29"/>
      <c r="B1710" s="29"/>
      <c r="C1710" s="29"/>
      <c r="D1710" s="29"/>
      <c r="E1710" s="29"/>
      <c r="F1710" s="29"/>
      <c r="G1710" s="29"/>
      <c r="H1710" s="29"/>
      <c r="J1710" s="29"/>
      <c r="K1710" s="29"/>
      <c r="L1710" s="19"/>
      <c r="M1710" s="19"/>
      <c r="N1710" s="30"/>
      <c r="O1710" s="30"/>
      <c r="P1710" s="32"/>
      <c r="Q1710" s="32"/>
      <c r="R1710" s="32"/>
      <c r="S1710" s="32"/>
      <c r="T1710" s="32"/>
      <c r="U1710" s="30"/>
    </row>
    <row r="1711" spans="1:21">
      <c r="A1711" s="29"/>
      <c r="B1711" s="29"/>
      <c r="C1711" s="29"/>
      <c r="D1711" s="29"/>
      <c r="E1711" s="29"/>
      <c r="F1711" s="29"/>
      <c r="G1711" s="29"/>
      <c r="H1711" s="29"/>
      <c r="J1711" s="29"/>
      <c r="K1711" s="29"/>
      <c r="L1711" s="19"/>
      <c r="M1711" s="19"/>
      <c r="N1711" s="30"/>
      <c r="O1711" s="30"/>
      <c r="P1711" s="32"/>
      <c r="Q1711" s="32"/>
      <c r="R1711" s="32"/>
      <c r="S1711" s="32"/>
      <c r="T1711" s="32"/>
      <c r="U1711" s="30"/>
    </row>
    <row r="1712" spans="1:21">
      <c r="A1712" s="29"/>
      <c r="B1712" s="29"/>
      <c r="C1712" s="29"/>
      <c r="D1712" s="29"/>
      <c r="E1712" s="29"/>
      <c r="F1712" s="29"/>
      <c r="G1712" s="29"/>
      <c r="H1712" s="29"/>
      <c r="J1712" s="29"/>
      <c r="K1712" s="29"/>
      <c r="L1712" s="19"/>
      <c r="M1712" s="19"/>
      <c r="N1712" s="30"/>
      <c r="O1712" s="30"/>
      <c r="P1712" s="32"/>
      <c r="Q1712" s="32"/>
      <c r="R1712" s="32"/>
      <c r="S1712" s="32"/>
      <c r="T1712" s="32"/>
      <c r="U1712" s="30"/>
    </row>
    <row r="1713" spans="1:21">
      <c r="A1713" s="29"/>
      <c r="B1713" s="29"/>
      <c r="C1713" s="29"/>
      <c r="D1713" s="29"/>
      <c r="E1713" s="29"/>
      <c r="F1713" s="29"/>
      <c r="G1713" s="29"/>
      <c r="H1713" s="29"/>
      <c r="J1713" s="29"/>
      <c r="K1713" s="29"/>
      <c r="L1713" s="19"/>
      <c r="M1713" s="19"/>
      <c r="N1713" s="30"/>
      <c r="O1713" s="30"/>
      <c r="P1713" s="32"/>
      <c r="Q1713" s="32"/>
      <c r="R1713" s="32"/>
      <c r="S1713" s="32"/>
      <c r="T1713" s="32"/>
      <c r="U1713" s="30"/>
    </row>
    <row r="1714" spans="1:21">
      <c r="A1714" s="29"/>
      <c r="B1714" s="29"/>
      <c r="C1714" s="29"/>
      <c r="D1714" s="29"/>
      <c r="E1714" s="29"/>
      <c r="F1714" s="29"/>
      <c r="G1714" s="29"/>
      <c r="H1714" s="29"/>
      <c r="J1714" s="29"/>
      <c r="K1714" s="29"/>
      <c r="L1714" s="19"/>
      <c r="M1714" s="19"/>
      <c r="N1714" s="30"/>
      <c r="O1714" s="30"/>
      <c r="P1714" s="32"/>
      <c r="Q1714" s="32"/>
      <c r="R1714" s="32"/>
      <c r="S1714" s="32"/>
      <c r="T1714" s="32"/>
      <c r="U1714" s="30"/>
    </row>
    <row r="1715" spans="1:21">
      <c r="A1715" s="29"/>
      <c r="B1715" s="29"/>
      <c r="C1715" s="29"/>
      <c r="D1715" s="29"/>
      <c r="E1715" s="29"/>
      <c r="F1715" s="29"/>
      <c r="G1715" s="29"/>
      <c r="H1715" s="29"/>
      <c r="J1715" s="29"/>
      <c r="K1715" s="29"/>
      <c r="L1715" s="19"/>
      <c r="M1715" s="19"/>
      <c r="N1715" s="30"/>
      <c r="O1715" s="30"/>
      <c r="P1715" s="32"/>
      <c r="Q1715" s="32"/>
      <c r="R1715" s="32"/>
      <c r="S1715" s="32"/>
      <c r="T1715" s="32"/>
      <c r="U1715" s="30"/>
    </row>
    <row r="1716" spans="1:21">
      <c r="A1716" s="29"/>
      <c r="B1716" s="29"/>
      <c r="C1716" s="29"/>
      <c r="D1716" s="29"/>
      <c r="E1716" s="29"/>
      <c r="F1716" s="29"/>
      <c r="G1716" s="29"/>
      <c r="H1716" s="29"/>
      <c r="J1716" s="29"/>
      <c r="K1716" s="29"/>
      <c r="L1716" s="19"/>
      <c r="M1716" s="19"/>
      <c r="N1716" s="30"/>
      <c r="O1716" s="30"/>
      <c r="P1716" s="32"/>
      <c r="Q1716" s="32"/>
      <c r="R1716" s="32"/>
      <c r="S1716" s="32"/>
      <c r="T1716" s="32"/>
      <c r="U1716" s="30"/>
    </row>
    <row r="1717" spans="1:21">
      <c r="A1717" s="29"/>
      <c r="B1717" s="29"/>
      <c r="C1717" s="29"/>
      <c r="D1717" s="29"/>
      <c r="E1717" s="29"/>
      <c r="F1717" s="29"/>
      <c r="G1717" s="29"/>
      <c r="H1717" s="29"/>
      <c r="J1717" s="29"/>
      <c r="K1717" s="29"/>
      <c r="L1717" s="19"/>
      <c r="M1717" s="19"/>
      <c r="N1717" s="30"/>
      <c r="O1717" s="30"/>
      <c r="P1717" s="32"/>
      <c r="Q1717" s="32"/>
      <c r="R1717" s="32"/>
      <c r="S1717" s="32"/>
      <c r="T1717" s="32"/>
      <c r="U1717" s="30"/>
    </row>
    <row r="1718" spans="1:21">
      <c r="A1718" s="29"/>
      <c r="B1718" s="29"/>
      <c r="C1718" s="29"/>
      <c r="D1718" s="29"/>
      <c r="E1718" s="29"/>
      <c r="F1718" s="29"/>
      <c r="G1718" s="29"/>
      <c r="H1718" s="29"/>
      <c r="J1718" s="29"/>
      <c r="K1718" s="29"/>
      <c r="L1718" s="19"/>
      <c r="M1718" s="19"/>
      <c r="N1718" s="30"/>
      <c r="O1718" s="30"/>
      <c r="P1718" s="32"/>
      <c r="Q1718" s="32"/>
      <c r="R1718" s="32"/>
      <c r="S1718" s="32"/>
      <c r="T1718" s="32"/>
      <c r="U1718" s="30"/>
    </row>
    <row r="1719" spans="1:21">
      <c r="A1719" s="29"/>
      <c r="B1719" s="29"/>
      <c r="C1719" s="29"/>
      <c r="D1719" s="29"/>
      <c r="E1719" s="29"/>
      <c r="F1719" s="29"/>
      <c r="G1719" s="29"/>
      <c r="H1719" s="29"/>
      <c r="J1719" s="29"/>
      <c r="K1719" s="29"/>
      <c r="L1719" s="19"/>
      <c r="M1719" s="19"/>
      <c r="N1719" s="30"/>
      <c r="O1719" s="30"/>
      <c r="P1719" s="32"/>
      <c r="Q1719" s="32"/>
      <c r="R1719" s="32"/>
      <c r="S1719" s="32"/>
      <c r="T1719" s="32"/>
      <c r="U1719" s="30"/>
    </row>
    <row r="1720" spans="1:21">
      <c r="A1720" s="29"/>
      <c r="B1720" s="29"/>
      <c r="C1720" s="29"/>
      <c r="D1720" s="29"/>
      <c r="E1720" s="29"/>
      <c r="F1720" s="29"/>
      <c r="G1720" s="29"/>
      <c r="H1720" s="29"/>
      <c r="J1720" s="29"/>
      <c r="K1720" s="29"/>
      <c r="L1720" s="19"/>
      <c r="M1720" s="19"/>
      <c r="N1720" s="30"/>
      <c r="O1720" s="30"/>
      <c r="P1720" s="32"/>
      <c r="Q1720" s="32"/>
      <c r="R1720" s="32"/>
      <c r="S1720" s="32"/>
      <c r="T1720" s="32"/>
      <c r="U1720" s="30"/>
    </row>
    <row r="1721" spans="1:21">
      <c r="A1721" s="29"/>
      <c r="B1721" s="29"/>
      <c r="C1721" s="29"/>
      <c r="D1721" s="29"/>
      <c r="E1721" s="29"/>
      <c r="F1721" s="29"/>
      <c r="G1721" s="29"/>
      <c r="H1721" s="29"/>
      <c r="J1721" s="29"/>
      <c r="K1721" s="29"/>
      <c r="L1721" s="19"/>
      <c r="M1721" s="19"/>
      <c r="N1721" s="30"/>
      <c r="O1721" s="30"/>
      <c r="P1721" s="32"/>
      <c r="Q1721" s="32"/>
      <c r="R1721" s="32"/>
      <c r="S1721" s="32"/>
      <c r="T1721" s="32"/>
      <c r="U1721" s="30"/>
    </row>
    <row r="1722" spans="1:21">
      <c r="A1722" s="29"/>
      <c r="B1722" s="29"/>
      <c r="C1722" s="29"/>
      <c r="D1722" s="29"/>
      <c r="E1722" s="29"/>
      <c r="F1722" s="29"/>
      <c r="G1722" s="29"/>
      <c r="H1722" s="29"/>
      <c r="J1722" s="29"/>
      <c r="K1722" s="29"/>
      <c r="L1722" s="19"/>
      <c r="M1722" s="19"/>
      <c r="N1722" s="30"/>
      <c r="O1722" s="30"/>
      <c r="P1722" s="32"/>
      <c r="Q1722" s="32"/>
      <c r="R1722" s="32"/>
      <c r="S1722" s="32"/>
      <c r="T1722" s="32"/>
      <c r="U1722" s="30"/>
    </row>
    <row r="1723" spans="1:21">
      <c r="A1723" s="29"/>
      <c r="B1723" s="29"/>
      <c r="C1723" s="29"/>
      <c r="D1723" s="29"/>
      <c r="E1723" s="29"/>
      <c r="F1723" s="29"/>
      <c r="G1723" s="29"/>
      <c r="H1723" s="29"/>
      <c r="J1723" s="29"/>
      <c r="K1723" s="29"/>
      <c r="L1723" s="19"/>
      <c r="M1723" s="19"/>
      <c r="N1723" s="30"/>
      <c r="O1723" s="30"/>
      <c r="P1723" s="32"/>
      <c r="Q1723" s="32"/>
      <c r="R1723" s="32"/>
      <c r="S1723" s="32"/>
      <c r="T1723" s="32"/>
      <c r="U1723" s="30"/>
    </row>
    <row r="1724" spans="1:21">
      <c r="A1724" s="29"/>
      <c r="B1724" s="29"/>
      <c r="C1724" s="29"/>
      <c r="D1724" s="29"/>
      <c r="E1724" s="29"/>
      <c r="F1724" s="29"/>
      <c r="G1724" s="29"/>
      <c r="H1724" s="29"/>
      <c r="J1724" s="29"/>
      <c r="K1724" s="29"/>
      <c r="L1724" s="19"/>
      <c r="M1724" s="19"/>
      <c r="N1724" s="30"/>
      <c r="O1724" s="30"/>
      <c r="P1724" s="32"/>
      <c r="Q1724" s="32"/>
      <c r="R1724" s="32"/>
      <c r="S1724" s="32"/>
      <c r="T1724" s="32"/>
      <c r="U1724" s="30"/>
    </row>
    <row r="1725" spans="1:21">
      <c r="A1725" s="29"/>
      <c r="B1725" s="29"/>
      <c r="C1725" s="29"/>
      <c r="D1725" s="29"/>
      <c r="E1725" s="29"/>
      <c r="F1725" s="29"/>
      <c r="G1725" s="29"/>
      <c r="H1725" s="29"/>
      <c r="J1725" s="29"/>
      <c r="K1725" s="29"/>
      <c r="L1725" s="19"/>
      <c r="M1725" s="19"/>
      <c r="N1725" s="30"/>
      <c r="O1725" s="30"/>
      <c r="P1725" s="32"/>
      <c r="Q1725" s="32"/>
      <c r="R1725" s="32"/>
      <c r="S1725" s="32"/>
      <c r="T1725" s="32"/>
      <c r="U1725" s="30"/>
    </row>
    <row r="1726" spans="1:21">
      <c r="A1726" s="29"/>
      <c r="B1726" s="29"/>
      <c r="C1726" s="29"/>
      <c r="D1726" s="29"/>
      <c r="E1726" s="29"/>
      <c r="F1726" s="29"/>
      <c r="G1726" s="29"/>
      <c r="H1726" s="29"/>
      <c r="J1726" s="29"/>
      <c r="K1726" s="29"/>
      <c r="L1726" s="19"/>
      <c r="M1726" s="19"/>
      <c r="N1726" s="30"/>
      <c r="O1726" s="30"/>
      <c r="P1726" s="32"/>
      <c r="Q1726" s="32"/>
      <c r="R1726" s="32"/>
      <c r="S1726" s="32"/>
      <c r="T1726" s="32"/>
      <c r="U1726" s="30"/>
    </row>
    <row r="1727" spans="1:21">
      <c r="A1727" s="29"/>
      <c r="B1727" s="29"/>
      <c r="C1727" s="29"/>
      <c r="D1727" s="29"/>
      <c r="E1727" s="29"/>
      <c r="F1727" s="29"/>
      <c r="G1727" s="29"/>
      <c r="H1727" s="29"/>
      <c r="J1727" s="29"/>
      <c r="K1727" s="29"/>
      <c r="L1727" s="19"/>
      <c r="M1727" s="19"/>
      <c r="N1727" s="30"/>
      <c r="O1727" s="30"/>
      <c r="P1727" s="32"/>
      <c r="Q1727" s="32"/>
      <c r="R1727" s="32"/>
      <c r="S1727" s="32"/>
      <c r="T1727" s="32"/>
      <c r="U1727" s="30"/>
    </row>
    <row r="1728" spans="1:21">
      <c r="A1728" s="29"/>
      <c r="B1728" s="29"/>
      <c r="C1728" s="29"/>
      <c r="D1728" s="29"/>
      <c r="E1728" s="29"/>
      <c r="F1728" s="29"/>
      <c r="G1728" s="29"/>
      <c r="H1728" s="29"/>
      <c r="J1728" s="29"/>
      <c r="K1728" s="29"/>
      <c r="L1728" s="19"/>
      <c r="M1728" s="19"/>
      <c r="N1728" s="30"/>
      <c r="O1728" s="30"/>
      <c r="P1728" s="32"/>
      <c r="Q1728" s="32"/>
      <c r="R1728" s="32"/>
      <c r="S1728" s="32"/>
      <c r="T1728" s="32"/>
      <c r="U1728" s="30"/>
    </row>
    <row r="1729" spans="1:21">
      <c r="A1729" s="29"/>
      <c r="B1729" s="29"/>
      <c r="C1729" s="29"/>
      <c r="D1729" s="29"/>
      <c r="E1729" s="29"/>
      <c r="F1729" s="29"/>
      <c r="G1729" s="29"/>
      <c r="H1729" s="29"/>
      <c r="J1729" s="29"/>
      <c r="K1729" s="29"/>
      <c r="L1729" s="19"/>
      <c r="M1729" s="19"/>
      <c r="N1729" s="30"/>
      <c r="O1729" s="30"/>
      <c r="P1729" s="32"/>
      <c r="Q1729" s="32"/>
      <c r="R1729" s="32"/>
      <c r="S1729" s="32"/>
      <c r="T1729" s="32"/>
      <c r="U1729" s="30"/>
    </row>
    <row r="1730" spans="1:21">
      <c r="A1730" s="29"/>
      <c r="B1730" s="29"/>
      <c r="C1730" s="29"/>
      <c r="D1730" s="29"/>
      <c r="E1730" s="29"/>
      <c r="F1730" s="29"/>
      <c r="G1730" s="29"/>
      <c r="H1730" s="29"/>
      <c r="J1730" s="29"/>
      <c r="K1730" s="29"/>
      <c r="L1730" s="19"/>
      <c r="M1730" s="19"/>
      <c r="N1730" s="30"/>
      <c r="O1730" s="30"/>
      <c r="P1730" s="32"/>
      <c r="Q1730" s="32"/>
      <c r="R1730" s="32"/>
      <c r="S1730" s="32"/>
      <c r="T1730" s="32"/>
      <c r="U1730" s="30"/>
    </row>
    <row r="1731" spans="1:21">
      <c r="A1731" s="29"/>
      <c r="B1731" s="29"/>
      <c r="C1731" s="29"/>
      <c r="D1731" s="29"/>
      <c r="E1731" s="29"/>
      <c r="F1731" s="29"/>
      <c r="G1731" s="29"/>
      <c r="H1731" s="29"/>
      <c r="J1731" s="29"/>
      <c r="K1731" s="29"/>
      <c r="L1731" s="19"/>
      <c r="M1731" s="19"/>
      <c r="N1731" s="30"/>
      <c r="O1731" s="30"/>
      <c r="P1731" s="32"/>
      <c r="Q1731" s="32"/>
      <c r="R1731" s="32"/>
      <c r="S1731" s="32"/>
      <c r="T1731" s="32"/>
      <c r="U1731" s="30"/>
    </row>
    <row r="1732" spans="1:21">
      <c r="A1732" s="29"/>
      <c r="B1732" s="29"/>
      <c r="C1732" s="29"/>
      <c r="D1732" s="29"/>
      <c r="E1732" s="29"/>
      <c r="F1732" s="29"/>
      <c r="G1732" s="29"/>
      <c r="H1732" s="29"/>
      <c r="J1732" s="29"/>
      <c r="K1732" s="29"/>
      <c r="L1732" s="19"/>
      <c r="M1732" s="19"/>
      <c r="N1732" s="30"/>
      <c r="O1732" s="30"/>
      <c r="P1732" s="32"/>
      <c r="Q1732" s="32"/>
      <c r="R1732" s="32"/>
      <c r="S1732" s="32"/>
      <c r="T1732" s="32"/>
      <c r="U1732" s="30"/>
    </row>
    <row r="1733" spans="1:21">
      <c r="A1733" s="29"/>
      <c r="B1733" s="29"/>
      <c r="C1733" s="29"/>
      <c r="D1733" s="29"/>
      <c r="E1733" s="29"/>
      <c r="F1733" s="29"/>
      <c r="G1733" s="29"/>
      <c r="H1733" s="29"/>
      <c r="J1733" s="29"/>
      <c r="K1733" s="29"/>
      <c r="L1733" s="19"/>
      <c r="M1733" s="19"/>
      <c r="N1733" s="30"/>
      <c r="O1733" s="30"/>
      <c r="P1733" s="32"/>
      <c r="Q1733" s="32"/>
      <c r="R1733" s="32"/>
      <c r="S1733" s="32"/>
      <c r="T1733" s="32"/>
      <c r="U1733" s="30"/>
    </row>
    <row r="1734" spans="1:21">
      <c r="A1734" s="29"/>
      <c r="B1734" s="29"/>
      <c r="C1734" s="29"/>
      <c r="D1734" s="29"/>
      <c r="E1734" s="29"/>
      <c r="F1734" s="29"/>
      <c r="G1734" s="29"/>
      <c r="H1734" s="29"/>
      <c r="J1734" s="29"/>
      <c r="K1734" s="29"/>
      <c r="L1734" s="19"/>
      <c r="M1734" s="19"/>
      <c r="N1734" s="30"/>
      <c r="O1734" s="30"/>
      <c r="P1734" s="32"/>
      <c r="Q1734" s="32"/>
      <c r="R1734" s="32"/>
      <c r="S1734" s="32"/>
      <c r="T1734" s="32"/>
      <c r="U1734" s="30"/>
    </row>
    <row r="1735" spans="1:21">
      <c r="A1735" s="29"/>
      <c r="B1735" s="29"/>
      <c r="C1735" s="29"/>
      <c r="D1735" s="29"/>
      <c r="E1735" s="29"/>
      <c r="F1735" s="29"/>
      <c r="G1735" s="29"/>
      <c r="H1735" s="29"/>
      <c r="J1735" s="29"/>
      <c r="K1735" s="29"/>
      <c r="L1735" s="19"/>
      <c r="M1735" s="19"/>
      <c r="N1735" s="30"/>
      <c r="O1735" s="30"/>
      <c r="P1735" s="32"/>
      <c r="Q1735" s="32"/>
      <c r="R1735" s="32"/>
      <c r="S1735" s="32"/>
      <c r="T1735" s="32"/>
      <c r="U1735" s="30"/>
    </row>
    <row r="1736" spans="1:21">
      <c r="A1736" s="29"/>
      <c r="B1736" s="29"/>
      <c r="C1736" s="29"/>
      <c r="D1736" s="29"/>
      <c r="E1736" s="29"/>
      <c r="F1736" s="29"/>
      <c r="G1736" s="29"/>
      <c r="H1736" s="29"/>
      <c r="J1736" s="29"/>
      <c r="K1736" s="29"/>
      <c r="L1736" s="19"/>
      <c r="M1736" s="19"/>
      <c r="N1736" s="30"/>
      <c r="O1736" s="30"/>
      <c r="P1736" s="32"/>
      <c r="Q1736" s="32"/>
      <c r="R1736" s="32"/>
      <c r="S1736" s="32"/>
      <c r="T1736" s="32"/>
      <c r="U1736" s="30"/>
    </row>
    <row r="1737" spans="1:21">
      <c r="A1737" s="29"/>
      <c r="B1737" s="29"/>
      <c r="C1737" s="29"/>
      <c r="D1737" s="29"/>
      <c r="E1737" s="29"/>
      <c r="F1737" s="29"/>
      <c r="G1737" s="29"/>
      <c r="H1737" s="29"/>
      <c r="J1737" s="29"/>
      <c r="K1737" s="29"/>
      <c r="L1737" s="19"/>
      <c r="M1737" s="19"/>
      <c r="N1737" s="30"/>
      <c r="O1737" s="30"/>
      <c r="P1737" s="32"/>
      <c r="Q1737" s="32"/>
      <c r="R1737" s="32"/>
      <c r="S1737" s="32"/>
      <c r="T1737" s="32"/>
      <c r="U1737" s="30"/>
    </row>
    <row r="1738" spans="1:21">
      <c r="A1738" s="29"/>
      <c r="B1738" s="29"/>
      <c r="C1738" s="29"/>
      <c r="D1738" s="29"/>
      <c r="E1738" s="29"/>
      <c r="F1738" s="29"/>
      <c r="G1738" s="29"/>
      <c r="H1738" s="29"/>
      <c r="J1738" s="29"/>
      <c r="K1738" s="29"/>
      <c r="L1738" s="19"/>
      <c r="M1738" s="19"/>
      <c r="N1738" s="30"/>
      <c r="O1738" s="30"/>
      <c r="P1738" s="32"/>
      <c r="Q1738" s="32"/>
      <c r="R1738" s="32"/>
      <c r="S1738" s="32"/>
      <c r="T1738" s="32"/>
      <c r="U1738" s="30"/>
    </row>
    <row r="1739" spans="1:21">
      <c r="A1739" s="29"/>
      <c r="B1739" s="29"/>
      <c r="C1739" s="29"/>
      <c r="D1739" s="29"/>
      <c r="E1739" s="29"/>
      <c r="F1739" s="29"/>
      <c r="G1739" s="29"/>
      <c r="H1739" s="29"/>
      <c r="J1739" s="29"/>
      <c r="K1739" s="29"/>
      <c r="L1739" s="19"/>
      <c r="M1739" s="19"/>
      <c r="N1739" s="30"/>
      <c r="O1739" s="30"/>
      <c r="P1739" s="32"/>
      <c r="Q1739" s="32"/>
      <c r="R1739" s="32"/>
      <c r="S1739" s="32"/>
      <c r="T1739" s="32"/>
      <c r="U1739" s="30"/>
    </row>
    <row r="1740" spans="1:21">
      <c r="A1740" s="29"/>
      <c r="B1740" s="29"/>
      <c r="C1740" s="29"/>
      <c r="D1740" s="29"/>
      <c r="E1740" s="29"/>
      <c r="F1740" s="29"/>
      <c r="G1740" s="29"/>
      <c r="H1740" s="29"/>
      <c r="J1740" s="29"/>
      <c r="K1740" s="29"/>
      <c r="L1740" s="19"/>
      <c r="M1740" s="19"/>
      <c r="N1740" s="30"/>
      <c r="O1740" s="30"/>
      <c r="P1740" s="32"/>
      <c r="Q1740" s="32"/>
      <c r="R1740" s="32"/>
      <c r="S1740" s="32"/>
      <c r="T1740" s="32"/>
      <c r="U1740" s="30"/>
    </row>
    <row r="1741" spans="1:21">
      <c r="A1741" s="29"/>
      <c r="B1741" s="29"/>
      <c r="C1741" s="29"/>
      <c r="D1741" s="29"/>
      <c r="E1741" s="29"/>
      <c r="F1741" s="29"/>
      <c r="G1741" s="29"/>
      <c r="H1741" s="29"/>
      <c r="J1741" s="29"/>
      <c r="K1741" s="29"/>
      <c r="L1741" s="19"/>
      <c r="M1741" s="19"/>
      <c r="N1741" s="30"/>
      <c r="O1741" s="30"/>
      <c r="P1741" s="32"/>
      <c r="Q1741" s="32"/>
      <c r="R1741" s="32"/>
      <c r="S1741" s="32"/>
      <c r="T1741" s="32"/>
      <c r="U1741" s="30"/>
    </row>
    <row r="1742" spans="1:21">
      <c r="A1742" s="29"/>
      <c r="B1742" s="29"/>
      <c r="C1742" s="29"/>
      <c r="D1742" s="29"/>
      <c r="E1742" s="29"/>
      <c r="F1742" s="29"/>
      <c r="G1742" s="29"/>
      <c r="H1742" s="29"/>
      <c r="J1742" s="29"/>
      <c r="K1742" s="29"/>
      <c r="L1742" s="19"/>
      <c r="M1742" s="19"/>
      <c r="N1742" s="30"/>
      <c r="O1742" s="30"/>
      <c r="P1742" s="32"/>
      <c r="Q1742" s="32"/>
      <c r="R1742" s="32"/>
      <c r="S1742" s="32"/>
      <c r="T1742" s="32"/>
      <c r="U1742" s="30"/>
    </row>
    <row r="1743" spans="1:21">
      <c r="A1743" s="29"/>
      <c r="B1743" s="29"/>
      <c r="C1743" s="29"/>
      <c r="D1743" s="29"/>
      <c r="E1743" s="29"/>
      <c r="F1743" s="29"/>
      <c r="G1743" s="29"/>
      <c r="H1743" s="29"/>
      <c r="J1743" s="29"/>
      <c r="K1743" s="29"/>
      <c r="L1743" s="19"/>
      <c r="M1743" s="19"/>
      <c r="N1743" s="30"/>
      <c r="O1743" s="30"/>
      <c r="P1743" s="32"/>
      <c r="Q1743" s="32"/>
      <c r="R1743" s="32"/>
      <c r="S1743" s="32"/>
      <c r="T1743" s="32"/>
      <c r="U1743" s="30"/>
    </row>
    <row r="1744" spans="1:21">
      <c r="A1744" s="29"/>
      <c r="B1744" s="29"/>
      <c r="C1744" s="29"/>
      <c r="D1744" s="29"/>
      <c r="E1744" s="29"/>
      <c r="F1744" s="29"/>
      <c r="G1744" s="29"/>
      <c r="H1744" s="29"/>
      <c r="J1744" s="29"/>
      <c r="K1744" s="29"/>
      <c r="L1744" s="19"/>
      <c r="M1744" s="19"/>
      <c r="N1744" s="30"/>
      <c r="O1744" s="30"/>
      <c r="P1744" s="32"/>
      <c r="Q1744" s="32"/>
      <c r="R1744" s="32"/>
      <c r="S1744" s="32"/>
      <c r="T1744" s="32"/>
      <c r="U1744" s="30"/>
    </row>
    <row r="1745" spans="1:21">
      <c r="A1745" s="29"/>
      <c r="B1745" s="29"/>
      <c r="C1745" s="29"/>
      <c r="D1745" s="29"/>
      <c r="E1745" s="29"/>
      <c r="F1745" s="29"/>
      <c r="G1745" s="29"/>
      <c r="H1745" s="29"/>
      <c r="J1745" s="29"/>
      <c r="K1745" s="29"/>
      <c r="L1745" s="19"/>
      <c r="M1745" s="19"/>
      <c r="N1745" s="30"/>
      <c r="O1745" s="30"/>
      <c r="P1745" s="32"/>
      <c r="Q1745" s="32"/>
      <c r="R1745" s="32"/>
      <c r="S1745" s="32"/>
      <c r="T1745" s="32"/>
      <c r="U1745" s="30"/>
    </row>
    <row r="1746" spans="1:21">
      <c r="A1746" s="29"/>
      <c r="B1746" s="29"/>
      <c r="C1746" s="29"/>
      <c r="D1746" s="29"/>
      <c r="E1746" s="29"/>
      <c r="F1746" s="29"/>
      <c r="G1746" s="29"/>
      <c r="H1746" s="29"/>
      <c r="J1746" s="29"/>
      <c r="K1746" s="29"/>
      <c r="L1746" s="19"/>
      <c r="M1746" s="19"/>
      <c r="N1746" s="30"/>
      <c r="O1746" s="30"/>
      <c r="P1746" s="32"/>
      <c r="Q1746" s="32"/>
      <c r="R1746" s="32"/>
      <c r="S1746" s="32"/>
      <c r="T1746" s="32"/>
      <c r="U1746" s="30"/>
    </row>
    <row r="1747" spans="1:21">
      <c r="A1747" s="29"/>
      <c r="B1747" s="29"/>
      <c r="C1747" s="29"/>
      <c r="D1747" s="29"/>
      <c r="E1747" s="29"/>
      <c r="F1747" s="29"/>
      <c r="G1747" s="29"/>
      <c r="H1747" s="29"/>
      <c r="J1747" s="29"/>
      <c r="K1747" s="29"/>
      <c r="L1747" s="19"/>
      <c r="M1747" s="19"/>
      <c r="N1747" s="30"/>
      <c r="O1747" s="30"/>
      <c r="P1747" s="32"/>
      <c r="Q1747" s="32"/>
      <c r="R1747" s="32"/>
      <c r="S1747" s="32"/>
      <c r="T1747" s="32"/>
      <c r="U1747" s="30"/>
    </row>
    <row r="1748" spans="1:21">
      <c r="A1748" s="29"/>
      <c r="B1748" s="29"/>
      <c r="C1748" s="29"/>
      <c r="D1748" s="29"/>
      <c r="E1748" s="29"/>
      <c r="F1748" s="29"/>
      <c r="G1748" s="29"/>
      <c r="H1748" s="29"/>
      <c r="J1748" s="29"/>
      <c r="K1748" s="29"/>
      <c r="L1748" s="19"/>
      <c r="M1748" s="19"/>
      <c r="N1748" s="30"/>
      <c r="O1748" s="30"/>
      <c r="P1748" s="32"/>
      <c r="Q1748" s="32"/>
      <c r="R1748" s="32"/>
      <c r="S1748" s="32"/>
      <c r="T1748" s="32"/>
      <c r="U1748" s="30"/>
    </row>
    <row r="1749" spans="1:21">
      <c r="A1749" s="29"/>
      <c r="B1749" s="29"/>
      <c r="C1749" s="29"/>
      <c r="D1749" s="29"/>
      <c r="E1749" s="29"/>
      <c r="F1749" s="29"/>
      <c r="G1749" s="29"/>
      <c r="H1749" s="29"/>
      <c r="J1749" s="29"/>
      <c r="K1749" s="29"/>
      <c r="L1749" s="19"/>
      <c r="M1749" s="19"/>
      <c r="N1749" s="30"/>
      <c r="O1749" s="30"/>
      <c r="P1749" s="32"/>
      <c r="Q1749" s="32"/>
      <c r="R1749" s="32"/>
      <c r="S1749" s="32"/>
      <c r="T1749" s="32"/>
      <c r="U1749" s="30"/>
    </row>
    <row r="1750" spans="1:21">
      <c r="A1750" s="29"/>
      <c r="B1750" s="29"/>
      <c r="C1750" s="29"/>
      <c r="D1750" s="29"/>
      <c r="E1750" s="29"/>
      <c r="F1750" s="29"/>
      <c r="G1750" s="29"/>
      <c r="H1750" s="29"/>
      <c r="J1750" s="29"/>
      <c r="K1750" s="29"/>
      <c r="L1750" s="19"/>
      <c r="M1750" s="19"/>
      <c r="N1750" s="30"/>
      <c r="O1750" s="30"/>
      <c r="P1750" s="32"/>
      <c r="Q1750" s="32"/>
      <c r="R1750" s="32"/>
      <c r="S1750" s="32"/>
      <c r="T1750" s="32"/>
      <c r="U1750" s="30"/>
    </row>
    <row r="1751" spans="1:21">
      <c r="A1751" s="29"/>
      <c r="B1751" s="29"/>
      <c r="C1751" s="29"/>
      <c r="D1751" s="29"/>
      <c r="E1751" s="29"/>
      <c r="F1751" s="29"/>
      <c r="G1751" s="29"/>
      <c r="H1751" s="29"/>
      <c r="J1751" s="29"/>
      <c r="K1751" s="29"/>
      <c r="L1751" s="19"/>
      <c r="M1751" s="19"/>
      <c r="N1751" s="30"/>
      <c r="O1751" s="30"/>
      <c r="P1751" s="32"/>
      <c r="Q1751" s="32"/>
      <c r="R1751" s="32"/>
      <c r="S1751" s="32"/>
      <c r="T1751" s="32"/>
      <c r="U1751" s="30"/>
    </row>
    <row r="1752" spans="1:21">
      <c r="A1752" s="29"/>
      <c r="B1752" s="29"/>
      <c r="C1752" s="29"/>
      <c r="D1752" s="29"/>
      <c r="E1752" s="29"/>
      <c r="F1752" s="29"/>
      <c r="G1752" s="29"/>
      <c r="H1752" s="29"/>
      <c r="J1752" s="29"/>
      <c r="K1752" s="29"/>
      <c r="L1752" s="19"/>
      <c r="M1752" s="19"/>
      <c r="N1752" s="30"/>
      <c r="O1752" s="30"/>
      <c r="P1752" s="32"/>
      <c r="Q1752" s="32"/>
      <c r="R1752" s="32"/>
      <c r="S1752" s="32"/>
      <c r="T1752" s="32"/>
      <c r="U1752" s="30"/>
    </row>
    <row r="1753" spans="1:21">
      <c r="A1753" s="29"/>
      <c r="B1753" s="29"/>
      <c r="C1753" s="29"/>
      <c r="D1753" s="29"/>
      <c r="E1753" s="29"/>
      <c r="F1753" s="29"/>
      <c r="G1753" s="29"/>
      <c r="H1753" s="29"/>
      <c r="J1753" s="29"/>
      <c r="K1753" s="29"/>
      <c r="L1753" s="19"/>
      <c r="M1753" s="19"/>
      <c r="N1753" s="30"/>
      <c r="O1753" s="30"/>
      <c r="P1753" s="32"/>
      <c r="Q1753" s="32"/>
      <c r="R1753" s="32"/>
      <c r="S1753" s="32"/>
      <c r="T1753" s="32"/>
      <c r="U1753" s="30"/>
    </row>
    <row r="1754" spans="1:21">
      <c r="A1754" s="29"/>
      <c r="B1754" s="29"/>
      <c r="C1754" s="29"/>
      <c r="D1754" s="29"/>
      <c r="E1754" s="29"/>
      <c r="F1754" s="29"/>
      <c r="G1754" s="29"/>
      <c r="H1754" s="29"/>
      <c r="J1754" s="29"/>
      <c r="K1754" s="29"/>
      <c r="L1754" s="19"/>
      <c r="M1754" s="19"/>
      <c r="N1754" s="30"/>
      <c r="O1754" s="30"/>
      <c r="P1754" s="32"/>
      <c r="Q1754" s="32"/>
      <c r="R1754" s="32"/>
      <c r="S1754" s="32"/>
      <c r="T1754" s="32"/>
      <c r="U1754" s="30"/>
    </row>
    <row r="1755" spans="1:21">
      <c r="A1755" s="29"/>
      <c r="B1755" s="29"/>
      <c r="C1755" s="29"/>
      <c r="D1755" s="29"/>
      <c r="E1755" s="29"/>
      <c r="F1755" s="29"/>
      <c r="G1755" s="29"/>
      <c r="H1755" s="29"/>
      <c r="J1755" s="29"/>
      <c r="K1755" s="29"/>
      <c r="L1755" s="19"/>
      <c r="M1755" s="19"/>
      <c r="N1755" s="30"/>
      <c r="O1755" s="30"/>
      <c r="P1755" s="32"/>
      <c r="Q1755" s="32"/>
      <c r="R1755" s="32"/>
      <c r="S1755" s="32"/>
      <c r="T1755" s="32"/>
      <c r="U1755" s="30"/>
    </row>
    <row r="1756" spans="1:21">
      <c r="A1756" s="29"/>
      <c r="B1756" s="29"/>
      <c r="C1756" s="29"/>
      <c r="D1756" s="29"/>
      <c r="E1756" s="29"/>
      <c r="F1756" s="29"/>
      <c r="G1756" s="29"/>
      <c r="H1756" s="29"/>
      <c r="J1756" s="29"/>
      <c r="K1756" s="29"/>
      <c r="L1756" s="19"/>
      <c r="M1756" s="19"/>
      <c r="N1756" s="30"/>
      <c r="O1756" s="30"/>
      <c r="P1756" s="32"/>
      <c r="Q1756" s="32"/>
      <c r="R1756" s="32"/>
      <c r="S1756" s="32"/>
      <c r="T1756" s="32"/>
      <c r="U1756" s="30"/>
    </row>
    <row r="1757" spans="1:21">
      <c r="A1757" s="29"/>
      <c r="B1757" s="29"/>
      <c r="C1757" s="29"/>
      <c r="D1757" s="29"/>
      <c r="E1757" s="29"/>
      <c r="F1757" s="29"/>
      <c r="G1757" s="29"/>
      <c r="H1757" s="29"/>
      <c r="J1757" s="29"/>
      <c r="K1757" s="29"/>
      <c r="L1757" s="19"/>
      <c r="M1757" s="19"/>
      <c r="N1757" s="30"/>
      <c r="O1757" s="30"/>
      <c r="P1757" s="32"/>
      <c r="Q1757" s="32"/>
      <c r="R1757" s="32"/>
      <c r="S1757" s="32"/>
      <c r="T1757" s="32"/>
      <c r="U1757" s="30"/>
    </row>
    <row r="1758" spans="1:21">
      <c r="A1758" s="29"/>
      <c r="B1758" s="29"/>
      <c r="C1758" s="29"/>
      <c r="D1758" s="29"/>
      <c r="E1758" s="29"/>
      <c r="F1758" s="29"/>
      <c r="G1758" s="29"/>
      <c r="H1758" s="29"/>
      <c r="J1758" s="29"/>
      <c r="K1758" s="29"/>
      <c r="L1758" s="19"/>
      <c r="M1758" s="19"/>
      <c r="N1758" s="30"/>
      <c r="O1758" s="30"/>
      <c r="P1758" s="32"/>
      <c r="Q1758" s="32"/>
      <c r="R1758" s="32"/>
      <c r="S1758" s="32"/>
      <c r="T1758" s="32"/>
      <c r="U1758" s="30"/>
    </row>
    <row r="1759" spans="1:21">
      <c r="A1759" s="29"/>
      <c r="B1759" s="29"/>
      <c r="C1759" s="29"/>
      <c r="D1759" s="29"/>
      <c r="E1759" s="29"/>
      <c r="F1759" s="29"/>
      <c r="G1759" s="29"/>
      <c r="H1759" s="29"/>
      <c r="J1759" s="29"/>
      <c r="K1759" s="29"/>
      <c r="L1759" s="19"/>
      <c r="M1759" s="19"/>
      <c r="N1759" s="30"/>
      <c r="O1759" s="30"/>
      <c r="P1759" s="32"/>
      <c r="Q1759" s="32"/>
      <c r="R1759" s="32"/>
      <c r="S1759" s="32"/>
      <c r="T1759" s="32"/>
      <c r="U1759" s="30"/>
    </row>
    <row r="1760" spans="1:21">
      <c r="A1760" s="29"/>
      <c r="B1760" s="29"/>
      <c r="C1760" s="29"/>
      <c r="D1760" s="29"/>
      <c r="E1760" s="29"/>
      <c r="F1760" s="29"/>
      <c r="G1760" s="29"/>
      <c r="H1760" s="29"/>
      <c r="J1760" s="29"/>
      <c r="K1760" s="29"/>
      <c r="L1760" s="19"/>
      <c r="M1760" s="19"/>
      <c r="N1760" s="30"/>
      <c r="O1760" s="30"/>
      <c r="P1760" s="32"/>
      <c r="Q1760" s="32"/>
      <c r="R1760" s="32"/>
      <c r="S1760" s="32"/>
      <c r="T1760" s="32"/>
      <c r="U1760" s="30"/>
    </row>
    <row r="1761" spans="1:21">
      <c r="A1761" s="29"/>
      <c r="B1761" s="29"/>
      <c r="C1761" s="29"/>
      <c r="D1761" s="29"/>
      <c r="E1761" s="29"/>
      <c r="F1761" s="29"/>
      <c r="G1761" s="29"/>
      <c r="H1761" s="29"/>
      <c r="J1761" s="29"/>
      <c r="K1761" s="29"/>
      <c r="L1761" s="19"/>
      <c r="M1761" s="19"/>
      <c r="N1761" s="30"/>
      <c r="O1761" s="30"/>
      <c r="P1761" s="32"/>
      <c r="Q1761" s="32"/>
      <c r="R1761" s="32"/>
      <c r="S1761" s="32"/>
      <c r="T1761" s="32"/>
      <c r="U1761" s="30"/>
    </row>
    <row r="1762" spans="1:21">
      <c r="A1762" s="29"/>
      <c r="B1762" s="29"/>
      <c r="C1762" s="29"/>
      <c r="D1762" s="29"/>
      <c r="E1762" s="29"/>
      <c r="F1762" s="29"/>
      <c r="G1762" s="29"/>
      <c r="H1762" s="29"/>
      <c r="J1762" s="29"/>
      <c r="K1762" s="29"/>
      <c r="L1762" s="19"/>
      <c r="M1762" s="19"/>
      <c r="N1762" s="30"/>
      <c r="O1762" s="30"/>
      <c r="P1762" s="32"/>
      <c r="Q1762" s="32"/>
      <c r="R1762" s="32"/>
      <c r="S1762" s="32"/>
      <c r="T1762" s="32"/>
      <c r="U1762" s="30"/>
    </row>
    <row r="1763" spans="1:21">
      <c r="A1763" s="29"/>
      <c r="B1763" s="29"/>
      <c r="C1763" s="29"/>
      <c r="D1763" s="29"/>
      <c r="E1763" s="29"/>
      <c r="F1763" s="29"/>
      <c r="G1763" s="29"/>
      <c r="H1763" s="29"/>
      <c r="J1763" s="29"/>
      <c r="K1763" s="29"/>
      <c r="L1763" s="19"/>
      <c r="M1763" s="19"/>
      <c r="N1763" s="30"/>
      <c r="O1763" s="30"/>
      <c r="P1763" s="32"/>
      <c r="Q1763" s="32"/>
      <c r="R1763" s="32"/>
      <c r="S1763" s="32"/>
      <c r="T1763" s="32"/>
      <c r="U1763" s="30"/>
    </row>
    <row r="1764" spans="1:21">
      <c r="A1764" s="29"/>
      <c r="B1764" s="29"/>
      <c r="C1764" s="29"/>
      <c r="D1764" s="29"/>
      <c r="E1764" s="29"/>
      <c r="F1764" s="29"/>
      <c r="G1764" s="29"/>
      <c r="H1764" s="29"/>
      <c r="J1764" s="29"/>
      <c r="K1764" s="29"/>
      <c r="L1764" s="19"/>
      <c r="M1764" s="19"/>
      <c r="N1764" s="30"/>
      <c r="O1764" s="30"/>
      <c r="P1764" s="32"/>
      <c r="Q1764" s="32"/>
      <c r="R1764" s="32"/>
      <c r="S1764" s="32"/>
      <c r="T1764" s="32"/>
      <c r="U1764" s="30"/>
    </row>
    <row r="1765" spans="1:21">
      <c r="A1765" s="29"/>
      <c r="B1765" s="29"/>
      <c r="C1765" s="29"/>
      <c r="D1765" s="29"/>
      <c r="E1765" s="29"/>
      <c r="F1765" s="29"/>
      <c r="G1765" s="29"/>
      <c r="H1765" s="29"/>
      <c r="J1765" s="29"/>
      <c r="K1765" s="29"/>
      <c r="L1765" s="19"/>
      <c r="M1765" s="19"/>
      <c r="N1765" s="30"/>
      <c r="O1765" s="30"/>
      <c r="P1765" s="32"/>
      <c r="Q1765" s="32"/>
      <c r="R1765" s="32"/>
      <c r="S1765" s="32"/>
      <c r="T1765" s="32"/>
      <c r="U1765" s="30"/>
    </row>
    <row r="1766" spans="1:21">
      <c r="A1766" s="29"/>
      <c r="B1766" s="29"/>
      <c r="C1766" s="29"/>
      <c r="D1766" s="29"/>
      <c r="E1766" s="29"/>
      <c r="F1766" s="29"/>
      <c r="G1766" s="29"/>
      <c r="H1766" s="29"/>
      <c r="J1766" s="29"/>
      <c r="K1766" s="29"/>
      <c r="L1766" s="19"/>
      <c r="M1766" s="19"/>
      <c r="N1766" s="30"/>
      <c r="O1766" s="30"/>
      <c r="P1766" s="32"/>
      <c r="Q1766" s="32"/>
      <c r="R1766" s="32"/>
      <c r="S1766" s="32"/>
      <c r="T1766" s="32"/>
      <c r="U1766" s="30"/>
    </row>
    <row r="1767" spans="1:21">
      <c r="A1767" s="29"/>
      <c r="B1767" s="29"/>
      <c r="C1767" s="29"/>
      <c r="D1767" s="29"/>
      <c r="E1767" s="29"/>
      <c r="F1767" s="29"/>
      <c r="G1767" s="29"/>
      <c r="H1767" s="29"/>
      <c r="J1767" s="29"/>
      <c r="K1767" s="29"/>
      <c r="L1767" s="19"/>
      <c r="M1767" s="19"/>
      <c r="N1767" s="30"/>
      <c r="O1767" s="30"/>
      <c r="P1767" s="32"/>
      <c r="Q1767" s="32"/>
      <c r="R1767" s="32"/>
      <c r="S1767" s="32"/>
      <c r="T1767" s="32"/>
      <c r="U1767" s="30"/>
    </row>
    <row r="1768" spans="1:21">
      <c r="A1768" s="29"/>
      <c r="B1768" s="29"/>
      <c r="C1768" s="29"/>
      <c r="D1768" s="29"/>
      <c r="E1768" s="29"/>
      <c r="F1768" s="29"/>
      <c r="G1768" s="29"/>
      <c r="H1768" s="29"/>
      <c r="J1768" s="29"/>
      <c r="K1768" s="29"/>
      <c r="L1768" s="19"/>
      <c r="M1768" s="19"/>
      <c r="N1768" s="30"/>
      <c r="O1768" s="30"/>
      <c r="P1768" s="32"/>
      <c r="Q1768" s="32"/>
      <c r="R1768" s="32"/>
      <c r="S1768" s="32"/>
      <c r="T1768" s="32"/>
      <c r="U1768" s="30"/>
    </row>
    <row r="1769" spans="1:21">
      <c r="A1769" s="29"/>
      <c r="B1769" s="29"/>
      <c r="C1769" s="29"/>
      <c r="D1769" s="29"/>
      <c r="E1769" s="29"/>
      <c r="F1769" s="29"/>
      <c r="G1769" s="29"/>
      <c r="H1769" s="29"/>
      <c r="J1769" s="29"/>
      <c r="K1769" s="29"/>
      <c r="L1769" s="19"/>
      <c r="M1769" s="19"/>
      <c r="N1769" s="30"/>
      <c r="O1769" s="30"/>
      <c r="P1769" s="32"/>
      <c r="Q1769" s="32"/>
      <c r="R1769" s="32"/>
      <c r="S1769" s="32"/>
      <c r="T1769" s="32"/>
      <c r="U1769" s="30"/>
    </row>
    <row r="1770" spans="1:21">
      <c r="A1770" s="29"/>
      <c r="B1770" s="29"/>
      <c r="C1770" s="29"/>
      <c r="D1770" s="29"/>
      <c r="E1770" s="29"/>
      <c r="F1770" s="29"/>
      <c r="G1770" s="29"/>
      <c r="H1770" s="29"/>
      <c r="J1770" s="29"/>
      <c r="K1770" s="29"/>
      <c r="L1770" s="19"/>
      <c r="M1770" s="19"/>
      <c r="N1770" s="30"/>
      <c r="O1770" s="30"/>
      <c r="P1770" s="32"/>
      <c r="Q1770" s="32"/>
      <c r="R1770" s="32"/>
      <c r="S1770" s="32"/>
      <c r="T1770" s="32"/>
      <c r="U1770" s="30"/>
    </row>
    <row r="1771" spans="1:21">
      <c r="A1771" s="29"/>
      <c r="B1771" s="29"/>
      <c r="C1771" s="29"/>
      <c r="D1771" s="29"/>
      <c r="E1771" s="29"/>
      <c r="F1771" s="29"/>
      <c r="G1771" s="29"/>
      <c r="H1771" s="29"/>
      <c r="J1771" s="29"/>
      <c r="K1771" s="29"/>
      <c r="L1771" s="19"/>
      <c r="M1771" s="19"/>
      <c r="N1771" s="30"/>
      <c r="O1771" s="30"/>
      <c r="P1771" s="32"/>
      <c r="Q1771" s="32"/>
      <c r="R1771" s="32"/>
      <c r="S1771" s="32"/>
      <c r="T1771" s="32"/>
      <c r="U1771" s="30"/>
    </row>
    <row r="1772" spans="1:21">
      <c r="A1772" s="29"/>
      <c r="B1772" s="29"/>
      <c r="C1772" s="29"/>
      <c r="D1772" s="29"/>
      <c r="E1772" s="29"/>
      <c r="F1772" s="29"/>
      <c r="G1772" s="29"/>
      <c r="H1772" s="29"/>
      <c r="J1772" s="29"/>
      <c r="K1772" s="29"/>
      <c r="L1772" s="19"/>
      <c r="M1772" s="19"/>
      <c r="N1772" s="30"/>
      <c r="O1772" s="30"/>
      <c r="P1772" s="32"/>
      <c r="Q1772" s="32"/>
      <c r="R1772" s="32"/>
      <c r="S1772" s="32"/>
      <c r="T1772" s="32"/>
      <c r="U1772" s="30"/>
    </row>
    <row r="1773" spans="1:21">
      <c r="A1773" s="29"/>
      <c r="B1773" s="29"/>
      <c r="C1773" s="29"/>
      <c r="D1773" s="29"/>
      <c r="E1773" s="29"/>
      <c r="F1773" s="29"/>
      <c r="G1773" s="29"/>
      <c r="H1773" s="29"/>
      <c r="J1773" s="29"/>
      <c r="K1773" s="29"/>
      <c r="L1773" s="19"/>
      <c r="M1773" s="19"/>
      <c r="N1773" s="30"/>
      <c r="O1773" s="30"/>
      <c r="P1773" s="32"/>
      <c r="Q1773" s="32"/>
      <c r="R1773" s="32"/>
      <c r="S1773" s="32"/>
      <c r="T1773" s="32"/>
      <c r="U1773" s="30"/>
    </row>
    <row r="1774" spans="1:21">
      <c r="A1774" s="29"/>
      <c r="B1774" s="29"/>
      <c r="C1774" s="29"/>
      <c r="D1774" s="29"/>
      <c r="E1774" s="29"/>
      <c r="F1774" s="29"/>
      <c r="G1774" s="29"/>
      <c r="H1774" s="29"/>
      <c r="J1774" s="29"/>
      <c r="K1774" s="29"/>
      <c r="L1774" s="19"/>
      <c r="M1774" s="19"/>
      <c r="N1774" s="30"/>
      <c r="O1774" s="30"/>
      <c r="P1774" s="32"/>
      <c r="Q1774" s="32"/>
      <c r="R1774" s="32"/>
      <c r="S1774" s="32"/>
      <c r="T1774" s="32"/>
      <c r="U1774" s="30"/>
    </row>
    <row r="1775" spans="1:21">
      <c r="A1775" s="29"/>
      <c r="B1775" s="29"/>
      <c r="C1775" s="29"/>
      <c r="D1775" s="29"/>
      <c r="E1775" s="29"/>
      <c r="F1775" s="29"/>
      <c r="G1775" s="29"/>
      <c r="H1775" s="29"/>
      <c r="J1775" s="29"/>
      <c r="K1775" s="29"/>
      <c r="L1775" s="19"/>
      <c r="M1775" s="19"/>
      <c r="N1775" s="30"/>
      <c r="O1775" s="30"/>
      <c r="P1775" s="32"/>
      <c r="Q1775" s="32"/>
      <c r="R1775" s="32"/>
      <c r="S1775" s="32"/>
      <c r="T1775" s="32"/>
      <c r="U1775" s="30"/>
    </row>
    <row r="1776" spans="1:21">
      <c r="A1776" s="29"/>
      <c r="B1776" s="29"/>
      <c r="C1776" s="29"/>
      <c r="D1776" s="29"/>
      <c r="E1776" s="29"/>
      <c r="F1776" s="29"/>
      <c r="G1776" s="29"/>
      <c r="H1776" s="29"/>
      <c r="J1776" s="29"/>
      <c r="K1776" s="29"/>
      <c r="L1776" s="19"/>
      <c r="M1776" s="19"/>
      <c r="N1776" s="30"/>
      <c r="O1776" s="30"/>
      <c r="P1776" s="32"/>
      <c r="Q1776" s="32"/>
      <c r="R1776" s="32"/>
      <c r="S1776" s="32"/>
      <c r="T1776" s="32"/>
      <c r="U1776" s="30"/>
    </row>
    <row r="1777" spans="1:21">
      <c r="A1777" s="29"/>
      <c r="B1777" s="29"/>
      <c r="C1777" s="29"/>
      <c r="D1777" s="29"/>
      <c r="E1777" s="29"/>
      <c r="F1777" s="29"/>
      <c r="G1777" s="29"/>
      <c r="H1777" s="29"/>
      <c r="J1777" s="29"/>
      <c r="K1777" s="29"/>
      <c r="L1777" s="19"/>
      <c r="M1777" s="19"/>
      <c r="N1777" s="30"/>
      <c r="O1777" s="30"/>
      <c r="P1777" s="32"/>
      <c r="Q1777" s="32"/>
      <c r="R1777" s="32"/>
      <c r="S1777" s="32"/>
      <c r="T1777" s="32"/>
      <c r="U1777" s="30"/>
    </row>
    <row r="1778" spans="1:21">
      <c r="A1778" s="29"/>
      <c r="B1778" s="29"/>
      <c r="C1778" s="29"/>
      <c r="D1778" s="29"/>
      <c r="E1778" s="29"/>
      <c r="F1778" s="29"/>
      <c r="G1778" s="29"/>
      <c r="H1778" s="29"/>
      <c r="J1778" s="29"/>
      <c r="K1778" s="29"/>
      <c r="L1778" s="19"/>
      <c r="M1778" s="19"/>
      <c r="N1778" s="30"/>
      <c r="O1778" s="30"/>
      <c r="P1778" s="32"/>
      <c r="Q1778" s="32"/>
      <c r="R1778" s="32"/>
      <c r="S1778" s="32"/>
      <c r="T1778" s="32"/>
      <c r="U1778" s="30"/>
    </row>
    <row r="1779" spans="1:21">
      <c r="A1779" s="29"/>
      <c r="B1779" s="29"/>
      <c r="C1779" s="29"/>
      <c r="D1779" s="29"/>
      <c r="E1779" s="29"/>
      <c r="F1779" s="29"/>
      <c r="G1779" s="29"/>
      <c r="H1779" s="29"/>
      <c r="J1779" s="29"/>
      <c r="K1779" s="29"/>
      <c r="L1779" s="19"/>
      <c r="M1779" s="19"/>
      <c r="N1779" s="30"/>
      <c r="O1779" s="30"/>
      <c r="P1779" s="32"/>
      <c r="Q1779" s="32"/>
      <c r="R1779" s="32"/>
      <c r="S1779" s="32"/>
      <c r="T1779" s="32"/>
      <c r="U1779" s="30"/>
    </row>
    <row r="1780" spans="1:21">
      <c r="A1780" s="29"/>
      <c r="B1780" s="29"/>
      <c r="C1780" s="29"/>
      <c r="D1780" s="29"/>
      <c r="E1780" s="29"/>
      <c r="F1780" s="29"/>
      <c r="G1780" s="29"/>
      <c r="H1780" s="29"/>
      <c r="J1780" s="29"/>
      <c r="K1780" s="29"/>
      <c r="L1780" s="19"/>
      <c r="M1780" s="19"/>
      <c r="N1780" s="30"/>
      <c r="O1780" s="30"/>
      <c r="P1780" s="32"/>
      <c r="Q1780" s="32"/>
      <c r="R1780" s="32"/>
      <c r="S1780" s="32"/>
      <c r="T1780" s="32"/>
      <c r="U1780" s="30"/>
    </row>
    <row r="1781" spans="1:21">
      <c r="A1781" s="29"/>
      <c r="B1781" s="29"/>
      <c r="C1781" s="29"/>
      <c r="D1781" s="29"/>
      <c r="E1781" s="29"/>
      <c r="F1781" s="29"/>
      <c r="G1781" s="29"/>
      <c r="H1781" s="29"/>
      <c r="J1781" s="29"/>
      <c r="K1781" s="29"/>
      <c r="L1781" s="19"/>
      <c r="M1781" s="19"/>
      <c r="N1781" s="30"/>
      <c r="O1781" s="30"/>
      <c r="P1781" s="32"/>
      <c r="Q1781" s="32"/>
      <c r="R1781" s="32"/>
      <c r="S1781" s="32"/>
      <c r="T1781" s="32"/>
      <c r="U1781" s="30"/>
    </row>
    <row r="1782" spans="1:21">
      <c r="A1782" s="29"/>
      <c r="B1782" s="29"/>
      <c r="C1782" s="29"/>
      <c r="D1782" s="29"/>
      <c r="E1782" s="29"/>
      <c r="F1782" s="29"/>
      <c r="G1782" s="29"/>
      <c r="H1782" s="29"/>
      <c r="J1782" s="29"/>
      <c r="K1782" s="29"/>
      <c r="L1782" s="19"/>
      <c r="M1782" s="19"/>
      <c r="N1782" s="30"/>
      <c r="O1782" s="30"/>
      <c r="P1782" s="32"/>
      <c r="Q1782" s="32"/>
      <c r="R1782" s="32"/>
      <c r="S1782" s="32"/>
      <c r="T1782" s="32"/>
      <c r="U1782" s="30"/>
    </row>
    <row r="1783" spans="1:21">
      <c r="A1783" s="29"/>
      <c r="B1783" s="29"/>
      <c r="C1783" s="29"/>
      <c r="D1783" s="29"/>
      <c r="E1783" s="29"/>
      <c r="F1783" s="29"/>
      <c r="G1783" s="29"/>
      <c r="H1783" s="29"/>
      <c r="J1783" s="29"/>
      <c r="K1783" s="29"/>
      <c r="L1783" s="19"/>
      <c r="M1783" s="19"/>
      <c r="N1783" s="30"/>
      <c r="O1783" s="30"/>
      <c r="P1783" s="32"/>
      <c r="Q1783" s="32"/>
      <c r="R1783" s="32"/>
      <c r="S1783" s="32"/>
      <c r="T1783" s="32"/>
      <c r="U1783" s="30"/>
    </row>
    <row r="1784" spans="1:21">
      <c r="A1784" s="29"/>
      <c r="B1784" s="29"/>
      <c r="C1784" s="29"/>
      <c r="D1784" s="29"/>
      <c r="E1784" s="29"/>
      <c r="F1784" s="29"/>
      <c r="G1784" s="29"/>
      <c r="H1784" s="29"/>
      <c r="J1784" s="29"/>
      <c r="K1784" s="29"/>
      <c r="L1784" s="19"/>
      <c r="M1784" s="19"/>
      <c r="N1784" s="30"/>
      <c r="O1784" s="30"/>
      <c r="P1784" s="32"/>
      <c r="Q1784" s="32"/>
      <c r="R1784" s="32"/>
      <c r="S1784" s="32"/>
      <c r="T1784" s="32"/>
      <c r="U1784" s="30"/>
    </row>
    <row r="1785" spans="1:21">
      <c r="A1785" s="29"/>
      <c r="B1785" s="29"/>
      <c r="C1785" s="29"/>
      <c r="D1785" s="29"/>
      <c r="E1785" s="29"/>
      <c r="F1785" s="29"/>
      <c r="G1785" s="29"/>
      <c r="H1785" s="29"/>
      <c r="J1785" s="29"/>
      <c r="K1785" s="29"/>
      <c r="L1785" s="19"/>
      <c r="M1785" s="19"/>
      <c r="N1785" s="30"/>
      <c r="O1785" s="30"/>
      <c r="P1785" s="32"/>
      <c r="Q1785" s="32"/>
      <c r="R1785" s="32"/>
      <c r="S1785" s="32"/>
      <c r="T1785" s="32"/>
      <c r="U1785" s="30"/>
    </row>
    <row r="1786" spans="1:21">
      <c r="A1786" s="29"/>
      <c r="B1786" s="29"/>
      <c r="C1786" s="29"/>
      <c r="D1786" s="29"/>
      <c r="E1786" s="29"/>
      <c r="F1786" s="29"/>
      <c r="G1786" s="29"/>
      <c r="H1786" s="29"/>
      <c r="J1786" s="29"/>
      <c r="K1786" s="29"/>
      <c r="L1786" s="19"/>
      <c r="M1786" s="19"/>
      <c r="N1786" s="30"/>
      <c r="O1786" s="30"/>
      <c r="P1786" s="32"/>
      <c r="Q1786" s="32"/>
      <c r="R1786" s="32"/>
      <c r="S1786" s="32"/>
      <c r="T1786" s="32"/>
      <c r="U1786" s="30"/>
    </row>
    <row r="1787" spans="1:21">
      <c r="A1787" s="29"/>
      <c r="B1787" s="29"/>
      <c r="C1787" s="29"/>
      <c r="D1787" s="29"/>
      <c r="E1787" s="29"/>
      <c r="F1787" s="29"/>
      <c r="G1787" s="29"/>
      <c r="H1787" s="29"/>
      <c r="J1787" s="29"/>
      <c r="K1787" s="29"/>
      <c r="L1787" s="19"/>
      <c r="M1787" s="19"/>
      <c r="N1787" s="30"/>
      <c r="O1787" s="30"/>
      <c r="P1787" s="32"/>
      <c r="Q1787" s="32"/>
      <c r="R1787" s="32"/>
      <c r="S1787" s="32"/>
      <c r="T1787" s="32"/>
      <c r="U1787" s="30"/>
    </row>
    <row r="1788" spans="1:21">
      <c r="A1788" s="29"/>
      <c r="B1788" s="29"/>
      <c r="C1788" s="29"/>
      <c r="D1788" s="29"/>
      <c r="E1788" s="29"/>
      <c r="F1788" s="29"/>
      <c r="G1788" s="29"/>
      <c r="H1788" s="29"/>
      <c r="J1788" s="29"/>
      <c r="K1788" s="29"/>
      <c r="L1788" s="19"/>
      <c r="M1788" s="19"/>
      <c r="N1788" s="30"/>
      <c r="O1788" s="30"/>
      <c r="P1788" s="32"/>
      <c r="Q1788" s="32"/>
      <c r="R1788" s="32"/>
      <c r="S1788" s="32"/>
      <c r="T1788" s="32"/>
      <c r="U1788" s="30"/>
    </row>
    <row r="1789" spans="1:21">
      <c r="A1789" s="29"/>
      <c r="B1789" s="29"/>
      <c r="C1789" s="29"/>
      <c r="D1789" s="29"/>
      <c r="E1789" s="29"/>
      <c r="F1789" s="29"/>
      <c r="G1789" s="29"/>
      <c r="H1789" s="29"/>
      <c r="J1789" s="29"/>
      <c r="K1789" s="29"/>
      <c r="L1789" s="19"/>
      <c r="M1789" s="19"/>
      <c r="N1789" s="30"/>
      <c r="O1789" s="30"/>
      <c r="P1789" s="32"/>
      <c r="Q1789" s="32"/>
      <c r="R1789" s="32"/>
      <c r="S1789" s="32"/>
      <c r="T1789" s="32"/>
      <c r="U1789" s="30"/>
    </row>
    <row r="1790" spans="1:21">
      <c r="A1790" s="29"/>
      <c r="B1790" s="29"/>
      <c r="C1790" s="29"/>
      <c r="D1790" s="29"/>
      <c r="E1790" s="29"/>
      <c r="F1790" s="29"/>
      <c r="G1790" s="29"/>
      <c r="H1790" s="29"/>
      <c r="J1790" s="29"/>
      <c r="K1790" s="29"/>
      <c r="L1790" s="19"/>
      <c r="M1790" s="19"/>
      <c r="N1790" s="30"/>
      <c r="O1790" s="30"/>
      <c r="P1790" s="32"/>
      <c r="Q1790" s="32"/>
      <c r="R1790" s="32"/>
      <c r="S1790" s="32"/>
      <c r="T1790" s="32"/>
      <c r="U1790" s="30"/>
    </row>
    <row r="1791" spans="1:21">
      <c r="A1791" s="29"/>
      <c r="B1791" s="29"/>
      <c r="C1791" s="29"/>
      <c r="D1791" s="29"/>
      <c r="E1791" s="29"/>
      <c r="F1791" s="29"/>
      <c r="G1791" s="29"/>
      <c r="H1791" s="29"/>
      <c r="J1791" s="29"/>
      <c r="K1791" s="29"/>
      <c r="L1791" s="19"/>
      <c r="M1791" s="19"/>
      <c r="N1791" s="30"/>
      <c r="O1791" s="30"/>
      <c r="P1791" s="32"/>
      <c r="Q1791" s="32"/>
      <c r="R1791" s="32"/>
      <c r="S1791" s="32"/>
      <c r="T1791" s="32"/>
      <c r="U1791" s="30"/>
    </row>
    <row r="1792" spans="1:21">
      <c r="A1792" s="29"/>
      <c r="B1792" s="29"/>
      <c r="C1792" s="29"/>
      <c r="D1792" s="29"/>
      <c r="E1792" s="29"/>
      <c r="F1792" s="29"/>
      <c r="G1792" s="29"/>
      <c r="H1792" s="29"/>
      <c r="J1792" s="29"/>
      <c r="K1792" s="29"/>
      <c r="L1792" s="19"/>
      <c r="M1792" s="19"/>
      <c r="N1792" s="30"/>
      <c r="O1792" s="30"/>
      <c r="P1792" s="32"/>
      <c r="Q1792" s="32"/>
      <c r="R1792" s="32"/>
      <c r="S1792" s="32"/>
      <c r="T1792" s="32"/>
      <c r="U1792" s="30"/>
    </row>
    <row r="1793" spans="1:21">
      <c r="A1793" s="29"/>
      <c r="B1793" s="29"/>
      <c r="C1793" s="29"/>
      <c r="D1793" s="29"/>
      <c r="E1793" s="29"/>
      <c r="F1793" s="29"/>
      <c r="G1793" s="29"/>
      <c r="H1793" s="29"/>
      <c r="J1793" s="29"/>
      <c r="K1793" s="29"/>
      <c r="L1793" s="19"/>
      <c r="M1793" s="19"/>
      <c r="N1793" s="30"/>
      <c r="O1793" s="30"/>
      <c r="P1793" s="32"/>
      <c r="Q1793" s="32"/>
      <c r="R1793" s="32"/>
      <c r="S1793" s="32"/>
      <c r="T1793" s="32"/>
      <c r="U1793" s="30"/>
    </row>
    <row r="1794" spans="1:21">
      <c r="A1794" s="29"/>
      <c r="B1794" s="29"/>
      <c r="C1794" s="29"/>
      <c r="D1794" s="29"/>
      <c r="E1794" s="29"/>
      <c r="F1794" s="29"/>
      <c r="G1794" s="29"/>
      <c r="H1794" s="29"/>
      <c r="J1794" s="29"/>
      <c r="K1794" s="29"/>
      <c r="L1794" s="19"/>
      <c r="M1794" s="19"/>
      <c r="N1794" s="30"/>
      <c r="O1794" s="30"/>
      <c r="P1794" s="32"/>
      <c r="Q1794" s="32"/>
      <c r="R1794" s="32"/>
      <c r="S1794" s="32"/>
      <c r="T1794" s="32"/>
      <c r="U1794" s="30"/>
    </row>
    <row r="1795" spans="1:21">
      <c r="A1795" s="29"/>
      <c r="B1795" s="29"/>
      <c r="C1795" s="29"/>
      <c r="D1795" s="29"/>
      <c r="E1795" s="29"/>
      <c r="F1795" s="29"/>
      <c r="G1795" s="29"/>
      <c r="H1795" s="29"/>
      <c r="J1795" s="29"/>
      <c r="K1795" s="29"/>
      <c r="L1795" s="19"/>
      <c r="M1795" s="19"/>
      <c r="N1795" s="30"/>
      <c r="O1795" s="30"/>
      <c r="P1795" s="32"/>
      <c r="Q1795" s="32"/>
      <c r="R1795" s="32"/>
      <c r="S1795" s="32"/>
      <c r="T1795" s="32"/>
      <c r="U1795" s="30"/>
    </row>
    <row r="1796" spans="1:21">
      <c r="A1796" s="29"/>
      <c r="B1796" s="29"/>
      <c r="C1796" s="29"/>
      <c r="D1796" s="29"/>
      <c r="E1796" s="29"/>
      <c r="F1796" s="29"/>
      <c r="G1796" s="29"/>
      <c r="H1796" s="29"/>
      <c r="J1796" s="29"/>
      <c r="K1796" s="29"/>
      <c r="L1796" s="19"/>
      <c r="M1796" s="19"/>
      <c r="N1796" s="30"/>
      <c r="O1796" s="30"/>
      <c r="P1796" s="32"/>
      <c r="Q1796" s="32"/>
      <c r="R1796" s="32"/>
      <c r="S1796" s="32"/>
      <c r="T1796" s="32"/>
      <c r="U1796" s="30"/>
    </row>
    <row r="1797" spans="1:21">
      <c r="A1797" s="29"/>
      <c r="B1797" s="29"/>
      <c r="C1797" s="29"/>
      <c r="D1797" s="29"/>
      <c r="E1797" s="29"/>
      <c r="F1797" s="29"/>
      <c r="G1797" s="29"/>
      <c r="H1797" s="29"/>
      <c r="J1797" s="29"/>
      <c r="K1797" s="29"/>
      <c r="L1797" s="19"/>
      <c r="M1797" s="19"/>
      <c r="N1797" s="30"/>
      <c r="O1797" s="30"/>
      <c r="P1797" s="32"/>
      <c r="Q1797" s="32"/>
      <c r="R1797" s="32"/>
      <c r="S1797" s="32"/>
      <c r="T1797" s="32"/>
      <c r="U1797" s="30"/>
    </row>
    <row r="1798" spans="1:21">
      <c r="A1798" s="29"/>
      <c r="B1798" s="29"/>
      <c r="C1798" s="29"/>
      <c r="D1798" s="29"/>
      <c r="E1798" s="29"/>
      <c r="F1798" s="29"/>
      <c r="G1798" s="29"/>
      <c r="H1798" s="29"/>
      <c r="J1798" s="29"/>
      <c r="K1798" s="29"/>
      <c r="L1798" s="19"/>
      <c r="M1798" s="19"/>
      <c r="N1798" s="30"/>
      <c r="O1798" s="30"/>
      <c r="P1798" s="32"/>
      <c r="Q1798" s="32"/>
      <c r="R1798" s="32"/>
      <c r="S1798" s="32"/>
      <c r="T1798" s="32"/>
      <c r="U1798" s="30"/>
    </row>
    <row r="1799" spans="1:21">
      <c r="A1799" s="29"/>
      <c r="B1799" s="29"/>
      <c r="C1799" s="29"/>
      <c r="D1799" s="29"/>
      <c r="E1799" s="29"/>
      <c r="F1799" s="29"/>
      <c r="G1799" s="29"/>
      <c r="H1799" s="29"/>
      <c r="J1799" s="29"/>
      <c r="K1799" s="29"/>
      <c r="L1799" s="19"/>
      <c r="M1799" s="19"/>
      <c r="N1799" s="30"/>
      <c r="O1799" s="30"/>
      <c r="P1799" s="32"/>
      <c r="Q1799" s="32"/>
      <c r="R1799" s="32"/>
      <c r="S1799" s="32"/>
      <c r="T1799" s="32"/>
      <c r="U1799" s="30"/>
    </row>
    <row r="1800" spans="1:21">
      <c r="A1800" s="29"/>
      <c r="B1800" s="29"/>
      <c r="C1800" s="29"/>
      <c r="D1800" s="29"/>
      <c r="E1800" s="29"/>
      <c r="F1800" s="29"/>
      <c r="G1800" s="29"/>
      <c r="H1800" s="29"/>
      <c r="J1800" s="29"/>
      <c r="K1800" s="29"/>
      <c r="L1800" s="19"/>
      <c r="M1800" s="19"/>
      <c r="N1800" s="30"/>
      <c r="O1800" s="30"/>
      <c r="P1800" s="32"/>
      <c r="Q1800" s="32"/>
      <c r="R1800" s="32"/>
      <c r="S1800" s="32"/>
      <c r="T1800" s="32"/>
      <c r="U1800" s="30"/>
    </row>
    <row r="1801" spans="1:21">
      <c r="A1801" s="29"/>
      <c r="B1801" s="29"/>
      <c r="C1801" s="29"/>
      <c r="D1801" s="29"/>
      <c r="E1801" s="29"/>
      <c r="F1801" s="29"/>
      <c r="G1801" s="29"/>
      <c r="H1801" s="29"/>
      <c r="J1801" s="29"/>
      <c r="K1801" s="29"/>
      <c r="L1801" s="19"/>
      <c r="M1801" s="19"/>
      <c r="N1801" s="30"/>
      <c r="O1801" s="30"/>
      <c r="P1801" s="32"/>
      <c r="Q1801" s="32"/>
      <c r="R1801" s="32"/>
      <c r="S1801" s="32"/>
      <c r="T1801" s="32"/>
      <c r="U1801" s="30"/>
    </row>
    <row r="1802" spans="1:21">
      <c r="A1802" s="29"/>
      <c r="B1802" s="29"/>
      <c r="C1802" s="29"/>
      <c r="D1802" s="29"/>
      <c r="E1802" s="29"/>
      <c r="F1802" s="29"/>
      <c r="G1802" s="29"/>
      <c r="H1802" s="29"/>
      <c r="J1802" s="29"/>
      <c r="K1802" s="29"/>
      <c r="L1802" s="19"/>
      <c r="M1802" s="19"/>
      <c r="N1802" s="30"/>
      <c r="O1802" s="30"/>
      <c r="P1802" s="32"/>
      <c r="Q1802" s="32"/>
      <c r="R1802" s="32"/>
      <c r="S1802" s="32"/>
      <c r="T1802" s="32"/>
      <c r="U1802" s="30"/>
    </row>
    <row r="1803" spans="1:21">
      <c r="A1803" s="29"/>
      <c r="B1803" s="29"/>
      <c r="C1803" s="29"/>
      <c r="D1803" s="29"/>
      <c r="E1803" s="29"/>
      <c r="F1803" s="29"/>
      <c r="G1803" s="29"/>
      <c r="H1803" s="29"/>
      <c r="J1803" s="29"/>
      <c r="K1803" s="29"/>
      <c r="L1803" s="19"/>
      <c r="M1803" s="19"/>
      <c r="N1803" s="30"/>
      <c r="O1803" s="30"/>
      <c r="P1803" s="32"/>
      <c r="Q1803" s="32"/>
      <c r="R1803" s="32"/>
      <c r="S1803" s="32"/>
      <c r="T1803" s="32"/>
      <c r="U1803" s="30"/>
    </row>
    <row r="1804" spans="1:21">
      <c r="A1804" s="29"/>
      <c r="B1804" s="29"/>
      <c r="C1804" s="29"/>
      <c r="D1804" s="29"/>
      <c r="E1804" s="29"/>
      <c r="F1804" s="29"/>
      <c r="G1804" s="29"/>
      <c r="H1804" s="29"/>
      <c r="J1804" s="29"/>
      <c r="K1804" s="29"/>
      <c r="L1804" s="19"/>
      <c r="M1804" s="19"/>
      <c r="N1804" s="30"/>
      <c r="O1804" s="30"/>
      <c r="P1804" s="32"/>
      <c r="Q1804" s="32"/>
      <c r="R1804" s="32"/>
      <c r="S1804" s="32"/>
      <c r="T1804" s="32"/>
      <c r="U1804" s="30"/>
    </row>
    <row r="1805" spans="1:21">
      <c r="A1805" s="29"/>
      <c r="B1805" s="29"/>
      <c r="C1805" s="29"/>
      <c r="D1805" s="29"/>
      <c r="E1805" s="29"/>
      <c r="F1805" s="29"/>
      <c r="G1805" s="29"/>
      <c r="H1805" s="29"/>
      <c r="J1805" s="29"/>
      <c r="K1805" s="29"/>
      <c r="L1805" s="19"/>
      <c r="M1805" s="19"/>
      <c r="N1805" s="30"/>
      <c r="O1805" s="30"/>
      <c r="P1805" s="32"/>
      <c r="Q1805" s="32"/>
      <c r="R1805" s="32"/>
      <c r="S1805" s="32"/>
      <c r="T1805" s="32"/>
      <c r="U1805" s="30"/>
    </row>
    <row r="1806" spans="1:21">
      <c r="A1806" s="29"/>
      <c r="B1806" s="29"/>
      <c r="C1806" s="29"/>
      <c r="D1806" s="29"/>
      <c r="E1806" s="29"/>
      <c r="F1806" s="29"/>
      <c r="G1806" s="29"/>
      <c r="H1806" s="29"/>
      <c r="J1806" s="29"/>
      <c r="K1806" s="29"/>
      <c r="L1806" s="19"/>
      <c r="M1806" s="19"/>
      <c r="N1806" s="30"/>
      <c r="O1806" s="30"/>
      <c r="P1806" s="32"/>
      <c r="Q1806" s="32"/>
      <c r="R1806" s="32"/>
      <c r="S1806" s="32"/>
      <c r="T1806" s="32"/>
      <c r="U1806" s="30"/>
    </row>
    <row r="1807" spans="1:21">
      <c r="A1807" s="29"/>
      <c r="B1807" s="29"/>
      <c r="C1807" s="29"/>
      <c r="D1807" s="29"/>
      <c r="E1807" s="29"/>
      <c r="F1807" s="29"/>
      <c r="G1807" s="29"/>
      <c r="H1807" s="29"/>
      <c r="J1807" s="29"/>
      <c r="K1807" s="29"/>
      <c r="L1807" s="19"/>
      <c r="M1807" s="19"/>
      <c r="N1807" s="30"/>
      <c r="O1807" s="30"/>
      <c r="P1807" s="32"/>
      <c r="Q1807" s="32"/>
      <c r="R1807" s="32"/>
      <c r="S1807" s="32"/>
      <c r="T1807" s="32"/>
      <c r="U1807" s="30"/>
    </row>
    <row r="1808" spans="1:21">
      <c r="A1808" s="29"/>
      <c r="B1808" s="29"/>
      <c r="C1808" s="29"/>
      <c r="D1808" s="29"/>
      <c r="E1808" s="29"/>
      <c r="F1808" s="29"/>
      <c r="G1808" s="29"/>
      <c r="H1808" s="29"/>
      <c r="J1808" s="29"/>
      <c r="K1808" s="29"/>
      <c r="L1808" s="19"/>
      <c r="M1808" s="19"/>
      <c r="N1808" s="30"/>
      <c r="O1808" s="30"/>
      <c r="P1808" s="32"/>
      <c r="Q1808" s="32"/>
      <c r="R1808" s="32"/>
      <c r="S1808" s="32"/>
      <c r="T1808" s="32"/>
      <c r="U1808" s="30"/>
    </row>
    <row r="1809" spans="1:21">
      <c r="A1809" s="29"/>
      <c r="B1809" s="29"/>
      <c r="C1809" s="29"/>
      <c r="D1809" s="29"/>
      <c r="E1809" s="29"/>
      <c r="F1809" s="29"/>
      <c r="G1809" s="29"/>
      <c r="H1809" s="29"/>
      <c r="J1809" s="29"/>
      <c r="K1809" s="29"/>
      <c r="L1809" s="19"/>
      <c r="M1809" s="19"/>
      <c r="N1809" s="30"/>
      <c r="O1809" s="30"/>
      <c r="P1809" s="32"/>
      <c r="Q1809" s="32"/>
      <c r="R1809" s="32"/>
      <c r="S1809" s="32"/>
      <c r="T1809" s="32"/>
      <c r="U1809" s="30"/>
    </row>
    <row r="1810" spans="1:21">
      <c r="A1810" s="29"/>
      <c r="B1810" s="29"/>
      <c r="C1810" s="29"/>
      <c r="D1810" s="29"/>
      <c r="E1810" s="29"/>
      <c r="F1810" s="29"/>
      <c r="G1810" s="29"/>
      <c r="H1810" s="29"/>
      <c r="J1810" s="29"/>
      <c r="K1810" s="29"/>
      <c r="L1810" s="19"/>
      <c r="M1810" s="19"/>
      <c r="N1810" s="30"/>
      <c r="O1810" s="30"/>
      <c r="P1810" s="32"/>
      <c r="Q1810" s="32"/>
      <c r="R1810" s="32"/>
      <c r="S1810" s="32"/>
      <c r="T1810" s="32"/>
      <c r="U1810" s="30"/>
    </row>
    <row r="1811" spans="1:21">
      <c r="A1811" s="29"/>
      <c r="B1811" s="29"/>
      <c r="C1811" s="29"/>
      <c r="D1811" s="29"/>
      <c r="E1811" s="29"/>
      <c r="F1811" s="29"/>
      <c r="G1811" s="29"/>
      <c r="H1811" s="29"/>
      <c r="J1811" s="29"/>
      <c r="K1811" s="29"/>
      <c r="L1811" s="19"/>
      <c r="M1811" s="19"/>
      <c r="N1811" s="30"/>
      <c r="O1811" s="30"/>
      <c r="P1811" s="32"/>
      <c r="Q1811" s="32"/>
      <c r="R1811" s="32"/>
      <c r="S1811" s="32"/>
      <c r="T1811" s="32"/>
      <c r="U1811" s="30"/>
    </row>
    <row r="1812" spans="1:21">
      <c r="A1812" s="29"/>
      <c r="B1812" s="29"/>
      <c r="C1812" s="29"/>
      <c r="D1812" s="29"/>
      <c r="E1812" s="29"/>
      <c r="F1812" s="29"/>
      <c r="G1812" s="29"/>
      <c r="H1812" s="29"/>
      <c r="J1812" s="29"/>
      <c r="K1812" s="29"/>
      <c r="L1812" s="19"/>
      <c r="M1812" s="19"/>
      <c r="N1812" s="30"/>
      <c r="O1812" s="30"/>
      <c r="P1812" s="32"/>
      <c r="Q1812" s="32"/>
      <c r="R1812" s="32"/>
      <c r="S1812" s="32"/>
      <c r="T1812" s="32"/>
      <c r="U1812" s="30"/>
    </row>
    <row r="1813" spans="1:21">
      <c r="A1813" s="29"/>
      <c r="B1813" s="29"/>
      <c r="C1813" s="29"/>
      <c r="D1813" s="29"/>
      <c r="E1813" s="29"/>
      <c r="F1813" s="29"/>
      <c r="G1813" s="29"/>
      <c r="H1813" s="29"/>
      <c r="J1813" s="29"/>
      <c r="K1813" s="29"/>
      <c r="L1813" s="19"/>
      <c r="M1813" s="19"/>
      <c r="N1813" s="30"/>
      <c r="O1813" s="30"/>
      <c r="P1813" s="32"/>
      <c r="Q1813" s="32"/>
      <c r="R1813" s="32"/>
      <c r="S1813" s="32"/>
      <c r="T1813" s="32"/>
      <c r="U1813" s="30"/>
    </row>
    <row r="1814" spans="1:21">
      <c r="A1814" s="29"/>
      <c r="B1814" s="29"/>
      <c r="C1814" s="29"/>
      <c r="D1814" s="29"/>
      <c r="E1814" s="29"/>
      <c r="F1814" s="29"/>
      <c r="G1814" s="29"/>
      <c r="H1814" s="29"/>
      <c r="J1814" s="29"/>
      <c r="K1814" s="29"/>
      <c r="L1814" s="19"/>
      <c r="M1814" s="19"/>
      <c r="N1814" s="30"/>
      <c r="O1814" s="30"/>
      <c r="P1814" s="32"/>
      <c r="Q1814" s="32"/>
      <c r="R1814" s="32"/>
      <c r="S1814" s="32"/>
      <c r="T1814" s="32"/>
      <c r="U1814" s="30"/>
    </row>
    <row r="1815" spans="1:21">
      <c r="A1815" s="29"/>
      <c r="B1815" s="29"/>
      <c r="C1815" s="29"/>
      <c r="D1815" s="29"/>
      <c r="E1815" s="29"/>
      <c r="F1815" s="29"/>
      <c r="G1815" s="29"/>
      <c r="H1815" s="29"/>
      <c r="J1815" s="29"/>
      <c r="K1815" s="29"/>
      <c r="L1815" s="19"/>
      <c r="M1815" s="19"/>
      <c r="N1815" s="30"/>
      <c r="O1815" s="30"/>
      <c r="P1815" s="32"/>
      <c r="Q1815" s="32"/>
      <c r="R1815" s="32"/>
      <c r="S1815" s="32"/>
      <c r="T1815" s="32"/>
      <c r="U1815" s="30"/>
    </row>
    <row r="1816" spans="1:21">
      <c r="A1816" s="29"/>
      <c r="B1816" s="29"/>
      <c r="C1816" s="29"/>
      <c r="D1816" s="29"/>
      <c r="E1816" s="29"/>
      <c r="F1816" s="29"/>
      <c r="G1816" s="29"/>
      <c r="H1816" s="29"/>
      <c r="J1816" s="29"/>
      <c r="K1816" s="29"/>
      <c r="L1816" s="19"/>
      <c r="M1816" s="19"/>
      <c r="N1816" s="30"/>
      <c r="O1816" s="30"/>
      <c r="P1816" s="32"/>
      <c r="Q1816" s="32"/>
      <c r="R1816" s="32"/>
      <c r="S1816" s="32"/>
      <c r="T1816" s="32"/>
      <c r="U1816" s="30"/>
    </row>
    <row r="1817" spans="1:21">
      <c r="A1817" s="29"/>
      <c r="B1817" s="29"/>
      <c r="C1817" s="29"/>
      <c r="D1817" s="29"/>
      <c r="E1817" s="29"/>
      <c r="F1817" s="29"/>
      <c r="G1817" s="29"/>
      <c r="H1817" s="29"/>
      <c r="J1817" s="29"/>
      <c r="K1817" s="29"/>
      <c r="L1817" s="19"/>
      <c r="M1817" s="19"/>
      <c r="N1817" s="30"/>
      <c r="O1817" s="30"/>
      <c r="P1817" s="32"/>
      <c r="Q1817" s="32"/>
      <c r="R1817" s="32"/>
      <c r="S1817" s="32"/>
      <c r="T1817" s="32"/>
      <c r="U1817" s="30"/>
    </row>
    <row r="1818" spans="1:21">
      <c r="A1818" s="29"/>
      <c r="B1818" s="29"/>
      <c r="C1818" s="29"/>
      <c r="D1818" s="29"/>
      <c r="E1818" s="29"/>
      <c r="F1818" s="29"/>
      <c r="G1818" s="29"/>
      <c r="H1818" s="29"/>
      <c r="J1818" s="29"/>
      <c r="K1818" s="29"/>
      <c r="L1818" s="19"/>
      <c r="M1818" s="19"/>
      <c r="N1818" s="30"/>
      <c r="O1818" s="30"/>
      <c r="P1818" s="32"/>
      <c r="Q1818" s="32"/>
      <c r="R1818" s="32"/>
      <c r="S1818" s="32"/>
      <c r="T1818" s="32"/>
      <c r="U1818" s="30"/>
    </row>
    <row r="1819" spans="1:21">
      <c r="A1819" s="29"/>
      <c r="B1819" s="29"/>
      <c r="C1819" s="29"/>
      <c r="D1819" s="29"/>
      <c r="E1819" s="29"/>
      <c r="F1819" s="29"/>
      <c r="G1819" s="29"/>
      <c r="H1819" s="29"/>
      <c r="J1819" s="29"/>
      <c r="K1819" s="29"/>
      <c r="L1819" s="19"/>
      <c r="M1819" s="19"/>
      <c r="N1819" s="30"/>
      <c r="O1819" s="30"/>
      <c r="P1819" s="32"/>
      <c r="Q1819" s="32"/>
      <c r="R1819" s="32"/>
      <c r="S1819" s="32"/>
      <c r="T1819" s="32"/>
      <c r="U1819" s="30"/>
    </row>
    <row r="1820" spans="1:21">
      <c r="A1820" s="29"/>
      <c r="B1820" s="29"/>
      <c r="C1820" s="29"/>
      <c r="D1820" s="29"/>
      <c r="E1820" s="29"/>
      <c r="F1820" s="29"/>
      <c r="G1820" s="29"/>
      <c r="H1820" s="29"/>
      <c r="J1820" s="29"/>
      <c r="K1820" s="29"/>
      <c r="L1820" s="19"/>
      <c r="M1820" s="19"/>
      <c r="N1820" s="30"/>
      <c r="O1820" s="30"/>
      <c r="P1820" s="32"/>
      <c r="Q1820" s="32"/>
      <c r="R1820" s="32"/>
      <c r="S1820" s="32"/>
      <c r="T1820" s="32"/>
      <c r="U1820" s="30"/>
    </row>
    <row r="1821" spans="1:21">
      <c r="A1821" s="29"/>
      <c r="B1821" s="29"/>
      <c r="C1821" s="29"/>
      <c r="D1821" s="29"/>
      <c r="E1821" s="29"/>
      <c r="F1821" s="29"/>
      <c r="G1821" s="29"/>
      <c r="H1821" s="29"/>
      <c r="J1821" s="29"/>
      <c r="K1821" s="29"/>
      <c r="L1821" s="19"/>
      <c r="M1821" s="19"/>
      <c r="N1821" s="30"/>
      <c r="O1821" s="30"/>
      <c r="P1821" s="32"/>
      <c r="Q1821" s="32"/>
      <c r="R1821" s="32"/>
      <c r="S1821" s="32"/>
      <c r="T1821" s="32"/>
      <c r="U1821" s="30"/>
    </row>
    <row r="1822" spans="1:21">
      <c r="A1822" s="29"/>
      <c r="B1822" s="29"/>
      <c r="C1822" s="29"/>
      <c r="D1822" s="29"/>
      <c r="E1822" s="29"/>
      <c r="F1822" s="29"/>
      <c r="G1822" s="29"/>
      <c r="H1822" s="29"/>
      <c r="J1822" s="29"/>
      <c r="K1822" s="29"/>
      <c r="L1822" s="19"/>
      <c r="M1822" s="19"/>
      <c r="N1822" s="30"/>
      <c r="O1822" s="30"/>
      <c r="P1822" s="32"/>
      <c r="Q1822" s="32"/>
      <c r="R1822" s="32"/>
      <c r="S1822" s="32"/>
      <c r="T1822" s="32"/>
      <c r="U1822" s="30"/>
    </row>
    <row r="1823" spans="1:21">
      <c r="A1823" s="29"/>
      <c r="B1823" s="29"/>
      <c r="C1823" s="29"/>
      <c r="D1823" s="29"/>
      <c r="E1823" s="29"/>
      <c r="F1823" s="29"/>
      <c r="G1823" s="29"/>
      <c r="H1823" s="29"/>
      <c r="J1823" s="29"/>
      <c r="K1823" s="29"/>
      <c r="L1823" s="19"/>
      <c r="M1823" s="19"/>
      <c r="N1823" s="30"/>
      <c r="O1823" s="30"/>
      <c r="P1823" s="32"/>
      <c r="Q1823" s="32"/>
      <c r="R1823" s="32"/>
      <c r="S1823" s="32"/>
      <c r="T1823" s="32"/>
      <c r="U1823" s="30"/>
    </row>
    <row r="1824" spans="1:21">
      <c r="A1824" s="29"/>
      <c r="B1824" s="29"/>
      <c r="C1824" s="29"/>
      <c r="D1824" s="29"/>
      <c r="E1824" s="29"/>
      <c r="F1824" s="29"/>
      <c r="G1824" s="29"/>
      <c r="H1824" s="29"/>
      <c r="J1824" s="29"/>
      <c r="K1824" s="29"/>
      <c r="L1824" s="19"/>
      <c r="M1824" s="19"/>
      <c r="N1824" s="30"/>
      <c r="O1824" s="30"/>
      <c r="P1824" s="32"/>
      <c r="Q1824" s="32"/>
      <c r="R1824" s="32"/>
      <c r="S1824" s="32"/>
      <c r="T1824" s="32"/>
      <c r="U1824" s="30"/>
    </row>
    <row r="1825" spans="1:21">
      <c r="A1825" s="29"/>
      <c r="B1825" s="29"/>
      <c r="C1825" s="29"/>
      <c r="D1825" s="29"/>
      <c r="E1825" s="29"/>
      <c r="F1825" s="29"/>
      <c r="G1825" s="29"/>
      <c r="H1825" s="29"/>
      <c r="J1825" s="29"/>
      <c r="K1825" s="29"/>
      <c r="L1825" s="19"/>
      <c r="M1825" s="19"/>
      <c r="N1825" s="30"/>
      <c r="O1825" s="30"/>
      <c r="P1825" s="32"/>
      <c r="Q1825" s="32"/>
      <c r="R1825" s="32"/>
      <c r="S1825" s="32"/>
      <c r="T1825" s="32"/>
      <c r="U1825" s="30"/>
    </row>
    <row r="1826" spans="1:21">
      <c r="A1826" s="29"/>
      <c r="B1826" s="29"/>
      <c r="C1826" s="29"/>
      <c r="D1826" s="29"/>
      <c r="E1826" s="29"/>
      <c r="F1826" s="29"/>
      <c r="G1826" s="29"/>
      <c r="H1826" s="29"/>
      <c r="J1826" s="29"/>
      <c r="K1826" s="29"/>
      <c r="L1826" s="19"/>
      <c r="M1826" s="19"/>
      <c r="N1826" s="30"/>
      <c r="O1826" s="30"/>
      <c r="P1826" s="32"/>
      <c r="Q1826" s="32"/>
      <c r="R1826" s="32"/>
      <c r="S1826" s="32"/>
      <c r="T1826" s="32"/>
      <c r="U1826" s="30"/>
    </row>
    <row r="1827" spans="1:21">
      <c r="A1827" s="29"/>
      <c r="B1827" s="29"/>
      <c r="C1827" s="29"/>
      <c r="D1827" s="29"/>
      <c r="E1827" s="29"/>
      <c r="F1827" s="29"/>
      <c r="G1827" s="29"/>
      <c r="H1827" s="29"/>
      <c r="J1827" s="29"/>
      <c r="K1827" s="29"/>
      <c r="L1827" s="19"/>
      <c r="M1827" s="19"/>
      <c r="N1827" s="30"/>
      <c r="O1827" s="30"/>
      <c r="P1827" s="32"/>
      <c r="Q1827" s="32"/>
      <c r="R1827" s="32"/>
      <c r="S1827" s="32"/>
      <c r="T1827" s="32"/>
      <c r="U1827" s="30"/>
    </row>
    <row r="1828" spans="1:21">
      <c r="A1828" s="29"/>
      <c r="B1828" s="29"/>
      <c r="C1828" s="29"/>
      <c r="D1828" s="29"/>
      <c r="E1828" s="29"/>
      <c r="F1828" s="29"/>
      <c r="G1828" s="29"/>
      <c r="H1828" s="29"/>
      <c r="J1828" s="29"/>
      <c r="K1828" s="29"/>
      <c r="L1828" s="19"/>
      <c r="M1828" s="19"/>
      <c r="N1828" s="30"/>
      <c r="O1828" s="30"/>
      <c r="P1828" s="32"/>
      <c r="Q1828" s="32"/>
      <c r="R1828" s="32"/>
      <c r="S1828" s="32"/>
      <c r="T1828" s="32"/>
      <c r="U1828" s="30"/>
    </row>
    <row r="1829" spans="1:21">
      <c r="A1829" s="29"/>
      <c r="B1829" s="29"/>
      <c r="C1829" s="29"/>
      <c r="D1829" s="29"/>
      <c r="E1829" s="29"/>
      <c r="F1829" s="29"/>
      <c r="G1829" s="29"/>
      <c r="H1829" s="29"/>
      <c r="J1829" s="29"/>
      <c r="K1829" s="29"/>
      <c r="L1829" s="19"/>
      <c r="M1829" s="19"/>
      <c r="N1829" s="30"/>
      <c r="O1829" s="30"/>
      <c r="P1829" s="32"/>
      <c r="Q1829" s="32"/>
      <c r="R1829" s="32"/>
      <c r="S1829" s="32"/>
      <c r="T1829" s="32"/>
      <c r="U1829" s="30"/>
    </row>
    <row r="1830" spans="1:21">
      <c r="A1830" s="29"/>
      <c r="B1830" s="29"/>
      <c r="C1830" s="29"/>
      <c r="D1830" s="29"/>
      <c r="E1830" s="29"/>
      <c r="F1830" s="29"/>
      <c r="G1830" s="29"/>
      <c r="H1830" s="29"/>
      <c r="J1830" s="29"/>
      <c r="K1830" s="29"/>
      <c r="L1830" s="19"/>
      <c r="M1830" s="19"/>
      <c r="N1830" s="30"/>
      <c r="O1830" s="30"/>
      <c r="P1830" s="32"/>
      <c r="Q1830" s="32"/>
      <c r="R1830" s="32"/>
      <c r="S1830" s="32"/>
      <c r="T1830" s="32"/>
      <c r="U1830" s="30"/>
    </row>
    <row r="1831" spans="1:21">
      <c r="A1831" s="29"/>
      <c r="B1831" s="29"/>
      <c r="C1831" s="29"/>
      <c r="D1831" s="29"/>
      <c r="E1831" s="29"/>
      <c r="F1831" s="29"/>
      <c r="G1831" s="29"/>
      <c r="H1831" s="29"/>
      <c r="J1831" s="29"/>
      <c r="K1831" s="29"/>
      <c r="L1831" s="19"/>
      <c r="M1831" s="19"/>
      <c r="N1831" s="30"/>
      <c r="O1831" s="30"/>
      <c r="P1831" s="32"/>
      <c r="Q1831" s="32"/>
      <c r="R1831" s="32"/>
      <c r="S1831" s="32"/>
      <c r="T1831" s="32"/>
      <c r="U1831" s="30"/>
    </row>
    <row r="1832" spans="1:21">
      <c r="A1832" s="29"/>
      <c r="B1832" s="29"/>
      <c r="C1832" s="29"/>
      <c r="D1832" s="29"/>
      <c r="E1832" s="29"/>
      <c r="F1832" s="29"/>
      <c r="G1832" s="29"/>
      <c r="H1832" s="29"/>
      <c r="J1832" s="29"/>
      <c r="K1832" s="29"/>
      <c r="L1832" s="19"/>
      <c r="M1832" s="19"/>
      <c r="N1832" s="30"/>
      <c r="O1832" s="30"/>
      <c r="P1832" s="32"/>
      <c r="Q1832" s="32"/>
      <c r="R1832" s="32"/>
      <c r="S1832" s="32"/>
      <c r="T1832" s="32"/>
      <c r="U1832" s="30"/>
    </row>
    <row r="1833" spans="1:21">
      <c r="A1833" s="29"/>
      <c r="B1833" s="29"/>
      <c r="C1833" s="29"/>
      <c r="D1833" s="29"/>
      <c r="E1833" s="29"/>
      <c r="F1833" s="29"/>
      <c r="G1833" s="29"/>
      <c r="H1833" s="29"/>
      <c r="J1833" s="29"/>
      <c r="K1833" s="29"/>
      <c r="L1833" s="19"/>
      <c r="M1833" s="19"/>
      <c r="N1833" s="30"/>
      <c r="O1833" s="30"/>
      <c r="P1833" s="32"/>
      <c r="Q1833" s="32"/>
      <c r="R1833" s="32"/>
      <c r="S1833" s="32"/>
      <c r="T1833" s="32"/>
      <c r="U1833" s="30"/>
    </row>
    <row r="1834" spans="1:21">
      <c r="A1834" s="29"/>
      <c r="B1834" s="29"/>
      <c r="C1834" s="29"/>
      <c r="D1834" s="29"/>
      <c r="E1834" s="29"/>
      <c r="F1834" s="29"/>
      <c r="G1834" s="29"/>
      <c r="H1834" s="29"/>
      <c r="J1834" s="29"/>
      <c r="K1834" s="29"/>
      <c r="L1834" s="19"/>
      <c r="M1834" s="19"/>
      <c r="N1834" s="30"/>
      <c r="O1834" s="30"/>
      <c r="P1834" s="32"/>
      <c r="Q1834" s="32"/>
      <c r="R1834" s="32"/>
      <c r="S1834" s="32"/>
      <c r="T1834" s="32"/>
      <c r="U1834" s="30"/>
    </row>
    <row r="1835" spans="1:21">
      <c r="A1835" s="29"/>
      <c r="B1835" s="29"/>
      <c r="C1835" s="29"/>
      <c r="D1835" s="29"/>
      <c r="E1835" s="29"/>
      <c r="F1835" s="29"/>
      <c r="G1835" s="29"/>
      <c r="H1835" s="29"/>
      <c r="J1835" s="29"/>
      <c r="K1835" s="29"/>
      <c r="L1835" s="19"/>
      <c r="M1835" s="19"/>
      <c r="N1835" s="30"/>
      <c r="O1835" s="30"/>
      <c r="P1835" s="32"/>
      <c r="Q1835" s="32"/>
      <c r="R1835" s="32"/>
      <c r="S1835" s="32"/>
      <c r="T1835" s="32"/>
      <c r="U1835" s="30"/>
    </row>
    <row r="1836" spans="1:21">
      <c r="A1836" s="29"/>
      <c r="B1836" s="29"/>
      <c r="C1836" s="29"/>
      <c r="D1836" s="29"/>
      <c r="E1836" s="29"/>
      <c r="F1836" s="29"/>
      <c r="G1836" s="29"/>
      <c r="H1836" s="29"/>
      <c r="J1836" s="29"/>
      <c r="K1836" s="29"/>
      <c r="L1836" s="19"/>
      <c r="M1836" s="19"/>
      <c r="N1836" s="30"/>
      <c r="O1836" s="30"/>
      <c r="P1836" s="32"/>
      <c r="Q1836" s="32"/>
      <c r="R1836" s="32"/>
      <c r="S1836" s="32"/>
      <c r="T1836" s="32"/>
      <c r="U1836" s="30"/>
    </row>
    <row r="1837" spans="1:21">
      <c r="A1837" s="29"/>
      <c r="B1837" s="29"/>
      <c r="C1837" s="29"/>
      <c r="D1837" s="29"/>
      <c r="E1837" s="29"/>
      <c r="F1837" s="29"/>
      <c r="G1837" s="29"/>
      <c r="H1837" s="29"/>
      <c r="J1837" s="29"/>
      <c r="K1837" s="29"/>
      <c r="L1837" s="19"/>
      <c r="M1837" s="19"/>
      <c r="N1837" s="30"/>
      <c r="O1837" s="30"/>
      <c r="P1837" s="32"/>
      <c r="Q1837" s="32"/>
      <c r="R1837" s="32"/>
      <c r="S1837" s="32"/>
      <c r="T1837" s="32"/>
      <c r="U1837" s="30"/>
    </row>
    <row r="1838" spans="1:21">
      <c r="A1838" s="29"/>
      <c r="B1838" s="29"/>
      <c r="C1838" s="29"/>
      <c r="D1838" s="29"/>
      <c r="E1838" s="29"/>
      <c r="F1838" s="29"/>
      <c r="G1838" s="29"/>
      <c r="H1838" s="29"/>
      <c r="J1838" s="29"/>
      <c r="K1838" s="29"/>
      <c r="L1838" s="19"/>
      <c r="M1838" s="19"/>
      <c r="N1838" s="30"/>
      <c r="O1838" s="30"/>
      <c r="P1838" s="32"/>
      <c r="Q1838" s="32"/>
      <c r="R1838" s="32"/>
      <c r="S1838" s="32"/>
      <c r="T1838" s="32"/>
      <c r="U1838" s="30"/>
    </row>
    <row r="1839" spans="1:21">
      <c r="A1839" s="29"/>
      <c r="B1839" s="29"/>
      <c r="C1839" s="29"/>
      <c r="D1839" s="29"/>
      <c r="E1839" s="29"/>
      <c r="F1839" s="29"/>
      <c r="G1839" s="29"/>
      <c r="H1839" s="29"/>
      <c r="J1839" s="29"/>
      <c r="K1839" s="29"/>
      <c r="L1839" s="19"/>
      <c r="M1839" s="19"/>
      <c r="N1839" s="30"/>
      <c r="O1839" s="30"/>
      <c r="P1839" s="32"/>
      <c r="Q1839" s="32"/>
      <c r="R1839" s="32"/>
      <c r="S1839" s="32"/>
      <c r="T1839" s="32"/>
      <c r="U1839" s="30"/>
    </row>
    <row r="1840" spans="1:21">
      <c r="A1840" s="29"/>
      <c r="B1840" s="29"/>
      <c r="C1840" s="29"/>
      <c r="D1840" s="29"/>
      <c r="E1840" s="29"/>
      <c r="F1840" s="29"/>
      <c r="G1840" s="29"/>
      <c r="H1840" s="29"/>
      <c r="J1840" s="29"/>
      <c r="K1840" s="29"/>
      <c r="L1840" s="19"/>
      <c r="M1840" s="19"/>
      <c r="N1840" s="30"/>
      <c r="O1840" s="30"/>
      <c r="P1840" s="32"/>
      <c r="Q1840" s="32"/>
      <c r="R1840" s="32"/>
      <c r="S1840" s="32"/>
      <c r="T1840" s="32"/>
      <c r="U1840" s="30"/>
    </row>
    <row r="1841" spans="1:21">
      <c r="A1841" s="29"/>
      <c r="B1841" s="29"/>
      <c r="C1841" s="29"/>
      <c r="D1841" s="29"/>
      <c r="E1841" s="29"/>
      <c r="F1841" s="29"/>
      <c r="G1841" s="29"/>
      <c r="H1841" s="29"/>
      <c r="J1841" s="29"/>
      <c r="K1841" s="29"/>
      <c r="L1841" s="19"/>
      <c r="M1841" s="19"/>
      <c r="N1841" s="30"/>
      <c r="O1841" s="30"/>
      <c r="P1841" s="32"/>
      <c r="Q1841" s="32"/>
      <c r="R1841" s="32"/>
      <c r="S1841" s="32"/>
      <c r="T1841" s="32"/>
      <c r="U1841" s="30"/>
    </row>
    <row r="1842" spans="1:21">
      <c r="A1842" s="29"/>
      <c r="B1842" s="29"/>
      <c r="C1842" s="29"/>
      <c r="D1842" s="29"/>
      <c r="E1842" s="29"/>
      <c r="F1842" s="29"/>
      <c r="G1842" s="29"/>
      <c r="H1842" s="29"/>
      <c r="J1842" s="29"/>
      <c r="K1842" s="29"/>
      <c r="L1842" s="19"/>
      <c r="M1842" s="19"/>
      <c r="N1842" s="30"/>
      <c r="O1842" s="30"/>
      <c r="P1842" s="32"/>
      <c r="Q1842" s="32"/>
      <c r="R1842" s="32"/>
      <c r="S1842" s="32"/>
      <c r="T1842" s="32"/>
      <c r="U1842" s="30"/>
    </row>
    <row r="1843" spans="1:21">
      <c r="A1843" s="29"/>
      <c r="B1843" s="29"/>
      <c r="C1843" s="29"/>
      <c r="D1843" s="29"/>
      <c r="E1843" s="29"/>
      <c r="F1843" s="29"/>
      <c r="G1843" s="29"/>
      <c r="H1843" s="29"/>
      <c r="J1843" s="29"/>
      <c r="K1843" s="29"/>
      <c r="L1843" s="19"/>
      <c r="M1843" s="19"/>
      <c r="N1843" s="30"/>
      <c r="O1843" s="30"/>
      <c r="P1843" s="32"/>
      <c r="Q1843" s="32"/>
      <c r="R1843" s="32"/>
      <c r="S1843" s="32"/>
      <c r="T1843" s="32"/>
      <c r="U1843" s="30"/>
    </row>
    <row r="1844" spans="1:21">
      <c r="A1844" s="29"/>
      <c r="B1844" s="29"/>
      <c r="C1844" s="29"/>
      <c r="D1844" s="29"/>
      <c r="E1844" s="29"/>
      <c r="F1844" s="29"/>
      <c r="G1844" s="29"/>
      <c r="H1844" s="29"/>
      <c r="J1844" s="29"/>
      <c r="K1844" s="29"/>
      <c r="L1844" s="19"/>
      <c r="M1844" s="19"/>
      <c r="N1844" s="30"/>
      <c r="O1844" s="30"/>
      <c r="P1844" s="32"/>
      <c r="Q1844" s="32"/>
      <c r="R1844" s="32"/>
      <c r="S1844" s="32"/>
      <c r="T1844" s="32"/>
      <c r="U1844" s="30"/>
    </row>
    <row r="1845" spans="1:21">
      <c r="A1845" s="29"/>
      <c r="B1845" s="29"/>
      <c r="C1845" s="29"/>
      <c r="D1845" s="29"/>
      <c r="E1845" s="29"/>
      <c r="F1845" s="29"/>
      <c r="G1845" s="29"/>
      <c r="H1845" s="29"/>
      <c r="J1845" s="29"/>
      <c r="K1845" s="29"/>
      <c r="L1845" s="19"/>
      <c r="M1845" s="19"/>
      <c r="N1845" s="30"/>
      <c r="O1845" s="30"/>
      <c r="P1845" s="32"/>
      <c r="Q1845" s="32"/>
      <c r="R1845" s="32"/>
      <c r="S1845" s="32"/>
      <c r="T1845" s="32"/>
      <c r="U1845" s="30"/>
    </row>
    <row r="1846" spans="1:21">
      <c r="A1846" s="29"/>
      <c r="B1846" s="29"/>
      <c r="C1846" s="29"/>
      <c r="D1846" s="29"/>
      <c r="E1846" s="29"/>
      <c r="F1846" s="29"/>
      <c r="G1846" s="29"/>
      <c r="H1846" s="29"/>
      <c r="J1846" s="29"/>
      <c r="K1846" s="29"/>
      <c r="L1846" s="19"/>
      <c r="M1846" s="19"/>
      <c r="N1846" s="30"/>
      <c r="O1846" s="30"/>
      <c r="P1846" s="32"/>
      <c r="Q1846" s="32"/>
      <c r="R1846" s="32"/>
      <c r="S1846" s="32"/>
      <c r="T1846" s="32"/>
      <c r="U1846" s="30"/>
    </row>
    <row r="1847" spans="1:21">
      <c r="A1847" s="29"/>
      <c r="B1847" s="29"/>
      <c r="C1847" s="29"/>
      <c r="D1847" s="29"/>
      <c r="E1847" s="29"/>
      <c r="F1847" s="29"/>
      <c r="G1847" s="29"/>
      <c r="H1847" s="29"/>
      <c r="J1847" s="29"/>
      <c r="K1847" s="29"/>
      <c r="L1847" s="19"/>
      <c r="M1847" s="19"/>
      <c r="N1847" s="30"/>
      <c r="O1847" s="30"/>
      <c r="P1847" s="32"/>
      <c r="Q1847" s="32"/>
      <c r="R1847" s="32"/>
      <c r="S1847" s="32"/>
      <c r="T1847" s="32"/>
      <c r="U1847" s="30"/>
    </row>
    <row r="1848" spans="1:21">
      <c r="A1848" s="29"/>
      <c r="B1848" s="29"/>
      <c r="C1848" s="29"/>
      <c r="D1848" s="29"/>
      <c r="E1848" s="29"/>
      <c r="F1848" s="29"/>
      <c r="G1848" s="29"/>
      <c r="H1848" s="29"/>
      <c r="J1848" s="29"/>
      <c r="K1848" s="29"/>
      <c r="L1848" s="19"/>
      <c r="M1848" s="19"/>
      <c r="N1848" s="30"/>
      <c r="O1848" s="30"/>
      <c r="P1848" s="32"/>
      <c r="Q1848" s="32"/>
      <c r="R1848" s="32"/>
      <c r="S1848" s="32"/>
      <c r="T1848" s="32"/>
      <c r="U1848" s="30"/>
    </row>
    <row r="1849" spans="1:21">
      <c r="A1849" s="29"/>
      <c r="B1849" s="29"/>
      <c r="C1849" s="29"/>
      <c r="D1849" s="29"/>
      <c r="E1849" s="29"/>
      <c r="F1849" s="29"/>
      <c r="G1849" s="29"/>
      <c r="H1849" s="29"/>
      <c r="J1849" s="29"/>
      <c r="K1849" s="29"/>
      <c r="L1849" s="19"/>
      <c r="M1849" s="19"/>
      <c r="N1849" s="30"/>
      <c r="O1849" s="30"/>
      <c r="P1849" s="32"/>
      <c r="Q1849" s="32"/>
      <c r="R1849" s="32"/>
      <c r="S1849" s="32"/>
      <c r="T1849" s="32"/>
      <c r="U1849" s="30"/>
    </row>
    <row r="1850" spans="1:21">
      <c r="A1850" s="29"/>
      <c r="B1850" s="29"/>
      <c r="C1850" s="29"/>
      <c r="D1850" s="29"/>
      <c r="E1850" s="29"/>
      <c r="F1850" s="29"/>
      <c r="G1850" s="29"/>
      <c r="H1850" s="29"/>
      <c r="J1850" s="29"/>
      <c r="K1850" s="29"/>
      <c r="L1850" s="19"/>
      <c r="M1850" s="19"/>
      <c r="N1850" s="30"/>
      <c r="O1850" s="30"/>
      <c r="P1850" s="32"/>
      <c r="Q1850" s="32"/>
      <c r="R1850" s="32"/>
      <c r="S1850" s="32"/>
      <c r="T1850" s="32"/>
      <c r="U1850" s="30"/>
    </row>
    <row r="1851" spans="1:21">
      <c r="A1851" s="29"/>
      <c r="B1851" s="29"/>
      <c r="C1851" s="29"/>
      <c r="D1851" s="29"/>
      <c r="E1851" s="29"/>
      <c r="F1851" s="29"/>
      <c r="G1851" s="29"/>
      <c r="H1851" s="29"/>
      <c r="J1851" s="29"/>
      <c r="K1851" s="29"/>
      <c r="L1851" s="19"/>
      <c r="M1851" s="19"/>
      <c r="N1851" s="30"/>
      <c r="O1851" s="30"/>
      <c r="P1851" s="32"/>
      <c r="Q1851" s="32"/>
      <c r="R1851" s="32"/>
      <c r="S1851" s="32"/>
      <c r="T1851" s="32"/>
      <c r="U1851" s="30"/>
    </row>
    <row r="1852" spans="1:21">
      <c r="A1852" s="29"/>
      <c r="B1852" s="29"/>
      <c r="C1852" s="29"/>
      <c r="D1852" s="29"/>
      <c r="E1852" s="29"/>
      <c r="F1852" s="29"/>
      <c r="G1852" s="29"/>
      <c r="H1852" s="29"/>
      <c r="J1852" s="29"/>
      <c r="K1852" s="29"/>
      <c r="L1852" s="19"/>
      <c r="M1852" s="19"/>
      <c r="N1852" s="30"/>
      <c r="O1852" s="30"/>
      <c r="P1852" s="32"/>
      <c r="Q1852" s="32"/>
      <c r="R1852" s="32"/>
      <c r="S1852" s="32"/>
      <c r="T1852" s="32"/>
      <c r="U1852" s="30"/>
    </row>
    <row r="1853" spans="1:21">
      <c r="A1853" s="29"/>
      <c r="B1853" s="29"/>
      <c r="C1853" s="29"/>
      <c r="D1853" s="29"/>
      <c r="E1853" s="29"/>
      <c r="F1853" s="29"/>
      <c r="G1853" s="29"/>
      <c r="H1853" s="29"/>
      <c r="J1853" s="29"/>
      <c r="K1853" s="29"/>
      <c r="L1853" s="19"/>
      <c r="M1853" s="19"/>
      <c r="N1853" s="30"/>
      <c r="O1853" s="30"/>
      <c r="P1853" s="32"/>
      <c r="Q1853" s="32"/>
      <c r="R1853" s="32"/>
      <c r="S1853" s="32"/>
      <c r="T1853" s="32"/>
      <c r="U1853" s="30"/>
    </row>
    <row r="1854" spans="1:21">
      <c r="A1854" s="29"/>
      <c r="B1854" s="29"/>
      <c r="C1854" s="29"/>
      <c r="D1854" s="29"/>
      <c r="E1854" s="29"/>
      <c r="F1854" s="29"/>
      <c r="G1854" s="29"/>
      <c r="H1854" s="29"/>
      <c r="J1854" s="29"/>
      <c r="K1854" s="29"/>
      <c r="L1854" s="19"/>
      <c r="M1854" s="19"/>
      <c r="N1854" s="30"/>
      <c r="O1854" s="30"/>
      <c r="P1854" s="32"/>
      <c r="Q1854" s="32"/>
      <c r="R1854" s="32"/>
      <c r="S1854" s="32"/>
      <c r="T1854" s="32"/>
      <c r="U1854" s="30"/>
    </row>
    <row r="1855" spans="1:21">
      <c r="A1855" s="29"/>
      <c r="B1855" s="29"/>
      <c r="C1855" s="29"/>
      <c r="D1855" s="29"/>
      <c r="E1855" s="29"/>
      <c r="F1855" s="29"/>
      <c r="G1855" s="29"/>
      <c r="H1855" s="29"/>
      <c r="J1855" s="29"/>
      <c r="K1855" s="29"/>
      <c r="L1855" s="19"/>
      <c r="M1855" s="19"/>
      <c r="N1855" s="30"/>
      <c r="O1855" s="30"/>
      <c r="P1855" s="32"/>
      <c r="Q1855" s="32"/>
      <c r="R1855" s="32"/>
      <c r="S1855" s="32"/>
      <c r="T1855" s="32"/>
      <c r="U1855" s="30"/>
    </row>
    <row r="1856" spans="1:21">
      <c r="A1856" s="29"/>
      <c r="B1856" s="29"/>
      <c r="C1856" s="29"/>
      <c r="D1856" s="29"/>
      <c r="E1856" s="29"/>
      <c r="F1856" s="29"/>
      <c r="G1856" s="29"/>
      <c r="H1856" s="29"/>
      <c r="J1856" s="29"/>
      <c r="K1856" s="29"/>
      <c r="L1856" s="19"/>
      <c r="M1856" s="19"/>
      <c r="N1856" s="30"/>
      <c r="O1856" s="30"/>
      <c r="P1856" s="32"/>
      <c r="Q1856" s="32"/>
      <c r="R1856" s="32"/>
      <c r="S1856" s="32"/>
      <c r="T1856" s="32"/>
      <c r="U1856" s="30"/>
    </row>
    <row r="1857" spans="1:21">
      <c r="A1857" s="29"/>
      <c r="B1857" s="29"/>
      <c r="C1857" s="29"/>
      <c r="D1857" s="29"/>
      <c r="E1857" s="29"/>
      <c r="F1857" s="29"/>
      <c r="G1857" s="29"/>
      <c r="H1857" s="29"/>
      <c r="J1857" s="29"/>
      <c r="K1857" s="29"/>
      <c r="L1857" s="19"/>
      <c r="M1857" s="19"/>
      <c r="N1857" s="30"/>
      <c r="O1857" s="30"/>
      <c r="P1857" s="32"/>
      <c r="Q1857" s="32"/>
      <c r="R1857" s="32"/>
      <c r="S1857" s="32"/>
      <c r="T1857" s="32"/>
      <c r="U1857" s="30"/>
    </row>
    <row r="1858" spans="1:21">
      <c r="A1858" s="29"/>
      <c r="B1858" s="29"/>
      <c r="C1858" s="29"/>
      <c r="D1858" s="29"/>
      <c r="E1858" s="29"/>
      <c r="F1858" s="29"/>
      <c r="G1858" s="29"/>
      <c r="H1858" s="29"/>
      <c r="J1858" s="29"/>
      <c r="K1858" s="29"/>
      <c r="L1858" s="19"/>
      <c r="M1858" s="19"/>
      <c r="N1858" s="30"/>
      <c r="O1858" s="30"/>
      <c r="P1858" s="32"/>
      <c r="Q1858" s="32"/>
      <c r="R1858" s="32"/>
      <c r="S1858" s="32"/>
      <c r="T1858" s="32"/>
      <c r="U1858" s="30"/>
    </row>
    <row r="1859" spans="1:21">
      <c r="A1859" s="29"/>
      <c r="B1859" s="29"/>
      <c r="C1859" s="29"/>
      <c r="D1859" s="29"/>
      <c r="E1859" s="29"/>
      <c r="F1859" s="29"/>
      <c r="G1859" s="29"/>
      <c r="H1859" s="29"/>
      <c r="J1859" s="29"/>
      <c r="K1859" s="29"/>
      <c r="L1859" s="19"/>
      <c r="M1859" s="19"/>
      <c r="N1859" s="30"/>
      <c r="O1859" s="30"/>
      <c r="P1859" s="32"/>
      <c r="Q1859" s="32"/>
      <c r="R1859" s="32"/>
      <c r="S1859" s="32"/>
      <c r="T1859" s="32"/>
      <c r="U1859" s="30"/>
    </row>
    <row r="1860" spans="1:21">
      <c r="A1860" s="29"/>
      <c r="B1860" s="29"/>
      <c r="C1860" s="29"/>
      <c r="D1860" s="29"/>
      <c r="E1860" s="29"/>
      <c r="F1860" s="29"/>
      <c r="G1860" s="29"/>
      <c r="H1860" s="29"/>
      <c r="J1860" s="29"/>
      <c r="K1860" s="29"/>
      <c r="L1860" s="19"/>
      <c r="M1860" s="19"/>
      <c r="N1860" s="30"/>
      <c r="O1860" s="30"/>
      <c r="P1860" s="32"/>
      <c r="Q1860" s="32"/>
      <c r="R1860" s="32"/>
      <c r="S1860" s="32"/>
      <c r="T1860" s="32"/>
      <c r="U1860" s="30"/>
    </row>
    <row r="1861" spans="1:21">
      <c r="A1861" s="29"/>
      <c r="B1861" s="29"/>
      <c r="C1861" s="29"/>
      <c r="D1861" s="29"/>
      <c r="E1861" s="29"/>
      <c r="F1861" s="29"/>
      <c r="G1861" s="29"/>
      <c r="H1861" s="29"/>
      <c r="J1861" s="29"/>
      <c r="K1861" s="29"/>
      <c r="L1861" s="19"/>
      <c r="M1861" s="19"/>
      <c r="N1861" s="30"/>
      <c r="O1861" s="30"/>
      <c r="P1861" s="32"/>
      <c r="Q1861" s="32"/>
      <c r="R1861" s="32"/>
      <c r="S1861" s="32"/>
      <c r="T1861" s="32"/>
      <c r="U1861" s="30"/>
    </row>
    <row r="1862" spans="1:21">
      <c r="A1862" s="29"/>
      <c r="B1862" s="29"/>
      <c r="C1862" s="29"/>
      <c r="D1862" s="29"/>
      <c r="E1862" s="29"/>
      <c r="F1862" s="29"/>
      <c r="G1862" s="29"/>
      <c r="H1862" s="29"/>
      <c r="J1862" s="29"/>
      <c r="K1862" s="29"/>
      <c r="L1862" s="19"/>
      <c r="M1862" s="19"/>
      <c r="N1862" s="30"/>
      <c r="O1862" s="30"/>
      <c r="P1862" s="32"/>
      <c r="Q1862" s="32"/>
      <c r="R1862" s="32"/>
      <c r="S1862" s="32"/>
      <c r="T1862" s="32"/>
      <c r="U1862" s="30"/>
    </row>
    <row r="1863" spans="1:21">
      <c r="A1863" s="29"/>
      <c r="B1863" s="29"/>
      <c r="C1863" s="29"/>
      <c r="D1863" s="29"/>
      <c r="E1863" s="29"/>
      <c r="F1863" s="29"/>
      <c r="G1863" s="29"/>
      <c r="H1863" s="29"/>
      <c r="J1863" s="29"/>
      <c r="K1863" s="29"/>
      <c r="L1863" s="19"/>
      <c r="M1863" s="19"/>
      <c r="N1863" s="30"/>
      <c r="O1863" s="30"/>
      <c r="P1863" s="32"/>
      <c r="Q1863" s="32"/>
      <c r="R1863" s="32"/>
      <c r="S1863" s="32"/>
      <c r="T1863" s="32"/>
      <c r="U1863" s="30"/>
    </row>
    <row r="1864" spans="1:21">
      <c r="A1864" s="29"/>
      <c r="B1864" s="29"/>
      <c r="C1864" s="29"/>
      <c r="D1864" s="29"/>
      <c r="E1864" s="29"/>
      <c r="F1864" s="29"/>
      <c r="G1864" s="29"/>
      <c r="H1864" s="29"/>
      <c r="J1864" s="29"/>
      <c r="K1864" s="29"/>
      <c r="L1864" s="19"/>
      <c r="M1864" s="19"/>
      <c r="N1864" s="30"/>
      <c r="O1864" s="30"/>
      <c r="P1864" s="32"/>
      <c r="Q1864" s="32"/>
      <c r="R1864" s="32"/>
      <c r="S1864" s="32"/>
      <c r="T1864" s="32"/>
      <c r="U1864" s="30"/>
    </row>
    <row r="1865" spans="1:21">
      <c r="A1865" s="29"/>
      <c r="B1865" s="29"/>
      <c r="C1865" s="29"/>
      <c r="D1865" s="29"/>
      <c r="E1865" s="29"/>
      <c r="F1865" s="29"/>
      <c r="G1865" s="29"/>
      <c r="H1865" s="29"/>
      <c r="J1865" s="29"/>
      <c r="K1865" s="29"/>
      <c r="L1865" s="19"/>
      <c r="M1865" s="19"/>
      <c r="N1865" s="30"/>
      <c r="O1865" s="30"/>
      <c r="P1865" s="32"/>
      <c r="Q1865" s="32"/>
      <c r="R1865" s="32"/>
      <c r="S1865" s="32"/>
      <c r="T1865" s="32"/>
      <c r="U1865" s="30"/>
    </row>
    <row r="1866" spans="1:21">
      <c r="A1866" s="29"/>
      <c r="B1866" s="29"/>
      <c r="C1866" s="29"/>
      <c r="D1866" s="29"/>
      <c r="E1866" s="29"/>
      <c r="F1866" s="29"/>
      <c r="G1866" s="29"/>
      <c r="H1866" s="29"/>
      <c r="J1866" s="29"/>
      <c r="K1866" s="29"/>
      <c r="L1866" s="19"/>
      <c r="M1866" s="19"/>
      <c r="N1866" s="30"/>
      <c r="O1866" s="30"/>
      <c r="P1866" s="32"/>
      <c r="Q1866" s="32"/>
      <c r="R1866" s="32"/>
      <c r="S1866" s="32"/>
      <c r="T1866" s="32"/>
      <c r="U1866" s="30"/>
    </row>
    <row r="1867" spans="1:21">
      <c r="A1867" s="29"/>
      <c r="B1867" s="29"/>
      <c r="C1867" s="29"/>
      <c r="D1867" s="29"/>
      <c r="E1867" s="29"/>
      <c r="F1867" s="29"/>
      <c r="G1867" s="29"/>
      <c r="H1867" s="29"/>
      <c r="J1867" s="29"/>
      <c r="K1867" s="29"/>
      <c r="L1867" s="19"/>
      <c r="M1867" s="19"/>
      <c r="N1867" s="30"/>
      <c r="O1867" s="30"/>
      <c r="P1867" s="32"/>
      <c r="Q1867" s="32"/>
      <c r="R1867" s="32"/>
      <c r="S1867" s="32"/>
      <c r="T1867" s="32"/>
      <c r="U1867" s="30"/>
    </row>
    <row r="1868" spans="1:21">
      <c r="A1868" s="29"/>
      <c r="B1868" s="29"/>
      <c r="C1868" s="29"/>
      <c r="D1868" s="29"/>
      <c r="E1868" s="29"/>
      <c r="F1868" s="29"/>
      <c r="G1868" s="29"/>
      <c r="H1868" s="29"/>
      <c r="J1868" s="29"/>
      <c r="K1868" s="29"/>
      <c r="L1868" s="19"/>
      <c r="M1868" s="19"/>
      <c r="N1868" s="30"/>
      <c r="O1868" s="30"/>
      <c r="P1868" s="32"/>
      <c r="Q1868" s="32"/>
      <c r="R1868" s="32"/>
      <c r="S1868" s="32"/>
      <c r="T1868" s="32"/>
      <c r="U1868" s="30"/>
    </row>
    <row r="1869" spans="1:21">
      <c r="A1869" s="29"/>
      <c r="B1869" s="29"/>
      <c r="C1869" s="29"/>
      <c r="D1869" s="29"/>
      <c r="E1869" s="29"/>
      <c r="F1869" s="29"/>
      <c r="G1869" s="29"/>
      <c r="H1869" s="29"/>
      <c r="J1869" s="29"/>
      <c r="K1869" s="29"/>
      <c r="L1869" s="19"/>
      <c r="M1869" s="19"/>
      <c r="N1869" s="30"/>
      <c r="O1869" s="30"/>
      <c r="P1869" s="32"/>
      <c r="Q1869" s="32"/>
      <c r="R1869" s="32"/>
      <c r="S1869" s="32"/>
      <c r="T1869" s="32"/>
      <c r="U1869" s="30"/>
    </row>
    <row r="1870" spans="1:21">
      <c r="A1870" s="29"/>
      <c r="B1870" s="29"/>
      <c r="C1870" s="29"/>
      <c r="D1870" s="29"/>
      <c r="E1870" s="29"/>
      <c r="F1870" s="29"/>
      <c r="G1870" s="29"/>
      <c r="H1870" s="29"/>
      <c r="J1870" s="29"/>
      <c r="K1870" s="29"/>
      <c r="L1870" s="19"/>
      <c r="M1870" s="19"/>
      <c r="N1870" s="30"/>
      <c r="O1870" s="30"/>
      <c r="P1870" s="32"/>
      <c r="Q1870" s="32"/>
      <c r="R1870" s="32"/>
      <c r="S1870" s="32"/>
      <c r="T1870" s="32"/>
      <c r="U1870" s="30"/>
    </row>
    <row r="1871" spans="1:21">
      <c r="A1871" s="29"/>
      <c r="B1871" s="29"/>
      <c r="C1871" s="29"/>
      <c r="D1871" s="29"/>
      <c r="E1871" s="29"/>
      <c r="F1871" s="29"/>
      <c r="G1871" s="29"/>
      <c r="H1871" s="29"/>
      <c r="J1871" s="29"/>
      <c r="K1871" s="29"/>
      <c r="L1871" s="19"/>
      <c r="M1871" s="19"/>
      <c r="N1871" s="30"/>
      <c r="O1871" s="30"/>
      <c r="P1871" s="32"/>
      <c r="Q1871" s="32"/>
      <c r="R1871" s="32"/>
      <c r="S1871" s="32"/>
      <c r="T1871" s="32"/>
      <c r="U1871" s="30"/>
    </row>
    <row r="1872" spans="1:21">
      <c r="A1872" s="29"/>
      <c r="B1872" s="29"/>
      <c r="C1872" s="29"/>
      <c r="D1872" s="29"/>
      <c r="E1872" s="29"/>
      <c r="F1872" s="29"/>
      <c r="G1872" s="29"/>
      <c r="H1872" s="29"/>
      <c r="J1872" s="29"/>
      <c r="K1872" s="29"/>
      <c r="L1872" s="19"/>
      <c r="M1872" s="19"/>
      <c r="N1872" s="30"/>
      <c r="O1872" s="30"/>
      <c r="P1872" s="32"/>
      <c r="Q1872" s="32"/>
      <c r="R1872" s="32"/>
      <c r="S1872" s="32"/>
      <c r="T1872" s="32"/>
      <c r="U1872" s="30"/>
    </row>
    <row r="1873" spans="1:21">
      <c r="A1873" s="29"/>
      <c r="B1873" s="29"/>
      <c r="C1873" s="29"/>
      <c r="D1873" s="29"/>
      <c r="E1873" s="29"/>
      <c r="F1873" s="29"/>
      <c r="G1873" s="29"/>
      <c r="H1873" s="29"/>
      <c r="J1873" s="29"/>
      <c r="K1873" s="29"/>
      <c r="L1873" s="19"/>
      <c r="M1873" s="19"/>
      <c r="N1873" s="30"/>
      <c r="O1873" s="30"/>
      <c r="P1873" s="32"/>
      <c r="Q1873" s="32"/>
      <c r="R1873" s="32"/>
      <c r="S1873" s="32"/>
      <c r="T1873" s="32"/>
      <c r="U1873" s="30"/>
    </row>
    <row r="1874" spans="1:21">
      <c r="A1874" s="29"/>
      <c r="B1874" s="29"/>
      <c r="C1874" s="29"/>
      <c r="D1874" s="29"/>
      <c r="E1874" s="29"/>
      <c r="F1874" s="29"/>
      <c r="G1874" s="29"/>
      <c r="H1874" s="29"/>
      <c r="J1874" s="29"/>
      <c r="K1874" s="29"/>
      <c r="L1874" s="19"/>
      <c r="M1874" s="19"/>
      <c r="N1874" s="30"/>
      <c r="O1874" s="30"/>
      <c r="P1874" s="32"/>
      <c r="Q1874" s="32"/>
      <c r="R1874" s="32"/>
      <c r="S1874" s="32"/>
      <c r="T1874" s="32"/>
      <c r="U1874" s="30"/>
    </row>
    <row r="1875" spans="1:21">
      <c r="A1875" s="29"/>
      <c r="B1875" s="29"/>
      <c r="C1875" s="29"/>
      <c r="D1875" s="29"/>
      <c r="E1875" s="29"/>
      <c r="F1875" s="29"/>
      <c r="G1875" s="29"/>
      <c r="H1875" s="29"/>
      <c r="J1875" s="29"/>
      <c r="K1875" s="29"/>
      <c r="L1875" s="19"/>
      <c r="M1875" s="19"/>
      <c r="N1875" s="30"/>
      <c r="O1875" s="30"/>
      <c r="P1875" s="32"/>
      <c r="Q1875" s="32"/>
      <c r="R1875" s="32"/>
      <c r="S1875" s="32"/>
      <c r="T1875" s="32"/>
      <c r="U1875" s="30"/>
    </row>
    <row r="1876" spans="1:21">
      <c r="A1876" s="29"/>
      <c r="B1876" s="29"/>
      <c r="C1876" s="29"/>
      <c r="D1876" s="29"/>
      <c r="E1876" s="29"/>
      <c r="F1876" s="29"/>
      <c r="G1876" s="29"/>
      <c r="H1876" s="29"/>
      <c r="J1876" s="29"/>
      <c r="K1876" s="29"/>
      <c r="L1876" s="19"/>
      <c r="M1876" s="19"/>
      <c r="N1876" s="30"/>
      <c r="O1876" s="30"/>
      <c r="P1876" s="32"/>
      <c r="Q1876" s="32"/>
      <c r="R1876" s="32"/>
      <c r="S1876" s="32"/>
      <c r="T1876" s="32"/>
      <c r="U1876" s="30"/>
    </row>
    <row r="1877" spans="1:21">
      <c r="A1877" s="29"/>
      <c r="B1877" s="29"/>
      <c r="C1877" s="29"/>
      <c r="D1877" s="29"/>
      <c r="E1877" s="29"/>
      <c r="F1877" s="29"/>
      <c r="G1877" s="29"/>
      <c r="H1877" s="29"/>
      <c r="J1877" s="29"/>
      <c r="K1877" s="29"/>
      <c r="L1877" s="19"/>
      <c r="M1877" s="19"/>
      <c r="N1877" s="30"/>
      <c r="O1877" s="30"/>
      <c r="P1877" s="32"/>
      <c r="Q1877" s="32"/>
      <c r="R1877" s="32"/>
      <c r="S1877" s="32"/>
      <c r="T1877" s="32"/>
      <c r="U1877" s="30"/>
    </row>
    <row r="1878" spans="1:21">
      <c r="A1878" s="29"/>
      <c r="B1878" s="29"/>
      <c r="C1878" s="29"/>
      <c r="D1878" s="29"/>
      <c r="E1878" s="29"/>
      <c r="F1878" s="29"/>
      <c r="G1878" s="29"/>
      <c r="H1878" s="29"/>
      <c r="J1878" s="29"/>
      <c r="K1878" s="29"/>
      <c r="L1878" s="19"/>
      <c r="M1878" s="19"/>
      <c r="N1878" s="30"/>
      <c r="O1878" s="30"/>
      <c r="P1878" s="32"/>
      <c r="Q1878" s="32"/>
      <c r="R1878" s="32"/>
      <c r="S1878" s="32"/>
      <c r="T1878" s="32"/>
      <c r="U1878" s="30"/>
    </row>
    <row r="1879" spans="1:21">
      <c r="A1879" s="29"/>
      <c r="B1879" s="29"/>
      <c r="C1879" s="29"/>
      <c r="D1879" s="29"/>
      <c r="E1879" s="29"/>
      <c r="F1879" s="29"/>
      <c r="G1879" s="29"/>
      <c r="H1879" s="29"/>
      <c r="J1879" s="29"/>
      <c r="K1879" s="29"/>
      <c r="L1879" s="19"/>
      <c r="M1879" s="19"/>
      <c r="N1879" s="30"/>
      <c r="O1879" s="30"/>
      <c r="P1879" s="32"/>
      <c r="Q1879" s="32"/>
      <c r="R1879" s="32"/>
      <c r="S1879" s="32"/>
      <c r="T1879" s="32"/>
      <c r="U1879" s="30"/>
    </row>
    <row r="1880" spans="1:21">
      <c r="A1880" s="29"/>
      <c r="B1880" s="29"/>
      <c r="C1880" s="29"/>
      <c r="D1880" s="29"/>
      <c r="E1880" s="29"/>
      <c r="F1880" s="29"/>
      <c r="G1880" s="29"/>
      <c r="H1880" s="29"/>
      <c r="J1880" s="29"/>
      <c r="K1880" s="29"/>
      <c r="L1880" s="19"/>
      <c r="M1880" s="19"/>
      <c r="N1880" s="30"/>
      <c r="O1880" s="30"/>
      <c r="P1880" s="32"/>
      <c r="Q1880" s="32"/>
      <c r="R1880" s="32"/>
      <c r="S1880" s="32"/>
      <c r="T1880" s="32"/>
      <c r="U1880" s="30"/>
    </row>
    <row r="1881" spans="1:21">
      <c r="A1881" s="29"/>
      <c r="B1881" s="29"/>
      <c r="C1881" s="29"/>
      <c r="D1881" s="29"/>
      <c r="E1881" s="29"/>
      <c r="F1881" s="29"/>
      <c r="G1881" s="29"/>
      <c r="H1881" s="29"/>
      <c r="J1881" s="29"/>
      <c r="K1881" s="29"/>
      <c r="L1881" s="19"/>
      <c r="M1881" s="19"/>
      <c r="N1881" s="30"/>
      <c r="O1881" s="30"/>
      <c r="P1881" s="32"/>
      <c r="Q1881" s="32"/>
      <c r="R1881" s="32"/>
      <c r="S1881" s="32"/>
      <c r="T1881" s="32"/>
      <c r="U1881" s="30"/>
    </row>
    <row r="1882" spans="1:21">
      <c r="A1882" s="29"/>
      <c r="B1882" s="29"/>
      <c r="C1882" s="29"/>
      <c r="D1882" s="29"/>
      <c r="E1882" s="29"/>
      <c r="F1882" s="29"/>
      <c r="G1882" s="29"/>
      <c r="H1882" s="29"/>
      <c r="J1882" s="29"/>
      <c r="K1882" s="29"/>
      <c r="L1882" s="19"/>
      <c r="M1882" s="19"/>
      <c r="N1882" s="30"/>
      <c r="O1882" s="30"/>
      <c r="P1882" s="32"/>
      <c r="Q1882" s="32"/>
      <c r="R1882" s="32"/>
      <c r="S1882" s="32"/>
      <c r="T1882" s="32"/>
      <c r="U1882" s="30"/>
    </row>
    <row r="1883" spans="1:21">
      <c r="A1883" s="29"/>
      <c r="B1883" s="29"/>
      <c r="C1883" s="29"/>
      <c r="D1883" s="29"/>
      <c r="E1883" s="29"/>
      <c r="F1883" s="29"/>
      <c r="G1883" s="29"/>
      <c r="H1883" s="29"/>
      <c r="J1883" s="29"/>
      <c r="K1883" s="29"/>
      <c r="L1883" s="19"/>
      <c r="M1883" s="19"/>
      <c r="N1883" s="30"/>
      <c r="O1883" s="30"/>
      <c r="P1883" s="32"/>
      <c r="Q1883" s="32"/>
      <c r="R1883" s="32"/>
      <c r="S1883" s="32"/>
      <c r="T1883" s="32"/>
      <c r="U1883" s="30"/>
    </row>
    <row r="1884" spans="1:21">
      <c r="A1884" s="29"/>
      <c r="B1884" s="29"/>
      <c r="C1884" s="29"/>
      <c r="D1884" s="29"/>
      <c r="E1884" s="29"/>
      <c r="F1884" s="29"/>
      <c r="G1884" s="29"/>
      <c r="H1884" s="29"/>
      <c r="J1884" s="29"/>
      <c r="K1884" s="29"/>
      <c r="L1884" s="19"/>
      <c r="M1884" s="19"/>
      <c r="N1884" s="30"/>
      <c r="O1884" s="30"/>
      <c r="P1884" s="32"/>
      <c r="Q1884" s="32"/>
      <c r="R1884" s="32"/>
      <c r="S1884" s="32"/>
      <c r="T1884" s="32"/>
      <c r="U1884" s="30"/>
    </row>
    <row r="1885" spans="1:21">
      <c r="A1885" s="29"/>
      <c r="B1885" s="29"/>
      <c r="C1885" s="29"/>
      <c r="D1885" s="29"/>
      <c r="E1885" s="29"/>
      <c r="F1885" s="29"/>
      <c r="G1885" s="29"/>
      <c r="H1885" s="29"/>
      <c r="J1885" s="29"/>
      <c r="K1885" s="29"/>
      <c r="L1885" s="19"/>
      <c r="M1885" s="19"/>
      <c r="N1885" s="30"/>
      <c r="O1885" s="30"/>
      <c r="P1885" s="32"/>
      <c r="Q1885" s="32"/>
      <c r="R1885" s="32"/>
      <c r="S1885" s="32"/>
      <c r="T1885" s="32"/>
      <c r="U1885" s="30"/>
    </row>
    <row r="1886" spans="1:21">
      <c r="A1886" s="29"/>
      <c r="B1886" s="29"/>
      <c r="C1886" s="29"/>
      <c r="D1886" s="29"/>
      <c r="E1886" s="29"/>
      <c r="F1886" s="29"/>
      <c r="G1886" s="29"/>
      <c r="H1886" s="29"/>
      <c r="J1886" s="29"/>
      <c r="K1886" s="29"/>
      <c r="L1886" s="19"/>
      <c r="M1886" s="19"/>
      <c r="N1886" s="30"/>
      <c r="O1886" s="30"/>
      <c r="P1886" s="32"/>
      <c r="Q1886" s="32"/>
      <c r="R1886" s="32"/>
      <c r="S1886" s="32"/>
      <c r="T1886" s="32"/>
      <c r="U1886" s="30"/>
    </row>
    <row r="1887" spans="1:21">
      <c r="A1887" s="29"/>
      <c r="B1887" s="29"/>
      <c r="C1887" s="29"/>
      <c r="D1887" s="29"/>
      <c r="E1887" s="29"/>
      <c r="F1887" s="29"/>
      <c r="G1887" s="29"/>
      <c r="H1887" s="29"/>
      <c r="J1887" s="29"/>
      <c r="K1887" s="29"/>
      <c r="L1887" s="19"/>
      <c r="M1887" s="19"/>
      <c r="N1887" s="30"/>
      <c r="O1887" s="30"/>
      <c r="P1887" s="32"/>
      <c r="Q1887" s="32"/>
      <c r="R1887" s="32"/>
      <c r="S1887" s="32"/>
      <c r="T1887" s="32"/>
      <c r="U1887" s="30"/>
    </row>
    <row r="1888" spans="1:21">
      <c r="A1888" s="29"/>
      <c r="B1888" s="29"/>
      <c r="C1888" s="29"/>
      <c r="D1888" s="29"/>
      <c r="E1888" s="29"/>
      <c r="F1888" s="29"/>
      <c r="G1888" s="29"/>
      <c r="H1888" s="29"/>
      <c r="J1888" s="29"/>
      <c r="K1888" s="29"/>
      <c r="L1888" s="19"/>
      <c r="M1888" s="19"/>
      <c r="N1888" s="30"/>
      <c r="O1888" s="30"/>
      <c r="P1888" s="32"/>
      <c r="Q1888" s="32"/>
      <c r="R1888" s="32"/>
      <c r="S1888" s="32"/>
      <c r="T1888" s="32"/>
      <c r="U1888" s="30"/>
    </row>
    <row r="1889" spans="1:21">
      <c r="A1889" s="29"/>
      <c r="B1889" s="29"/>
      <c r="C1889" s="29"/>
      <c r="D1889" s="29"/>
      <c r="E1889" s="29"/>
      <c r="F1889" s="29"/>
      <c r="G1889" s="29"/>
      <c r="H1889" s="29"/>
      <c r="J1889" s="29"/>
      <c r="K1889" s="29"/>
      <c r="L1889" s="19"/>
      <c r="M1889" s="19"/>
      <c r="N1889" s="30"/>
      <c r="O1889" s="30"/>
      <c r="P1889" s="32"/>
      <c r="Q1889" s="32"/>
      <c r="R1889" s="32"/>
      <c r="S1889" s="32"/>
      <c r="T1889" s="32"/>
      <c r="U1889" s="30"/>
    </row>
    <row r="1890" spans="1:21">
      <c r="A1890" s="29"/>
      <c r="B1890" s="29"/>
      <c r="C1890" s="29"/>
      <c r="D1890" s="29"/>
      <c r="E1890" s="29"/>
      <c r="F1890" s="29"/>
      <c r="G1890" s="29"/>
      <c r="H1890" s="29"/>
      <c r="J1890" s="29"/>
      <c r="K1890" s="29"/>
      <c r="L1890" s="19"/>
      <c r="M1890" s="19"/>
      <c r="N1890" s="30"/>
      <c r="O1890" s="30"/>
      <c r="P1890" s="32"/>
      <c r="Q1890" s="32"/>
      <c r="R1890" s="32"/>
      <c r="S1890" s="32"/>
      <c r="T1890" s="32"/>
      <c r="U1890" s="30"/>
    </row>
    <row r="1891" spans="1:21">
      <c r="A1891" s="29"/>
      <c r="B1891" s="29"/>
      <c r="C1891" s="29"/>
      <c r="D1891" s="29"/>
      <c r="E1891" s="29"/>
      <c r="F1891" s="29"/>
      <c r="G1891" s="29"/>
      <c r="H1891" s="29"/>
      <c r="J1891" s="29"/>
      <c r="K1891" s="29"/>
      <c r="L1891" s="19"/>
      <c r="M1891" s="19"/>
      <c r="N1891" s="30"/>
      <c r="O1891" s="30"/>
      <c r="P1891" s="32"/>
      <c r="Q1891" s="32"/>
      <c r="R1891" s="32"/>
      <c r="S1891" s="32"/>
      <c r="T1891" s="32"/>
      <c r="U1891" s="30"/>
    </row>
    <row r="1892" spans="1:21">
      <c r="A1892" s="29"/>
      <c r="B1892" s="29"/>
      <c r="C1892" s="29"/>
      <c r="D1892" s="29"/>
      <c r="E1892" s="29"/>
      <c r="F1892" s="29"/>
      <c r="G1892" s="29"/>
      <c r="H1892" s="29"/>
      <c r="J1892" s="29"/>
      <c r="K1892" s="29"/>
      <c r="L1892" s="19"/>
      <c r="M1892" s="19"/>
      <c r="N1892" s="30"/>
      <c r="O1892" s="30"/>
      <c r="P1892" s="32"/>
      <c r="Q1892" s="32"/>
      <c r="R1892" s="32"/>
      <c r="S1892" s="32"/>
      <c r="T1892" s="32"/>
      <c r="U1892" s="30"/>
    </row>
    <row r="1893" spans="1:21">
      <c r="A1893" s="29"/>
      <c r="B1893" s="29"/>
      <c r="C1893" s="29"/>
      <c r="D1893" s="29"/>
      <c r="E1893" s="29"/>
      <c r="F1893" s="29"/>
      <c r="G1893" s="29"/>
      <c r="H1893" s="29"/>
      <c r="J1893" s="29"/>
      <c r="K1893" s="29"/>
      <c r="L1893" s="19"/>
      <c r="M1893" s="19"/>
      <c r="N1893" s="30"/>
      <c r="O1893" s="30"/>
      <c r="P1893" s="32"/>
      <c r="Q1893" s="32"/>
      <c r="R1893" s="32"/>
      <c r="S1893" s="32"/>
      <c r="T1893" s="32"/>
      <c r="U1893" s="30"/>
    </row>
    <row r="1894" spans="1:21">
      <c r="A1894" s="29"/>
      <c r="B1894" s="29"/>
      <c r="C1894" s="29"/>
      <c r="D1894" s="29"/>
      <c r="E1894" s="29"/>
      <c r="F1894" s="29"/>
      <c r="G1894" s="29"/>
      <c r="H1894" s="29"/>
      <c r="J1894" s="29"/>
      <c r="K1894" s="29"/>
      <c r="L1894" s="19"/>
      <c r="M1894" s="19"/>
      <c r="N1894" s="30"/>
      <c r="O1894" s="30"/>
      <c r="P1894" s="32"/>
      <c r="Q1894" s="32"/>
      <c r="R1894" s="32"/>
      <c r="S1894" s="32"/>
      <c r="T1894" s="32"/>
      <c r="U1894" s="30"/>
    </row>
    <row r="1895" spans="1:21">
      <c r="A1895" s="29"/>
      <c r="B1895" s="29"/>
      <c r="C1895" s="29"/>
      <c r="D1895" s="29"/>
      <c r="E1895" s="29"/>
      <c r="F1895" s="29"/>
      <c r="G1895" s="29"/>
      <c r="H1895" s="29"/>
      <c r="J1895" s="29"/>
      <c r="K1895" s="29"/>
      <c r="L1895" s="19"/>
      <c r="M1895" s="19"/>
      <c r="N1895" s="30"/>
      <c r="O1895" s="30"/>
      <c r="P1895" s="32"/>
      <c r="Q1895" s="32"/>
      <c r="R1895" s="32"/>
      <c r="S1895" s="32"/>
      <c r="T1895" s="32"/>
      <c r="U1895" s="30"/>
    </row>
    <row r="1896" spans="1:21">
      <c r="A1896" s="29"/>
      <c r="B1896" s="29"/>
      <c r="C1896" s="29"/>
      <c r="D1896" s="29"/>
      <c r="E1896" s="29"/>
      <c r="F1896" s="29"/>
      <c r="G1896" s="29"/>
      <c r="H1896" s="29"/>
      <c r="J1896" s="29"/>
      <c r="K1896" s="29"/>
      <c r="L1896" s="19"/>
      <c r="M1896" s="19"/>
      <c r="N1896" s="30"/>
      <c r="O1896" s="30"/>
      <c r="P1896" s="32"/>
      <c r="Q1896" s="32"/>
      <c r="R1896" s="32"/>
      <c r="S1896" s="32"/>
      <c r="T1896" s="32"/>
      <c r="U1896" s="30"/>
    </row>
    <row r="1897" spans="1:21">
      <c r="A1897" s="29"/>
      <c r="B1897" s="29"/>
      <c r="C1897" s="29"/>
      <c r="D1897" s="29"/>
      <c r="E1897" s="29"/>
      <c r="F1897" s="29"/>
      <c r="G1897" s="29"/>
      <c r="H1897" s="29"/>
      <c r="J1897" s="29"/>
      <c r="K1897" s="29"/>
      <c r="L1897" s="19"/>
      <c r="M1897" s="19"/>
      <c r="N1897" s="30"/>
      <c r="O1897" s="30"/>
      <c r="P1897" s="32"/>
      <c r="Q1897" s="32"/>
      <c r="R1897" s="32"/>
      <c r="S1897" s="32"/>
      <c r="T1897" s="32"/>
      <c r="U1897" s="30"/>
    </row>
    <row r="1898" spans="1:21">
      <c r="A1898" s="29"/>
      <c r="B1898" s="29"/>
      <c r="C1898" s="29"/>
      <c r="D1898" s="29"/>
      <c r="E1898" s="29"/>
      <c r="F1898" s="29"/>
      <c r="G1898" s="29"/>
      <c r="H1898" s="29"/>
      <c r="J1898" s="29"/>
      <c r="K1898" s="29"/>
      <c r="L1898" s="19"/>
      <c r="M1898" s="19"/>
      <c r="N1898" s="30"/>
      <c r="O1898" s="30"/>
      <c r="P1898" s="32"/>
      <c r="Q1898" s="32"/>
      <c r="R1898" s="32"/>
      <c r="S1898" s="32"/>
      <c r="T1898" s="32"/>
      <c r="U1898" s="30"/>
    </row>
    <row r="1899" spans="1:21">
      <c r="A1899" s="29"/>
      <c r="B1899" s="29"/>
      <c r="C1899" s="29"/>
      <c r="D1899" s="29"/>
      <c r="E1899" s="29"/>
      <c r="F1899" s="29"/>
      <c r="G1899" s="29"/>
      <c r="H1899" s="29"/>
      <c r="J1899" s="29"/>
      <c r="K1899" s="29"/>
      <c r="L1899" s="19"/>
      <c r="M1899" s="19"/>
      <c r="N1899" s="30"/>
      <c r="O1899" s="30"/>
      <c r="P1899" s="32"/>
      <c r="Q1899" s="32"/>
      <c r="R1899" s="32"/>
      <c r="S1899" s="32"/>
      <c r="T1899" s="32"/>
      <c r="U1899" s="30"/>
    </row>
    <row r="1900" spans="1:21">
      <c r="A1900" s="29"/>
      <c r="B1900" s="29"/>
      <c r="C1900" s="29"/>
      <c r="D1900" s="29"/>
      <c r="E1900" s="29"/>
      <c r="F1900" s="29"/>
      <c r="G1900" s="29"/>
      <c r="H1900" s="29"/>
      <c r="J1900" s="29"/>
      <c r="K1900" s="29"/>
      <c r="L1900" s="19"/>
      <c r="M1900" s="19"/>
      <c r="N1900" s="30"/>
      <c r="O1900" s="30"/>
      <c r="P1900" s="32"/>
      <c r="Q1900" s="32"/>
      <c r="R1900" s="32"/>
      <c r="S1900" s="32"/>
      <c r="T1900" s="32"/>
      <c r="U1900" s="30"/>
    </row>
    <row r="1901" spans="1:21">
      <c r="A1901" s="29"/>
      <c r="B1901" s="29"/>
      <c r="C1901" s="29"/>
      <c r="D1901" s="29"/>
      <c r="E1901" s="29"/>
      <c r="F1901" s="29"/>
      <c r="G1901" s="29"/>
      <c r="H1901" s="29"/>
      <c r="J1901" s="29"/>
      <c r="K1901" s="29"/>
      <c r="L1901" s="19"/>
      <c r="M1901" s="19"/>
      <c r="N1901" s="30"/>
      <c r="O1901" s="30"/>
      <c r="P1901" s="32"/>
      <c r="Q1901" s="32"/>
      <c r="R1901" s="32"/>
      <c r="S1901" s="32"/>
      <c r="T1901" s="32"/>
      <c r="U1901" s="30"/>
    </row>
    <row r="1902" spans="1:21">
      <c r="A1902" s="29"/>
      <c r="B1902" s="29"/>
      <c r="C1902" s="29"/>
      <c r="D1902" s="29"/>
      <c r="E1902" s="29"/>
      <c r="F1902" s="29"/>
      <c r="G1902" s="29"/>
      <c r="H1902" s="29"/>
      <c r="J1902" s="29"/>
      <c r="K1902" s="29"/>
      <c r="L1902" s="19"/>
      <c r="M1902" s="19"/>
      <c r="N1902" s="30"/>
      <c r="O1902" s="30"/>
      <c r="P1902" s="32"/>
      <c r="Q1902" s="32"/>
      <c r="R1902" s="32"/>
      <c r="S1902" s="32"/>
      <c r="T1902" s="32"/>
      <c r="U1902" s="30"/>
    </row>
    <row r="1903" spans="1:21">
      <c r="A1903" s="29"/>
      <c r="B1903" s="29"/>
      <c r="C1903" s="29"/>
      <c r="D1903" s="29"/>
      <c r="E1903" s="29"/>
      <c r="F1903" s="29"/>
      <c r="G1903" s="29"/>
      <c r="H1903" s="29"/>
      <c r="J1903" s="29"/>
      <c r="K1903" s="29"/>
      <c r="L1903" s="19"/>
      <c r="M1903" s="19"/>
      <c r="N1903" s="30"/>
      <c r="O1903" s="30"/>
      <c r="P1903" s="32"/>
      <c r="Q1903" s="32"/>
      <c r="R1903" s="32"/>
      <c r="S1903" s="32"/>
      <c r="T1903" s="32"/>
      <c r="U1903" s="30"/>
    </row>
    <row r="1904" spans="1:21">
      <c r="A1904" s="29"/>
      <c r="B1904" s="29"/>
      <c r="C1904" s="29"/>
      <c r="D1904" s="29"/>
      <c r="E1904" s="29"/>
      <c r="F1904" s="29"/>
      <c r="G1904" s="29"/>
      <c r="H1904" s="29"/>
      <c r="J1904" s="29"/>
      <c r="K1904" s="29"/>
      <c r="L1904" s="19"/>
      <c r="M1904" s="19"/>
      <c r="N1904" s="30"/>
      <c r="O1904" s="30"/>
      <c r="P1904" s="32"/>
      <c r="Q1904" s="32"/>
      <c r="R1904" s="32"/>
      <c r="S1904" s="32"/>
      <c r="T1904" s="32"/>
      <c r="U1904" s="30"/>
    </row>
    <row r="1905" spans="1:21">
      <c r="A1905" s="29"/>
      <c r="B1905" s="29"/>
      <c r="C1905" s="29"/>
      <c r="D1905" s="29"/>
      <c r="E1905" s="29"/>
      <c r="F1905" s="29"/>
      <c r="G1905" s="29"/>
      <c r="H1905" s="29"/>
      <c r="J1905" s="29"/>
      <c r="K1905" s="29"/>
      <c r="L1905" s="19"/>
      <c r="M1905" s="19"/>
      <c r="N1905" s="30"/>
      <c r="O1905" s="30"/>
      <c r="P1905" s="32"/>
      <c r="Q1905" s="32"/>
      <c r="R1905" s="32"/>
      <c r="S1905" s="32"/>
      <c r="T1905" s="32"/>
      <c r="U1905" s="30"/>
    </row>
    <row r="1906" spans="1:21">
      <c r="A1906" s="29"/>
      <c r="B1906" s="29"/>
      <c r="C1906" s="29"/>
      <c r="D1906" s="29"/>
      <c r="E1906" s="29"/>
      <c r="F1906" s="29"/>
      <c r="G1906" s="29"/>
      <c r="H1906" s="29"/>
      <c r="J1906" s="29"/>
      <c r="K1906" s="29"/>
      <c r="L1906" s="19"/>
      <c r="M1906" s="19"/>
      <c r="N1906" s="30"/>
      <c r="O1906" s="30"/>
      <c r="P1906" s="32"/>
      <c r="Q1906" s="32"/>
      <c r="R1906" s="32"/>
      <c r="S1906" s="32"/>
      <c r="T1906" s="32"/>
      <c r="U1906" s="30"/>
    </row>
    <row r="1907" spans="1:21">
      <c r="A1907" s="29"/>
      <c r="B1907" s="29"/>
      <c r="C1907" s="29"/>
      <c r="D1907" s="29"/>
      <c r="E1907" s="29"/>
      <c r="F1907" s="29"/>
      <c r="G1907" s="29"/>
      <c r="H1907" s="29"/>
      <c r="J1907" s="29"/>
      <c r="K1907" s="29"/>
      <c r="L1907" s="19"/>
      <c r="M1907" s="19"/>
      <c r="N1907" s="30"/>
      <c r="O1907" s="30"/>
      <c r="P1907" s="32"/>
      <c r="Q1907" s="32"/>
      <c r="R1907" s="32"/>
      <c r="S1907" s="32"/>
      <c r="T1907" s="32"/>
      <c r="U1907" s="30"/>
    </row>
    <row r="1908" spans="1:21">
      <c r="A1908" s="29"/>
      <c r="B1908" s="29"/>
      <c r="C1908" s="29"/>
      <c r="D1908" s="29"/>
      <c r="E1908" s="29"/>
      <c r="F1908" s="29"/>
      <c r="G1908" s="29"/>
      <c r="H1908" s="29"/>
      <c r="J1908" s="29"/>
      <c r="K1908" s="29"/>
      <c r="L1908" s="19"/>
      <c r="M1908" s="19"/>
      <c r="N1908" s="30"/>
      <c r="O1908" s="30"/>
      <c r="P1908" s="32"/>
      <c r="Q1908" s="32"/>
      <c r="R1908" s="32"/>
      <c r="S1908" s="32"/>
      <c r="T1908" s="32"/>
      <c r="U1908" s="30"/>
    </row>
    <row r="1909" spans="1:21">
      <c r="A1909" s="29"/>
      <c r="B1909" s="29"/>
      <c r="C1909" s="29"/>
      <c r="D1909" s="29"/>
      <c r="E1909" s="29"/>
      <c r="F1909" s="29"/>
      <c r="G1909" s="29"/>
      <c r="H1909" s="29"/>
      <c r="J1909" s="29"/>
      <c r="K1909" s="29"/>
      <c r="L1909" s="19"/>
      <c r="M1909" s="19"/>
      <c r="N1909" s="30"/>
      <c r="O1909" s="30"/>
      <c r="P1909" s="32"/>
      <c r="Q1909" s="32"/>
      <c r="R1909" s="32"/>
      <c r="S1909" s="32"/>
      <c r="T1909" s="32"/>
      <c r="U1909" s="30"/>
    </row>
    <row r="1910" spans="1:21">
      <c r="A1910" s="29"/>
      <c r="B1910" s="29"/>
      <c r="C1910" s="29"/>
      <c r="D1910" s="29"/>
      <c r="E1910" s="29"/>
      <c r="F1910" s="29"/>
      <c r="G1910" s="29"/>
      <c r="H1910" s="29"/>
      <c r="J1910" s="29"/>
      <c r="K1910" s="29"/>
      <c r="L1910" s="19"/>
      <c r="M1910" s="19"/>
      <c r="N1910" s="30"/>
      <c r="O1910" s="30"/>
      <c r="P1910" s="32"/>
      <c r="Q1910" s="32"/>
      <c r="R1910" s="32"/>
      <c r="S1910" s="32"/>
      <c r="T1910" s="32"/>
      <c r="U1910" s="30"/>
    </row>
    <row r="1911" spans="1:21">
      <c r="A1911" s="29"/>
      <c r="B1911" s="29"/>
      <c r="C1911" s="29"/>
      <c r="D1911" s="29"/>
      <c r="E1911" s="29"/>
      <c r="F1911" s="29"/>
      <c r="G1911" s="29"/>
      <c r="H1911" s="29"/>
      <c r="J1911" s="29"/>
      <c r="K1911" s="29"/>
      <c r="L1911" s="19"/>
      <c r="M1911" s="19"/>
      <c r="N1911" s="30"/>
      <c r="O1911" s="30"/>
      <c r="P1911" s="32"/>
      <c r="Q1911" s="32"/>
      <c r="R1911" s="32"/>
      <c r="S1911" s="32"/>
      <c r="T1911" s="32"/>
      <c r="U1911" s="30"/>
    </row>
    <row r="1912" spans="1:21">
      <c r="A1912" s="29"/>
      <c r="B1912" s="29"/>
      <c r="C1912" s="29"/>
      <c r="D1912" s="29"/>
      <c r="E1912" s="29"/>
      <c r="F1912" s="29"/>
      <c r="G1912" s="29"/>
      <c r="H1912" s="29"/>
      <c r="J1912" s="29"/>
      <c r="K1912" s="29"/>
      <c r="L1912" s="19"/>
      <c r="M1912" s="19"/>
      <c r="N1912" s="30"/>
      <c r="O1912" s="30"/>
      <c r="P1912" s="32"/>
      <c r="Q1912" s="32"/>
      <c r="R1912" s="32"/>
      <c r="S1912" s="32"/>
      <c r="T1912" s="32"/>
      <c r="U1912" s="30"/>
    </row>
    <row r="1913" spans="1:21">
      <c r="A1913" s="29"/>
      <c r="B1913" s="29"/>
      <c r="C1913" s="29"/>
      <c r="D1913" s="29"/>
      <c r="E1913" s="29"/>
      <c r="F1913" s="29"/>
      <c r="G1913" s="29"/>
      <c r="H1913" s="29"/>
      <c r="J1913" s="29"/>
      <c r="K1913" s="29"/>
      <c r="L1913" s="19"/>
      <c r="M1913" s="19"/>
      <c r="N1913" s="30"/>
      <c r="O1913" s="30"/>
      <c r="P1913" s="32"/>
      <c r="Q1913" s="32"/>
      <c r="R1913" s="32"/>
      <c r="S1913" s="32"/>
      <c r="T1913" s="32"/>
      <c r="U1913" s="30"/>
    </row>
    <row r="1914" spans="1:21">
      <c r="A1914" s="29"/>
      <c r="B1914" s="29"/>
      <c r="C1914" s="29"/>
      <c r="D1914" s="29"/>
      <c r="E1914" s="29"/>
      <c r="F1914" s="29"/>
      <c r="G1914" s="29"/>
      <c r="H1914" s="29"/>
      <c r="J1914" s="29"/>
      <c r="K1914" s="29"/>
      <c r="L1914" s="19"/>
      <c r="M1914" s="19"/>
      <c r="N1914" s="30"/>
      <c r="O1914" s="30"/>
      <c r="P1914" s="32"/>
      <c r="Q1914" s="32"/>
      <c r="R1914" s="32"/>
      <c r="S1914" s="32"/>
      <c r="T1914" s="32"/>
      <c r="U1914" s="30"/>
    </row>
    <row r="1915" spans="1:21">
      <c r="A1915" s="29"/>
      <c r="B1915" s="29"/>
      <c r="C1915" s="29"/>
      <c r="D1915" s="29"/>
      <c r="E1915" s="29"/>
      <c r="F1915" s="29"/>
      <c r="G1915" s="29"/>
      <c r="H1915" s="29"/>
      <c r="J1915" s="29"/>
      <c r="K1915" s="29"/>
      <c r="L1915" s="19"/>
      <c r="M1915" s="19"/>
      <c r="N1915" s="30"/>
      <c r="O1915" s="30"/>
      <c r="P1915" s="32"/>
      <c r="Q1915" s="32"/>
      <c r="R1915" s="32"/>
      <c r="S1915" s="32"/>
      <c r="T1915" s="32"/>
      <c r="U1915" s="30"/>
    </row>
    <row r="1916" spans="1:21">
      <c r="A1916" s="29"/>
      <c r="B1916" s="29"/>
      <c r="C1916" s="29"/>
      <c r="D1916" s="29"/>
      <c r="E1916" s="29"/>
      <c r="F1916" s="29"/>
      <c r="G1916" s="29"/>
      <c r="H1916" s="29"/>
      <c r="J1916" s="29"/>
      <c r="K1916" s="29"/>
      <c r="L1916" s="19"/>
      <c r="M1916" s="19"/>
      <c r="N1916" s="30"/>
      <c r="O1916" s="30"/>
      <c r="P1916" s="32"/>
      <c r="Q1916" s="32"/>
      <c r="R1916" s="32"/>
      <c r="S1916" s="32"/>
      <c r="T1916" s="32"/>
      <c r="U1916" s="30"/>
    </row>
    <row r="1917" spans="1:21">
      <c r="A1917" s="29"/>
      <c r="B1917" s="29"/>
      <c r="C1917" s="29"/>
      <c r="D1917" s="29"/>
      <c r="E1917" s="29"/>
      <c r="F1917" s="29"/>
      <c r="G1917" s="29"/>
      <c r="H1917" s="29"/>
      <c r="J1917" s="29"/>
      <c r="K1917" s="29"/>
      <c r="L1917" s="19"/>
      <c r="M1917" s="19"/>
      <c r="N1917" s="30"/>
      <c r="O1917" s="30"/>
      <c r="P1917" s="32"/>
      <c r="Q1917" s="32"/>
      <c r="R1917" s="32"/>
      <c r="S1917" s="32"/>
      <c r="T1917" s="32"/>
      <c r="U1917" s="30"/>
    </row>
    <row r="1918" spans="1:21">
      <c r="A1918" s="29"/>
      <c r="B1918" s="29"/>
      <c r="C1918" s="29"/>
      <c r="D1918" s="29"/>
      <c r="E1918" s="29"/>
      <c r="F1918" s="29"/>
      <c r="G1918" s="29"/>
      <c r="H1918" s="29"/>
      <c r="J1918" s="29"/>
      <c r="K1918" s="29"/>
      <c r="L1918" s="19"/>
      <c r="M1918" s="19"/>
      <c r="N1918" s="30"/>
      <c r="O1918" s="30"/>
      <c r="P1918" s="32"/>
      <c r="Q1918" s="32"/>
      <c r="R1918" s="32"/>
      <c r="S1918" s="32"/>
      <c r="T1918" s="32"/>
      <c r="U1918" s="30"/>
    </row>
    <row r="1919" spans="1:21">
      <c r="A1919" s="29"/>
      <c r="B1919" s="29"/>
      <c r="C1919" s="29"/>
      <c r="D1919" s="29"/>
      <c r="E1919" s="29"/>
      <c r="F1919" s="29"/>
      <c r="G1919" s="29"/>
      <c r="H1919" s="29"/>
      <c r="J1919" s="29"/>
      <c r="K1919" s="29"/>
      <c r="L1919" s="19"/>
      <c r="M1919" s="19"/>
      <c r="N1919" s="30"/>
      <c r="O1919" s="30"/>
      <c r="P1919" s="32"/>
      <c r="Q1919" s="32"/>
      <c r="R1919" s="32"/>
      <c r="S1919" s="32"/>
      <c r="T1919" s="32"/>
      <c r="U1919" s="30"/>
    </row>
    <row r="1920" spans="1:21">
      <c r="A1920" s="29"/>
      <c r="B1920" s="29"/>
      <c r="C1920" s="29"/>
      <c r="D1920" s="29"/>
      <c r="E1920" s="29"/>
      <c r="F1920" s="29"/>
      <c r="G1920" s="29"/>
      <c r="H1920" s="29"/>
      <c r="J1920" s="29"/>
      <c r="K1920" s="29"/>
      <c r="L1920" s="19"/>
      <c r="M1920" s="19"/>
      <c r="N1920" s="30"/>
      <c r="O1920" s="30"/>
      <c r="P1920" s="32"/>
      <c r="Q1920" s="32"/>
      <c r="R1920" s="32"/>
      <c r="S1920" s="32"/>
      <c r="T1920" s="32"/>
      <c r="U1920" s="30"/>
    </row>
    <row r="1921" spans="1:21">
      <c r="A1921" s="29"/>
      <c r="B1921" s="29"/>
      <c r="C1921" s="29"/>
      <c r="D1921" s="29"/>
      <c r="E1921" s="29"/>
      <c r="F1921" s="29"/>
      <c r="G1921" s="29"/>
      <c r="H1921" s="29"/>
      <c r="J1921" s="29"/>
      <c r="K1921" s="29"/>
      <c r="L1921" s="19"/>
      <c r="M1921" s="19"/>
      <c r="N1921" s="30"/>
      <c r="O1921" s="30"/>
      <c r="P1921" s="32"/>
      <c r="Q1921" s="32"/>
      <c r="R1921" s="32"/>
      <c r="S1921" s="32"/>
      <c r="T1921" s="32"/>
      <c r="U1921" s="30"/>
    </row>
    <row r="1922" spans="1:21">
      <c r="A1922" s="29"/>
      <c r="B1922" s="29"/>
      <c r="C1922" s="29"/>
      <c r="D1922" s="29"/>
      <c r="E1922" s="29"/>
      <c r="F1922" s="29"/>
      <c r="G1922" s="29"/>
      <c r="H1922" s="29"/>
      <c r="J1922" s="29"/>
      <c r="K1922" s="29"/>
      <c r="L1922" s="19"/>
      <c r="M1922" s="19"/>
      <c r="N1922" s="30"/>
      <c r="O1922" s="30"/>
      <c r="P1922" s="32"/>
      <c r="Q1922" s="32"/>
      <c r="R1922" s="32"/>
      <c r="S1922" s="32"/>
      <c r="T1922" s="32"/>
      <c r="U1922" s="30"/>
    </row>
    <row r="1923" spans="1:21">
      <c r="A1923" s="29"/>
      <c r="B1923" s="29"/>
      <c r="C1923" s="29"/>
      <c r="D1923" s="29"/>
      <c r="E1923" s="29"/>
      <c r="F1923" s="29"/>
      <c r="G1923" s="29"/>
      <c r="H1923" s="29"/>
      <c r="J1923" s="29"/>
      <c r="K1923" s="29"/>
      <c r="L1923" s="19"/>
      <c r="M1923" s="19"/>
      <c r="N1923" s="30"/>
      <c r="O1923" s="30"/>
      <c r="P1923" s="32"/>
      <c r="Q1923" s="32"/>
      <c r="R1923" s="32"/>
      <c r="S1923" s="32"/>
      <c r="T1923" s="32"/>
      <c r="U1923" s="30"/>
    </row>
    <row r="1924" spans="1:21">
      <c r="A1924" s="29"/>
      <c r="B1924" s="29"/>
      <c r="C1924" s="29"/>
      <c r="D1924" s="29"/>
      <c r="E1924" s="29"/>
      <c r="F1924" s="29"/>
      <c r="G1924" s="29"/>
      <c r="H1924" s="29"/>
      <c r="J1924" s="29"/>
      <c r="K1924" s="29"/>
      <c r="L1924" s="19"/>
      <c r="M1924" s="19"/>
      <c r="N1924" s="30"/>
      <c r="O1924" s="30"/>
      <c r="P1924" s="32"/>
      <c r="Q1924" s="32"/>
      <c r="R1924" s="32"/>
      <c r="S1924" s="32"/>
      <c r="T1924" s="32"/>
      <c r="U1924" s="30"/>
    </row>
    <row r="1925" spans="1:21">
      <c r="A1925" s="29"/>
      <c r="B1925" s="29"/>
      <c r="C1925" s="29"/>
      <c r="D1925" s="29"/>
      <c r="E1925" s="29"/>
      <c r="F1925" s="29"/>
      <c r="G1925" s="29"/>
      <c r="H1925" s="29"/>
      <c r="J1925" s="29"/>
      <c r="K1925" s="29"/>
      <c r="L1925" s="19"/>
      <c r="M1925" s="19"/>
      <c r="N1925" s="30"/>
      <c r="O1925" s="30"/>
      <c r="P1925" s="32"/>
      <c r="Q1925" s="32"/>
      <c r="R1925" s="32"/>
      <c r="S1925" s="32"/>
      <c r="T1925" s="32"/>
      <c r="U1925" s="30"/>
    </row>
    <row r="1926" spans="1:21">
      <c r="A1926" s="29"/>
      <c r="B1926" s="29"/>
      <c r="C1926" s="29"/>
      <c r="D1926" s="29"/>
      <c r="E1926" s="29"/>
      <c r="F1926" s="29"/>
      <c r="G1926" s="29"/>
      <c r="H1926" s="29"/>
      <c r="J1926" s="29"/>
      <c r="K1926" s="29"/>
      <c r="L1926" s="19"/>
      <c r="M1926" s="19"/>
      <c r="N1926" s="30"/>
      <c r="O1926" s="30"/>
      <c r="P1926" s="32"/>
      <c r="Q1926" s="32"/>
      <c r="R1926" s="32"/>
      <c r="S1926" s="32"/>
      <c r="T1926" s="32"/>
      <c r="U1926" s="30"/>
    </row>
    <row r="1927" spans="1:21">
      <c r="A1927" s="29"/>
      <c r="B1927" s="29"/>
      <c r="C1927" s="29"/>
      <c r="D1927" s="29"/>
      <c r="E1927" s="29"/>
      <c r="F1927" s="29"/>
      <c r="G1927" s="29"/>
      <c r="H1927" s="29"/>
      <c r="J1927" s="29"/>
      <c r="K1927" s="29"/>
      <c r="L1927" s="19"/>
      <c r="M1927" s="19"/>
      <c r="N1927" s="30"/>
      <c r="O1927" s="30"/>
      <c r="P1927" s="32"/>
      <c r="Q1927" s="32"/>
      <c r="R1927" s="32"/>
      <c r="S1927" s="32"/>
      <c r="T1927" s="32"/>
      <c r="U1927" s="30"/>
    </row>
    <row r="1928" spans="1:21">
      <c r="A1928" s="29"/>
      <c r="B1928" s="29"/>
      <c r="C1928" s="29"/>
      <c r="D1928" s="29"/>
      <c r="E1928" s="29"/>
      <c r="F1928" s="29"/>
      <c r="G1928" s="29"/>
      <c r="H1928" s="29"/>
      <c r="J1928" s="29"/>
      <c r="K1928" s="29"/>
      <c r="L1928" s="19"/>
      <c r="M1928" s="19"/>
      <c r="N1928" s="30"/>
      <c r="O1928" s="30"/>
      <c r="P1928" s="32"/>
      <c r="Q1928" s="32"/>
      <c r="R1928" s="32"/>
      <c r="S1928" s="32"/>
      <c r="T1928" s="32"/>
      <c r="U1928" s="30"/>
    </row>
    <row r="1929" spans="1:21">
      <c r="A1929" s="29"/>
      <c r="B1929" s="29"/>
      <c r="C1929" s="29"/>
      <c r="D1929" s="29"/>
      <c r="E1929" s="29"/>
      <c r="F1929" s="29"/>
      <c r="G1929" s="29"/>
      <c r="H1929" s="29"/>
      <c r="J1929" s="29"/>
      <c r="K1929" s="29"/>
      <c r="L1929" s="19"/>
      <c r="M1929" s="19"/>
      <c r="N1929" s="30"/>
      <c r="O1929" s="30"/>
      <c r="P1929" s="32"/>
      <c r="Q1929" s="32"/>
      <c r="R1929" s="32"/>
      <c r="S1929" s="32"/>
      <c r="T1929" s="32"/>
      <c r="U1929" s="30"/>
    </row>
    <row r="1930" spans="1:21">
      <c r="A1930" s="29"/>
      <c r="B1930" s="29"/>
      <c r="C1930" s="29"/>
      <c r="D1930" s="29"/>
      <c r="E1930" s="29"/>
      <c r="F1930" s="29"/>
      <c r="G1930" s="29"/>
      <c r="H1930" s="29"/>
      <c r="J1930" s="29"/>
      <c r="K1930" s="29"/>
      <c r="L1930" s="19"/>
      <c r="M1930" s="19"/>
      <c r="N1930" s="30"/>
      <c r="O1930" s="30"/>
      <c r="P1930" s="32"/>
      <c r="Q1930" s="32"/>
      <c r="R1930" s="32"/>
      <c r="S1930" s="32"/>
      <c r="T1930" s="32"/>
      <c r="U1930" s="30"/>
    </row>
    <row r="1931" spans="1:21">
      <c r="A1931" s="29"/>
      <c r="B1931" s="29"/>
      <c r="C1931" s="29"/>
      <c r="D1931" s="29"/>
      <c r="E1931" s="29"/>
      <c r="F1931" s="29"/>
      <c r="G1931" s="29"/>
      <c r="H1931" s="29"/>
      <c r="J1931" s="29"/>
      <c r="K1931" s="29"/>
      <c r="L1931" s="19"/>
      <c r="M1931" s="19"/>
      <c r="N1931" s="30"/>
      <c r="O1931" s="30"/>
      <c r="P1931" s="32"/>
      <c r="Q1931" s="32"/>
      <c r="R1931" s="32"/>
      <c r="S1931" s="32"/>
      <c r="T1931" s="32"/>
      <c r="U1931" s="30"/>
    </row>
    <row r="1932" spans="1:21">
      <c r="A1932" s="29"/>
      <c r="B1932" s="29"/>
      <c r="C1932" s="29"/>
      <c r="D1932" s="29"/>
      <c r="E1932" s="29"/>
      <c r="F1932" s="29"/>
      <c r="G1932" s="29"/>
      <c r="H1932" s="29"/>
      <c r="J1932" s="29"/>
      <c r="K1932" s="29"/>
      <c r="L1932" s="19"/>
      <c r="M1932" s="19"/>
      <c r="N1932" s="30"/>
      <c r="O1932" s="30"/>
      <c r="P1932" s="32"/>
      <c r="Q1932" s="32"/>
      <c r="R1932" s="32"/>
      <c r="S1932" s="32"/>
      <c r="T1932" s="32"/>
      <c r="U1932" s="30"/>
    </row>
    <row r="1933" spans="1:21">
      <c r="A1933" s="29"/>
      <c r="B1933" s="29"/>
      <c r="C1933" s="29"/>
      <c r="D1933" s="29"/>
      <c r="E1933" s="29"/>
      <c r="F1933" s="29"/>
      <c r="G1933" s="29"/>
      <c r="H1933" s="29"/>
      <c r="J1933" s="29"/>
      <c r="K1933" s="29"/>
      <c r="L1933" s="19"/>
      <c r="M1933" s="19"/>
      <c r="N1933" s="30"/>
      <c r="O1933" s="30"/>
      <c r="P1933" s="32"/>
      <c r="Q1933" s="32"/>
      <c r="R1933" s="32"/>
      <c r="S1933" s="32"/>
      <c r="T1933" s="32"/>
      <c r="U1933" s="30"/>
    </row>
    <row r="1934" spans="1:21">
      <c r="A1934" s="29"/>
      <c r="B1934" s="29"/>
      <c r="C1934" s="29"/>
      <c r="D1934" s="29"/>
      <c r="E1934" s="29"/>
      <c r="F1934" s="29"/>
      <c r="G1934" s="29"/>
      <c r="H1934" s="29"/>
      <c r="J1934" s="29"/>
      <c r="K1934" s="29"/>
      <c r="L1934" s="19"/>
      <c r="M1934" s="19"/>
      <c r="N1934" s="30"/>
      <c r="O1934" s="30"/>
      <c r="P1934" s="32"/>
      <c r="Q1934" s="32"/>
      <c r="R1934" s="32"/>
      <c r="S1934" s="32"/>
      <c r="T1934" s="32"/>
      <c r="U1934" s="30"/>
    </row>
    <row r="1935" spans="1:21">
      <c r="A1935" s="29"/>
      <c r="B1935" s="29"/>
      <c r="C1935" s="29"/>
      <c r="D1935" s="29"/>
      <c r="E1935" s="29"/>
      <c r="F1935" s="29"/>
      <c r="G1935" s="29"/>
      <c r="H1935" s="29"/>
      <c r="J1935" s="29"/>
      <c r="K1935" s="29"/>
      <c r="L1935" s="19"/>
      <c r="M1935" s="19"/>
      <c r="N1935" s="30"/>
      <c r="O1935" s="30"/>
      <c r="P1935" s="32"/>
      <c r="Q1935" s="32"/>
      <c r="R1935" s="32"/>
      <c r="S1935" s="32"/>
      <c r="T1935" s="32"/>
      <c r="U1935" s="30"/>
    </row>
    <row r="1936" spans="1:21">
      <c r="A1936" s="29"/>
      <c r="B1936" s="29"/>
      <c r="C1936" s="29"/>
      <c r="D1936" s="29"/>
      <c r="E1936" s="29"/>
      <c r="F1936" s="29"/>
      <c r="G1936" s="29"/>
      <c r="H1936" s="29"/>
      <c r="J1936" s="29"/>
      <c r="K1936" s="29"/>
      <c r="L1936" s="19"/>
      <c r="M1936" s="19"/>
      <c r="N1936" s="30"/>
      <c r="O1936" s="30"/>
      <c r="P1936" s="32"/>
      <c r="Q1936" s="32"/>
      <c r="R1936" s="32"/>
      <c r="S1936" s="32"/>
      <c r="T1936" s="32"/>
      <c r="U1936" s="30"/>
    </row>
    <row r="1937" spans="1:21">
      <c r="A1937" s="29"/>
      <c r="B1937" s="29"/>
      <c r="C1937" s="29"/>
      <c r="D1937" s="29"/>
      <c r="E1937" s="29"/>
      <c r="F1937" s="29"/>
      <c r="G1937" s="29"/>
      <c r="H1937" s="29"/>
      <c r="J1937" s="29"/>
      <c r="K1937" s="29"/>
      <c r="L1937" s="19"/>
      <c r="M1937" s="19"/>
      <c r="N1937" s="30"/>
      <c r="O1937" s="30"/>
      <c r="P1937" s="32"/>
      <c r="Q1937" s="32"/>
      <c r="R1937" s="32"/>
      <c r="S1937" s="32"/>
      <c r="T1937" s="32"/>
      <c r="U1937" s="30"/>
    </row>
    <row r="1938" spans="1:21">
      <c r="A1938" s="29"/>
      <c r="B1938" s="29"/>
      <c r="C1938" s="29"/>
      <c r="D1938" s="29"/>
      <c r="E1938" s="29"/>
      <c r="F1938" s="29"/>
      <c r="G1938" s="29"/>
      <c r="H1938" s="29"/>
      <c r="J1938" s="29"/>
      <c r="K1938" s="29"/>
      <c r="L1938" s="19"/>
      <c r="M1938" s="19"/>
      <c r="N1938" s="30"/>
      <c r="O1938" s="30"/>
      <c r="P1938" s="32"/>
      <c r="Q1938" s="32"/>
      <c r="R1938" s="32"/>
      <c r="S1938" s="32"/>
      <c r="T1938" s="32"/>
      <c r="U1938" s="30"/>
    </row>
    <row r="1939" spans="1:21">
      <c r="A1939" s="29"/>
      <c r="B1939" s="29"/>
      <c r="C1939" s="29"/>
      <c r="D1939" s="29"/>
      <c r="E1939" s="29"/>
      <c r="F1939" s="29"/>
      <c r="G1939" s="29"/>
      <c r="H1939" s="29"/>
      <c r="J1939" s="29"/>
      <c r="K1939" s="29"/>
      <c r="L1939" s="19"/>
      <c r="M1939" s="19"/>
      <c r="N1939" s="30"/>
      <c r="O1939" s="30"/>
      <c r="P1939" s="32"/>
      <c r="Q1939" s="32"/>
      <c r="R1939" s="32"/>
      <c r="S1939" s="32"/>
      <c r="T1939" s="32"/>
      <c r="U1939" s="30"/>
    </row>
    <row r="1940" spans="1:21">
      <c r="A1940" s="29"/>
      <c r="B1940" s="29"/>
      <c r="C1940" s="29"/>
      <c r="D1940" s="29"/>
      <c r="E1940" s="29"/>
      <c r="F1940" s="29"/>
      <c r="G1940" s="29"/>
      <c r="H1940" s="29"/>
      <c r="J1940" s="29"/>
      <c r="K1940" s="29"/>
      <c r="L1940" s="19"/>
      <c r="M1940" s="19"/>
      <c r="N1940" s="30"/>
      <c r="O1940" s="30"/>
      <c r="P1940" s="32"/>
      <c r="Q1940" s="32"/>
      <c r="R1940" s="32"/>
      <c r="S1940" s="32"/>
      <c r="T1940" s="32"/>
      <c r="U1940" s="30"/>
    </row>
    <row r="1941" spans="1:21">
      <c r="A1941" s="29"/>
      <c r="B1941" s="29"/>
      <c r="C1941" s="29"/>
      <c r="D1941" s="29"/>
      <c r="E1941" s="29"/>
      <c r="F1941" s="29"/>
      <c r="G1941" s="29"/>
      <c r="H1941" s="29"/>
      <c r="J1941" s="29"/>
      <c r="K1941" s="29"/>
      <c r="L1941" s="19"/>
      <c r="M1941" s="19"/>
      <c r="N1941" s="30"/>
      <c r="O1941" s="30"/>
      <c r="P1941" s="32"/>
      <c r="Q1941" s="32"/>
      <c r="R1941" s="32"/>
      <c r="S1941" s="32"/>
      <c r="T1941" s="32"/>
      <c r="U1941" s="30"/>
    </row>
    <row r="1942" spans="1:21">
      <c r="A1942" s="29"/>
      <c r="B1942" s="29"/>
      <c r="C1942" s="29"/>
      <c r="D1942" s="29"/>
      <c r="E1942" s="29"/>
      <c r="F1942" s="29"/>
      <c r="G1942" s="29"/>
      <c r="H1942" s="29"/>
      <c r="J1942" s="29"/>
      <c r="K1942" s="29"/>
      <c r="L1942" s="19"/>
      <c r="M1942" s="19"/>
      <c r="N1942" s="30"/>
      <c r="O1942" s="30"/>
      <c r="P1942" s="32"/>
      <c r="Q1942" s="32"/>
      <c r="R1942" s="32"/>
      <c r="S1942" s="32"/>
      <c r="T1942" s="32"/>
      <c r="U1942" s="30"/>
    </row>
    <row r="1943" spans="1:21">
      <c r="A1943" s="29"/>
      <c r="B1943" s="29"/>
      <c r="C1943" s="29"/>
      <c r="D1943" s="29"/>
      <c r="E1943" s="29"/>
      <c r="F1943" s="29"/>
      <c r="G1943" s="29"/>
      <c r="H1943" s="29"/>
      <c r="J1943" s="29"/>
      <c r="K1943" s="29"/>
      <c r="L1943" s="19"/>
      <c r="M1943" s="19"/>
      <c r="N1943" s="30"/>
      <c r="O1943" s="30"/>
      <c r="P1943" s="32"/>
      <c r="Q1943" s="32"/>
      <c r="R1943" s="32"/>
      <c r="S1943" s="32"/>
      <c r="T1943" s="32"/>
      <c r="U1943" s="30"/>
    </row>
    <row r="1944" spans="1:21">
      <c r="A1944" s="29"/>
      <c r="B1944" s="29"/>
      <c r="C1944" s="29"/>
      <c r="D1944" s="29"/>
      <c r="E1944" s="29"/>
      <c r="F1944" s="29"/>
      <c r="G1944" s="29"/>
      <c r="H1944" s="29"/>
      <c r="J1944" s="29"/>
      <c r="K1944" s="29"/>
      <c r="L1944" s="19"/>
      <c r="M1944" s="19"/>
      <c r="N1944" s="30"/>
      <c r="O1944" s="30"/>
      <c r="P1944" s="32"/>
      <c r="Q1944" s="32"/>
      <c r="R1944" s="32"/>
      <c r="S1944" s="32"/>
      <c r="T1944" s="32"/>
      <c r="U1944" s="30"/>
    </row>
    <row r="1945" spans="1:21">
      <c r="A1945" s="29"/>
      <c r="B1945" s="29"/>
      <c r="C1945" s="29"/>
      <c r="D1945" s="29"/>
      <c r="E1945" s="29"/>
      <c r="F1945" s="29"/>
      <c r="G1945" s="29"/>
      <c r="H1945" s="29"/>
      <c r="J1945" s="29"/>
      <c r="K1945" s="29"/>
      <c r="L1945" s="19"/>
      <c r="M1945" s="19"/>
      <c r="N1945" s="30"/>
      <c r="O1945" s="30"/>
      <c r="P1945" s="32"/>
      <c r="Q1945" s="32"/>
      <c r="R1945" s="32"/>
      <c r="S1945" s="32"/>
      <c r="T1945" s="32"/>
      <c r="U1945" s="30"/>
    </row>
    <row r="1946" spans="1:21">
      <c r="A1946" s="29"/>
      <c r="B1946" s="29"/>
      <c r="C1946" s="29"/>
      <c r="D1946" s="29"/>
      <c r="E1946" s="29"/>
      <c r="F1946" s="29"/>
      <c r="G1946" s="29"/>
      <c r="H1946" s="29"/>
      <c r="J1946" s="29"/>
      <c r="K1946" s="29"/>
      <c r="L1946" s="19"/>
      <c r="M1946" s="19"/>
      <c r="N1946" s="30"/>
      <c r="O1946" s="30"/>
      <c r="P1946" s="32"/>
      <c r="Q1946" s="32"/>
      <c r="R1946" s="32"/>
      <c r="S1946" s="32"/>
      <c r="T1946" s="32"/>
      <c r="U1946" s="30"/>
    </row>
    <row r="1947" spans="1:21">
      <c r="A1947" s="29"/>
      <c r="B1947" s="29"/>
      <c r="C1947" s="29"/>
      <c r="D1947" s="29"/>
      <c r="E1947" s="29"/>
      <c r="F1947" s="29"/>
      <c r="G1947" s="29"/>
      <c r="H1947" s="29"/>
      <c r="J1947" s="29"/>
      <c r="K1947" s="29"/>
      <c r="L1947" s="19"/>
      <c r="M1947" s="19"/>
      <c r="N1947" s="30"/>
      <c r="O1947" s="30"/>
      <c r="P1947" s="32"/>
      <c r="Q1947" s="32"/>
      <c r="R1947" s="32"/>
      <c r="S1947" s="32"/>
      <c r="T1947" s="32"/>
      <c r="U1947" s="30"/>
    </row>
    <row r="1948" spans="1:21">
      <c r="A1948" s="29"/>
      <c r="B1948" s="29"/>
      <c r="C1948" s="29"/>
      <c r="D1948" s="29"/>
      <c r="E1948" s="29"/>
      <c r="F1948" s="29"/>
      <c r="G1948" s="29"/>
      <c r="H1948" s="29"/>
      <c r="J1948" s="29"/>
      <c r="K1948" s="29"/>
      <c r="L1948" s="19"/>
      <c r="M1948" s="19"/>
      <c r="N1948" s="30"/>
      <c r="O1948" s="30"/>
      <c r="P1948" s="32"/>
      <c r="Q1948" s="32"/>
      <c r="R1948" s="32"/>
      <c r="S1948" s="32"/>
      <c r="T1948" s="32"/>
      <c r="U1948" s="30"/>
    </row>
    <row r="1949" spans="1:21">
      <c r="A1949" s="29"/>
      <c r="B1949" s="29"/>
      <c r="C1949" s="29"/>
      <c r="D1949" s="29"/>
      <c r="E1949" s="29"/>
      <c r="F1949" s="29"/>
      <c r="G1949" s="29"/>
      <c r="H1949" s="29"/>
      <c r="J1949" s="29"/>
      <c r="K1949" s="29"/>
      <c r="L1949" s="19"/>
      <c r="M1949" s="19"/>
      <c r="N1949" s="30"/>
      <c r="O1949" s="30"/>
      <c r="P1949" s="32"/>
      <c r="Q1949" s="32"/>
      <c r="R1949" s="32"/>
      <c r="S1949" s="32"/>
      <c r="T1949" s="32"/>
      <c r="U1949" s="30"/>
    </row>
    <row r="1950" spans="1:21">
      <c r="A1950" s="29"/>
      <c r="B1950" s="29"/>
      <c r="C1950" s="29"/>
      <c r="D1950" s="29"/>
      <c r="E1950" s="29"/>
      <c r="F1950" s="29"/>
      <c r="G1950" s="29"/>
      <c r="H1950" s="29"/>
      <c r="J1950" s="29"/>
      <c r="K1950" s="29"/>
      <c r="L1950" s="19"/>
      <c r="M1950" s="19"/>
      <c r="N1950" s="30"/>
      <c r="O1950" s="30"/>
      <c r="P1950" s="32"/>
      <c r="Q1950" s="32"/>
      <c r="R1950" s="32"/>
      <c r="S1950" s="32"/>
      <c r="T1950" s="32"/>
      <c r="U1950" s="30"/>
    </row>
    <row r="1951" spans="1:21">
      <c r="A1951" s="29"/>
      <c r="B1951" s="29"/>
      <c r="C1951" s="29"/>
      <c r="D1951" s="29"/>
      <c r="E1951" s="29"/>
      <c r="F1951" s="29"/>
      <c r="G1951" s="29"/>
      <c r="H1951" s="29"/>
      <c r="J1951" s="29"/>
      <c r="K1951" s="29"/>
      <c r="L1951" s="19"/>
      <c r="M1951" s="19"/>
      <c r="N1951" s="30"/>
      <c r="O1951" s="30"/>
      <c r="P1951" s="32"/>
      <c r="Q1951" s="32"/>
      <c r="R1951" s="32"/>
      <c r="S1951" s="32"/>
      <c r="T1951" s="32"/>
      <c r="U1951" s="30"/>
    </row>
    <row r="1952" spans="1:21">
      <c r="A1952" s="29"/>
      <c r="B1952" s="29"/>
      <c r="C1952" s="29"/>
      <c r="D1952" s="29"/>
      <c r="E1952" s="29"/>
      <c r="F1952" s="29"/>
      <c r="G1952" s="29"/>
      <c r="H1952" s="29"/>
      <c r="J1952" s="29"/>
      <c r="K1952" s="29"/>
      <c r="L1952" s="19"/>
      <c r="M1952" s="19"/>
      <c r="N1952" s="30"/>
      <c r="O1952" s="30"/>
      <c r="P1952" s="32"/>
      <c r="Q1952" s="32"/>
      <c r="R1952" s="32"/>
      <c r="S1952" s="32"/>
      <c r="T1952" s="32"/>
      <c r="U1952" s="30"/>
    </row>
    <row r="1953" spans="1:21">
      <c r="A1953" s="29"/>
      <c r="B1953" s="29"/>
      <c r="C1953" s="29"/>
      <c r="D1953" s="29"/>
      <c r="E1953" s="29"/>
      <c r="F1953" s="29"/>
      <c r="G1953" s="29"/>
      <c r="H1953" s="29"/>
      <c r="J1953" s="29"/>
      <c r="K1953" s="29"/>
      <c r="L1953" s="19"/>
      <c r="M1953" s="19"/>
      <c r="N1953" s="30"/>
      <c r="O1953" s="30"/>
      <c r="P1953" s="32"/>
      <c r="Q1953" s="32"/>
      <c r="R1953" s="32"/>
      <c r="S1953" s="32"/>
      <c r="T1953" s="32"/>
      <c r="U1953" s="30"/>
    </row>
    <row r="1954" spans="1:21">
      <c r="A1954" s="29"/>
      <c r="B1954" s="29"/>
      <c r="C1954" s="29"/>
      <c r="D1954" s="29"/>
      <c r="E1954" s="29"/>
      <c r="F1954" s="29"/>
      <c r="G1954" s="29"/>
      <c r="H1954" s="29"/>
      <c r="J1954" s="29"/>
      <c r="K1954" s="29"/>
      <c r="L1954" s="19"/>
      <c r="M1954" s="19"/>
      <c r="N1954" s="30"/>
      <c r="O1954" s="30"/>
      <c r="P1954" s="32"/>
      <c r="Q1954" s="32"/>
      <c r="R1954" s="32"/>
      <c r="S1954" s="32"/>
      <c r="T1954" s="32"/>
      <c r="U1954" s="30"/>
    </row>
    <row r="1955" spans="1:21">
      <c r="A1955" s="29"/>
      <c r="B1955" s="29"/>
      <c r="C1955" s="29"/>
      <c r="D1955" s="29"/>
      <c r="E1955" s="29"/>
      <c r="F1955" s="29"/>
      <c r="G1955" s="29"/>
      <c r="H1955" s="29"/>
      <c r="J1955" s="29"/>
      <c r="K1955" s="29"/>
      <c r="L1955" s="19"/>
      <c r="M1955" s="19"/>
      <c r="N1955" s="30"/>
      <c r="O1955" s="30"/>
      <c r="P1955" s="32"/>
      <c r="Q1955" s="32"/>
      <c r="R1955" s="32"/>
      <c r="S1955" s="32"/>
      <c r="T1955" s="32"/>
      <c r="U1955" s="30"/>
    </row>
    <row r="1956" spans="1:21">
      <c r="A1956" s="29"/>
      <c r="B1956" s="29"/>
      <c r="C1956" s="29"/>
      <c r="D1956" s="29"/>
      <c r="E1956" s="29"/>
      <c r="F1956" s="29"/>
      <c r="G1956" s="29"/>
      <c r="H1956" s="29"/>
      <c r="J1956" s="29"/>
      <c r="K1956" s="29"/>
      <c r="L1956" s="19"/>
      <c r="M1956" s="19"/>
      <c r="N1956" s="30"/>
      <c r="O1956" s="30"/>
      <c r="P1956" s="32"/>
      <c r="Q1956" s="32"/>
      <c r="R1956" s="32"/>
      <c r="S1956" s="32"/>
      <c r="T1956" s="32"/>
      <c r="U1956" s="30"/>
    </row>
    <row r="1957" spans="1:21">
      <c r="A1957" s="29"/>
      <c r="B1957" s="29"/>
      <c r="C1957" s="29"/>
      <c r="D1957" s="29"/>
      <c r="E1957" s="29"/>
      <c r="F1957" s="29"/>
      <c r="G1957" s="29"/>
      <c r="H1957" s="29"/>
      <c r="J1957" s="29"/>
      <c r="K1957" s="29"/>
      <c r="L1957" s="19"/>
      <c r="M1957" s="19"/>
      <c r="N1957" s="30"/>
      <c r="O1957" s="30"/>
      <c r="P1957" s="32"/>
      <c r="Q1957" s="32"/>
      <c r="R1957" s="32"/>
      <c r="S1957" s="32"/>
      <c r="T1957" s="32"/>
      <c r="U1957" s="30"/>
    </row>
    <row r="1958" spans="1:21">
      <c r="A1958" s="29"/>
      <c r="B1958" s="29"/>
      <c r="C1958" s="29"/>
      <c r="D1958" s="29"/>
      <c r="E1958" s="29"/>
      <c r="F1958" s="29"/>
      <c r="G1958" s="29"/>
      <c r="H1958" s="29"/>
      <c r="J1958" s="29"/>
      <c r="K1958" s="29"/>
      <c r="L1958" s="19"/>
      <c r="M1958" s="19"/>
      <c r="N1958" s="30"/>
      <c r="O1958" s="30"/>
      <c r="P1958" s="32"/>
      <c r="Q1958" s="32"/>
      <c r="R1958" s="32"/>
      <c r="S1958" s="32"/>
      <c r="T1958" s="32"/>
      <c r="U1958" s="30"/>
    </row>
    <row r="1959" spans="1:21">
      <c r="A1959" s="29"/>
      <c r="B1959" s="29"/>
      <c r="C1959" s="29"/>
      <c r="D1959" s="29"/>
      <c r="E1959" s="29"/>
      <c r="F1959" s="29"/>
      <c r="G1959" s="29"/>
      <c r="H1959" s="29"/>
      <c r="J1959" s="29"/>
      <c r="K1959" s="29"/>
      <c r="L1959" s="19"/>
      <c r="M1959" s="19"/>
      <c r="N1959" s="30"/>
      <c r="O1959" s="30"/>
      <c r="P1959" s="32"/>
      <c r="Q1959" s="32"/>
      <c r="R1959" s="32"/>
      <c r="S1959" s="32"/>
      <c r="T1959" s="32"/>
      <c r="U1959" s="30"/>
    </row>
    <row r="1960" spans="1:21">
      <c r="A1960" s="29"/>
      <c r="B1960" s="29"/>
      <c r="C1960" s="29"/>
      <c r="D1960" s="29"/>
      <c r="E1960" s="29"/>
      <c r="F1960" s="29"/>
      <c r="G1960" s="29"/>
      <c r="H1960" s="29"/>
      <c r="J1960" s="29"/>
      <c r="K1960" s="29"/>
      <c r="L1960" s="19"/>
      <c r="M1960" s="19"/>
      <c r="N1960" s="30"/>
      <c r="O1960" s="30"/>
      <c r="P1960" s="32"/>
      <c r="Q1960" s="32"/>
      <c r="R1960" s="32"/>
      <c r="S1960" s="32"/>
      <c r="T1960" s="32"/>
      <c r="U1960" s="30"/>
    </row>
    <row r="1961" spans="1:21">
      <c r="A1961" s="29"/>
      <c r="B1961" s="29"/>
      <c r="C1961" s="29"/>
      <c r="D1961" s="29"/>
      <c r="E1961" s="29"/>
      <c r="F1961" s="29"/>
      <c r="G1961" s="29"/>
      <c r="H1961" s="29"/>
      <c r="J1961" s="29"/>
      <c r="K1961" s="29"/>
      <c r="L1961" s="19"/>
      <c r="M1961" s="19"/>
      <c r="N1961" s="30"/>
      <c r="O1961" s="30"/>
      <c r="P1961" s="32"/>
      <c r="Q1961" s="32"/>
      <c r="R1961" s="32"/>
      <c r="S1961" s="32"/>
      <c r="T1961" s="32"/>
      <c r="U1961" s="30"/>
    </row>
    <row r="1962" spans="1:21">
      <c r="A1962" s="29"/>
      <c r="B1962" s="29"/>
      <c r="C1962" s="29"/>
      <c r="D1962" s="29"/>
      <c r="E1962" s="29"/>
      <c r="F1962" s="29"/>
      <c r="G1962" s="29"/>
      <c r="H1962" s="29"/>
      <c r="J1962" s="29"/>
      <c r="K1962" s="29"/>
      <c r="L1962" s="19"/>
      <c r="M1962" s="19"/>
      <c r="N1962" s="30"/>
      <c r="O1962" s="30"/>
      <c r="P1962" s="32"/>
      <c r="Q1962" s="32"/>
      <c r="R1962" s="32"/>
      <c r="S1962" s="32"/>
      <c r="T1962" s="32"/>
      <c r="U1962" s="30"/>
    </row>
    <row r="1963" spans="1:21">
      <c r="A1963" s="29"/>
      <c r="B1963" s="29"/>
      <c r="C1963" s="29"/>
      <c r="D1963" s="29"/>
      <c r="E1963" s="29"/>
      <c r="F1963" s="29"/>
      <c r="G1963" s="29"/>
      <c r="H1963" s="29"/>
      <c r="J1963" s="29"/>
      <c r="K1963" s="29"/>
      <c r="L1963" s="19"/>
      <c r="M1963" s="19"/>
      <c r="N1963" s="30"/>
      <c r="O1963" s="30"/>
      <c r="P1963" s="32"/>
      <c r="Q1963" s="32"/>
      <c r="R1963" s="32"/>
      <c r="S1963" s="32"/>
      <c r="T1963" s="32"/>
      <c r="U1963" s="30"/>
    </row>
    <row r="1964" spans="1:21">
      <c r="A1964" s="29"/>
      <c r="B1964" s="29"/>
      <c r="C1964" s="29"/>
      <c r="D1964" s="29"/>
      <c r="E1964" s="29"/>
      <c r="F1964" s="29"/>
      <c r="G1964" s="29"/>
      <c r="H1964" s="29"/>
      <c r="J1964" s="29"/>
      <c r="K1964" s="29"/>
      <c r="L1964" s="19"/>
      <c r="M1964" s="19"/>
      <c r="N1964" s="30"/>
      <c r="O1964" s="30"/>
      <c r="P1964" s="32"/>
      <c r="Q1964" s="32"/>
      <c r="R1964" s="32"/>
      <c r="S1964" s="32"/>
      <c r="T1964" s="32"/>
      <c r="U1964" s="30"/>
    </row>
    <row r="1965" spans="1:21">
      <c r="A1965" s="29"/>
      <c r="B1965" s="29"/>
      <c r="C1965" s="29"/>
      <c r="D1965" s="29"/>
      <c r="E1965" s="29"/>
      <c r="F1965" s="29"/>
      <c r="G1965" s="29"/>
      <c r="H1965" s="29"/>
      <c r="J1965" s="29"/>
      <c r="K1965" s="29"/>
      <c r="L1965" s="19"/>
      <c r="M1965" s="19"/>
      <c r="N1965" s="30"/>
      <c r="O1965" s="30"/>
      <c r="P1965" s="32"/>
      <c r="Q1965" s="32"/>
      <c r="R1965" s="32"/>
      <c r="S1965" s="32"/>
      <c r="T1965" s="32"/>
      <c r="U1965" s="30"/>
    </row>
    <row r="1966" spans="1:21">
      <c r="A1966" s="29"/>
      <c r="B1966" s="29"/>
      <c r="C1966" s="29"/>
      <c r="D1966" s="29"/>
      <c r="E1966" s="29"/>
      <c r="F1966" s="29"/>
      <c r="G1966" s="29"/>
      <c r="H1966" s="29"/>
      <c r="J1966" s="29"/>
      <c r="K1966" s="29"/>
      <c r="L1966" s="19"/>
      <c r="M1966" s="19"/>
      <c r="N1966" s="30"/>
      <c r="O1966" s="30"/>
      <c r="P1966" s="32"/>
      <c r="Q1966" s="32"/>
      <c r="R1966" s="32"/>
      <c r="S1966" s="32"/>
      <c r="T1966" s="32"/>
      <c r="U1966" s="30"/>
    </row>
    <row r="1967" spans="1:21">
      <c r="A1967" s="29"/>
      <c r="B1967" s="29"/>
      <c r="C1967" s="29"/>
      <c r="D1967" s="29"/>
      <c r="E1967" s="29"/>
      <c r="F1967" s="29"/>
      <c r="G1967" s="29"/>
      <c r="H1967" s="29"/>
      <c r="J1967" s="29"/>
      <c r="K1967" s="29"/>
      <c r="L1967" s="19"/>
      <c r="M1967" s="19"/>
      <c r="N1967" s="30"/>
      <c r="O1967" s="30"/>
      <c r="P1967" s="32"/>
      <c r="Q1967" s="32"/>
      <c r="R1967" s="32"/>
      <c r="S1967" s="32"/>
      <c r="T1967" s="32"/>
      <c r="U1967" s="30"/>
    </row>
    <row r="1968" spans="1:21">
      <c r="A1968" s="29"/>
      <c r="B1968" s="29"/>
      <c r="C1968" s="29"/>
      <c r="D1968" s="29"/>
      <c r="E1968" s="29"/>
      <c r="F1968" s="29"/>
      <c r="G1968" s="29"/>
      <c r="H1968" s="29"/>
      <c r="J1968" s="29"/>
      <c r="K1968" s="29"/>
      <c r="L1968" s="19"/>
      <c r="M1968" s="19"/>
      <c r="N1968" s="30"/>
      <c r="O1968" s="30"/>
      <c r="P1968" s="32"/>
      <c r="Q1968" s="32"/>
      <c r="R1968" s="32"/>
      <c r="S1968" s="32"/>
      <c r="T1968" s="32"/>
      <c r="U1968" s="30"/>
    </row>
    <row r="1969" spans="1:21">
      <c r="A1969" s="29"/>
      <c r="B1969" s="29"/>
      <c r="C1969" s="29"/>
      <c r="D1969" s="29"/>
      <c r="E1969" s="29"/>
      <c r="F1969" s="29"/>
      <c r="G1969" s="29"/>
      <c r="H1969" s="29"/>
      <c r="J1969" s="29"/>
      <c r="K1969" s="29"/>
      <c r="L1969" s="19"/>
      <c r="M1969" s="19"/>
      <c r="N1969" s="30"/>
      <c r="O1969" s="30"/>
      <c r="P1969" s="32"/>
      <c r="Q1969" s="32"/>
      <c r="R1969" s="32"/>
      <c r="S1969" s="32"/>
      <c r="T1969" s="32"/>
      <c r="U1969" s="30"/>
    </row>
    <row r="1970" spans="1:21">
      <c r="A1970" s="29"/>
      <c r="B1970" s="29"/>
      <c r="C1970" s="29"/>
      <c r="D1970" s="29"/>
      <c r="E1970" s="29"/>
      <c r="F1970" s="29"/>
      <c r="G1970" s="29"/>
      <c r="H1970" s="29"/>
      <c r="J1970" s="29"/>
      <c r="K1970" s="29"/>
      <c r="L1970" s="19"/>
      <c r="M1970" s="19"/>
      <c r="N1970" s="30"/>
      <c r="O1970" s="30"/>
      <c r="P1970" s="32"/>
      <c r="Q1970" s="32"/>
      <c r="R1970" s="32"/>
      <c r="S1970" s="32"/>
      <c r="T1970" s="32"/>
      <c r="U1970" s="30"/>
    </row>
    <row r="1971" spans="1:21">
      <c r="A1971" s="29"/>
      <c r="B1971" s="29"/>
      <c r="C1971" s="29"/>
      <c r="D1971" s="29"/>
      <c r="E1971" s="29"/>
      <c r="F1971" s="29"/>
      <c r="G1971" s="29"/>
      <c r="H1971" s="29"/>
      <c r="J1971" s="29"/>
      <c r="K1971" s="29"/>
      <c r="L1971" s="19"/>
      <c r="M1971" s="19"/>
      <c r="N1971" s="30"/>
      <c r="O1971" s="30"/>
      <c r="P1971" s="32"/>
      <c r="Q1971" s="32"/>
      <c r="R1971" s="32"/>
      <c r="S1971" s="32"/>
      <c r="T1971" s="32"/>
      <c r="U1971" s="30"/>
    </row>
    <row r="1972" spans="1:21">
      <c r="A1972" s="29"/>
      <c r="B1972" s="29"/>
      <c r="C1972" s="29"/>
      <c r="D1972" s="29"/>
      <c r="E1972" s="29"/>
      <c r="F1972" s="29"/>
      <c r="G1972" s="29"/>
      <c r="H1972" s="29"/>
      <c r="J1972" s="29"/>
      <c r="K1972" s="29"/>
      <c r="L1972" s="19"/>
      <c r="M1972" s="19"/>
      <c r="N1972" s="30"/>
      <c r="O1972" s="30"/>
      <c r="P1972" s="32"/>
      <c r="Q1972" s="32"/>
      <c r="R1972" s="32"/>
      <c r="S1972" s="32"/>
      <c r="T1972" s="32"/>
      <c r="U1972" s="30"/>
    </row>
    <row r="1973" spans="1:21">
      <c r="A1973" s="29"/>
      <c r="B1973" s="29"/>
      <c r="C1973" s="29"/>
      <c r="D1973" s="29"/>
      <c r="E1973" s="29"/>
      <c r="F1973" s="29"/>
      <c r="G1973" s="29"/>
      <c r="H1973" s="29"/>
      <c r="J1973" s="29"/>
      <c r="K1973" s="29"/>
      <c r="L1973" s="19"/>
      <c r="M1973" s="19"/>
      <c r="N1973" s="30"/>
      <c r="O1973" s="30"/>
      <c r="P1973" s="32"/>
      <c r="Q1973" s="32"/>
      <c r="R1973" s="32"/>
      <c r="S1973" s="32"/>
      <c r="T1973" s="32"/>
      <c r="U1973" s="30"/>
    </row>
    <row r="1974" spans="1:21">
      <c r="A1974" s="29"/>
      <c r="B1974" s="29"/>
      <c r="C1974" s="29"/>
      <c r="D1974" s="29"/>
      <c r="E1974" s="29"/>
      <c r="F1974" s="29"/>
      <c r="G1974" s="29"/>
      <c r="H1974" s="29"/>
      <c r="J1974" s="29"/>
      <c r="K1974" s="29"/>
      <c r="L1974" s="19"/>
      <c r="M1974" s="19"/>
      <c r="N1974" s="30"/>
      <c r="O1974" s="30"/>
      <c r="P1974" s="32"/>
      <c r="Q1974" s="32"/>
      <c r="R1974" s="32"/>
      <c r="S1974" s="32"/>
      <c r="T1974" s="32"/>
      <c r="U1974" s="30"/>
    </row>
    <row r="1975" spans="1:21">
      <c r="A1975" s="29"/>
      <c r="B1975" s="29"/>
      <c r="C1975" s="29"/>
      <c r="D1975" s="29"/>
      <c r="E1975" s="29"/>
      <c r="F1975" s="29"/>
      <c r="G1975" s="29"/>
      <c r="H1975" s="29"/>
      <c r="J1975" s="29"/>
      <c r="K1975" s="29"/>
      <c r="L1975" s="19"/>
      <c r="M1975" s="19"/>
      <c r="N1975" s="30"/>
      <c r="O1975" s="30"/>
      <c r="P1975" s="32"/>
      <c r="Q1975" s="32"/>
      <c r="R1975" s="32"/>
      <c r="S1975" s="32"/>
      <c r="T1975" s="32"/>
      <c r="U1975" s="30"/>
    </row>
    <row r="1976" spans="1:21">
      <c r="A1976" s="29"/>
      <c r="B1976" s="29"/>
      <c r="C1976" s="29"/>
      <c r="D1976" s="29"/>
      <c r="E1976" s="29"/>
      <c r="F1976" s="29"/>
      <c r="G1976" s="29"/>
      <c r="H1976" s="29"/>
      <c r="J1976" s="29"/>
      <c r="K1976" s="29"/>
      <c r="L1976" s="19"/>
      <c r="M1976" s="19"/>
      <c r="N1976" s="30"/>
      <c r="O1976" s="30"/>
      <c r="P1976" s="32"/>
      <c r="Q1976" s="32"/>
      <c r="R1976" s="32"/>
      <c r="S1976" s="32"/>
      <c r="T1976" s="32"/>
      <c r="U1976" s="30"/>
    </row>
    <row r="1977" spans="1:21">
      <c r="A1977" s="29"/>
      <c r="B1977" s="29"/>
      <c r="C1977" s="29"/>
      <c r="D1977" s="29"/>
      <c r="E1977" s="29"/>
      <c r="F1977" s="29"/>
      <c r="G1977" s="29"/>
      <c r="H1977" s="29"/>
      <c r="J1977" s="29"/>
      <c r="K1977" s="29"/>
      <c r="L1977" s="19"/>
      <c r="M1977" s="19"/>
      <c r="N1977" s="30"/>
      <c r="O1977" s="30"/>
      <c r="P1977" s="32"/>
      <c r="Q1977" s="32"/>
      <c r="R1977" s="32"/>
      <c r="S1977" s="32"/>
      <c r="T1977" s="32"/>
      <c r="U1977" s="30"/>
    </row>
    <row r="1978" spans="1:21">
      <c r="A1978" s="29"/>
      <c r="B1978" s="29"/>
      <c r="C1978" s="29"/>
      <c r="D1978" s="29"/>
      <c r="E1978" s="29"/>
      <c r="F1978" s="29"/>
      <c r="G1978" s="29"/>
      <c r="H1978" s="29"/>
      <c r="J1978" s="29"/>
      <c r="K1978" s="29"/>
      <c r="L1978" s="19"/>
      <c r="M1978" s="19"/>
      <c r="N1978" s="30"/>
      <c r="O1978" s="30"/>
      <c r="P1978" s="32"/>
      <c r="Q1978" s="32"/>
      <c r="R1978" s="32"/>
      <c r="S1978" s="32"/>
      <c r="T1978" s="32"/>
      <c r="U1978" s="30"/>
    </row>
    <row r="1979" spans="1:21">
      <c r="A1979" s="29"/>
      <c r="B1979" s="29"/>
      <c r="C1979" s="29"/>
      <c r="D1979" s="29"/>
      <c r="E1979" s="29"/>
      <c r="F1979" s="29"/>
      <c r="G1979" s="29"/>
      <c r="H1979" s="29"/>
      <c r="J1979" s="29"/>
      <c r="K1979" s="29"/>
      <c r="L1979" s="19"/>
      <c r="M1979" s="19"/>
      <c r="N1979" s="30"/>
      <c r="O1979" s="30"/>
      <c r="P1979" s="32"/>
      <c r="Q1979" s="32"/>
      <c r="R1979" s="32"/>
      <c r="S1979" s="32"/>
      <c r="T1979" s="32"/>
      <c r="U1979" s="30"/>
    </row>
    <row r="1980" spans="1:21">
      <c r="A1980" s="29"/>
      <c r="B1980" s="29"/>
      <c r="C1980" s="29"/>
      <c r="D1980" s="29"/>
      <c r="E1980" s="29"/>
      <c r="F1980" s="29"/>
      <c r="G1980" s="29"/>
      <c r="H1980" s="29"/>
      <c r="J1980" s="29"/>
      <c r="K1980" s="29"/>
      <c r="L1980" s="19"/>
      <c r="M1980" s="19"/>
      <c r="N1980" s="30"/>
      <c r="O1980" s="30"/>
      <c r="P1980" s="32"/>
      <c r="Q1980" s="32"/>
      <c r="R1980" s="32"/>
      <c r="S1980" s="32"/>
      <c r="T1980" s="32"/>
      <c r="U1980" s="30"/>
    </row>
    <row r="1981" spans="1:21">
      <c r="A1981" s="29"/>
      <c r="B1981" s="29"/>
      <c r="C1981" s="29"/>
      <c r="D1981" s="29"/>
      <c r="E1981" s="29"/>
      <c r="F1981" s="29"/>
      <c r="G1981" s="29"/>
      <c r="H1981" s="29"/>
      <c r="J1981" s="29"/>
      <c r="K1981" s="29"/>
      <c r="L1981" s="19"/>
      <c r="M1981" s="19"/>
      <c r="N1981" s="30"/>
      <c r="O1981" s="30"/>
      <c r="P1981" s="32"/>
      <c r="Q1981" s="32"/>
      <c r="R1981" s="32"/>
      <c r="S1981" s="32"/>
      <c r="T1981" s="32"/>
      <c r="U1981" s="30"/>
    </row>
    <row r="1982" spans="1:21">
      <c r="A1982" s="29"/>
      <c r="B1982" s="29"/>
      <c r="C1982" s="29"/>
      <c r="D1982" s="29"/>
      <c r="E1982" s="29"/>
      <c r="F1982" s="29"/>
      <c r="G1982" s="29"/>
      <c r="H1982" s="29"/>
      <c r="J1982" s="29"/>
      <c r="K1982" s="29"/>
      <c r="L1982" s="19"/>
      <c r="M1982" s="19"/>
      <c r="N1982" s="30"/>
      <c r="O1982" s="30"/>
      <c r="P1982" s="32"/>
      <c r="Q1982" s="32"/>
      <c r="R1982" s="32"/>
      <c r="S1982" s="32"/>
      <c r="T1982" s="32"/>
      <c r="U1982" s="30"/>
    </row>
    <row r="1983" spans="1:21">
      <c r="A1983" s="29"/>
      <c r="B1983" s="29"/>
      <c r="C1983" s="29"/>
      <c r="D1983" s="29"/>
      <c r="E1983" s="29"/>
      <c r="F1983" s="29"/>
      <c r="G1983" s="29"/>
      <c r="H1983" s="29"/>
      <c r="J1983" s="29"/>
      <c r="K1983" s="29"/>
      <c r="L1983" s="19"/>
      <c r="M1983" s="19"/>
      <c r="N1983" s="30"/>
      <c r="O1983" s="30"/>
      <c r="P1983" s="32"/>
      <c r="Q1983" s="32"/>
      <c r="R1983" s="32"/>
      <c r="S1983" s="32"/>
      <c r="T1983" s="32"/>
      <c r="U1983" s="30"/>
    </row>
    <row r="1984" spans="1:21">
      <c r="A1984" s="29"/>
      <c r="B1984" s="29"/>
      <c r="C1984" s="29"/>
      <c r="D1984" s="29"/>
      <c r="E1984" s="29"/>
      <c r="F1984" s="29"/>
      <c r="G1984" s="29"/>
      <c r="H1984" s="29"/>
      <c r="J1984" s="29"/>
      <c r="K1984" s="29"/>
      <c r="L1984" s="19"/>
      <c r="M1984" s="19"/>
      <c r="N1984" s="30"/>
      <c r="O1984" s="30"/>
      <c r="P1984" s="32"/>
      <c r="Q1984" s="32"/>
      <c r="R1984" s="32"/>
      <c r="S1984" s="32"/>
      <c r="T1984" s="32"/>
      <c r="U1984" s="30"/>
    </row>
    <row r="1985" spans="1:21">
      <c r="A1985" s="29"/>
      <c r="B1985" s="29"/>
      <c r="C1985" s="29"/>
      <c r="D1985" s="29"/>
      <c r="E1985" s="29"/>
      <c r="F1985" s="29"/>
      <c r="G1985" s="29"/>
      <c r="H1985" s="29"/>
      <c r="J1985" s="29"/>
      <c r="K1985" s="29"/>
      <c r="L1985" s="19"/>
      <c r="M1985" s="19"/>
      <c r="N1985" s="30"/>
      <c r="O1985" s="30"/>
      <c r="P1985" s="32"/>
      <c r="Q1985" s="32"/>
      <c r="R1985" s="32"/>
      <c r="S1985" s="32"/>
      <c r="T1985" s="32"/>
      <c r="U1985" s="30"/>
    </row>
    <row r="1986" spans="1:21">
      <c r="A1986" s="29"/>
      <c r="B1986" s="29"/>
      <c r="C1986" s="29"/>
      <c r="D1986" s="29"/>
      <c r="E1986" s="29"/>
      <c r="F1986" s="29"/>
      <c r="G1986" s="29"/>
      <c r="H1986" s="29"/>
      <c r="J1986" s="29"/>
      <c r="K1986" s="29"/>
      <c r="L1986" s="19"/>
      <c r="M1986" s="19"/>
      <c r="N1986" s="30"/>
      <c r="O1986" s="30"/>
      <c r="P1986" s="32"/>
      <c r="Q1986" s="32"/>
      <c r="R1986" s="32"/>
      <c r="S1986" s="32"/>
      <c r="T1986" s="32"/>
      <c r="U1986" s="30"/>
    </row>
    <row r="1987" spans="1:21">
      <c r="A1987" s="29"/>
      <c r="B1987" s="29"/>
      <c r="C1987" s="29"/>
      <c r="D1987" s="29"/>
      <c r="E1987" s="29"/>
      <c r="F1987" s="29"/>
      <c r="G1987" s="29"/>
      <c r="H1987" s="29"/>
      <c r="J1987" s="29"/>
      <c r="K1987" s="29"/>
      <c r="L1987" s="19"/>
      <c r="M1987" s="19"/>
      <c r="N1987" s="30"/>
      <c r="O1987" s="30"/>
      <c r="P1987" s="32"/>
      <c r="Q1987" s="32"/>
      <c r="R1987" s="32"/>
      <c r="S1987" s="32"/>
      <c r="T1987" s="32"/>
      <c r="U1987" s="30"/>
    </row>
    <row r="1988" spans="1:21">
      <c r="A1988" s="29"/>
      <c r="B1988" s="29"/>
      <c r="C1988" s="29"/>
      <c r="D1988" s="29"/>
      <c r="E1988" s="29"/>
      <c r="F1988" s="29"/>
      <c r="G1988" s="29"/>
      <c r="H1988" s="29"/>
      <c r="J1988" s="29"/>
      <c r="K1988" s="29"/>
      <c r="L1988" s="19"/>
      <c r="M1988" s="19"/>
      <c r="N1988" s="30"/>
      <c r="O1988" s="30"/>
      <c r="P1988" s="32"/>
      <c r="Q1988" s="32"/>
      <c r="R1988" s="32"/>
      <c r="S1988" s="32"/>
      <c r="T1988" s="32"/>
      <c r="U1988" s="30"/>
    </row>
    <row r="1989" spans="1:21">
      <c r="A1989" s="29"/>
      <c r="B1989" s="29"/>
      <c r="C1989" s="29"/>
      <c r="D1989" s="29"/>
      <c r="E1989" s="29"/>
      <c r="F1989" s="29"/>
      <c r="G1989" s="29"/>
      <c r="H1989" s="29"/>
      <c r="J1989" s="29"/>
      <c r="K1989" s="29"/>
      <c r="L1989" s="19"/>
      <c r="M1989" s="19"/>
      <c r="N1989" s="30"/>
      <c r="O1989" s="30"/>
      <c r="P1989" s="32"/>
      <c r="Q1989" s="32"/>
      <c r="R1989" s="32"/>
      <c r="S1989" s="32"/>
      <c r="T1989" s="32"/>
      <c r="U1989" s="30"/>
    </row>
    <row r="1990" spans="1:21">
      <c r="A1990" s="29"/>
      <c r="B1990" s="29"/>
      <c r="C1990" s="29"/>
      <c r="D1990" s="29"/>
      <c r="E1990" s="29"/>
      <c r="F1990" s="29"/>
      <c r="G1990" s="29"/>
      <c r="H1990" s="29"/>
      <c r="J1990" s="29"/>
      <c r="K1990" s="29"/>
      <c r="L1990" s="19"/>
      <c r="M1990" s="19"/>
      <c r="N1990" s="30"/>
      <c r="O1990" s="30"/>
      <c r="P1990" s="32"/>
      <c r="Q1990" s="32"/>
      <c r="R1990" s="32"/>
      <c r="S1990" s="32"/>
      <c r="T1990" s="32"/>
      <c r="U1990" s="30"/>
    </row>
    <row r="1991" spans="1:21">
      <c r="A1991" s="29"/>
      <c r="B1991" s="29"/>
      <c r="C1991" s="29"/>
      <c r="D1991" s="29"/>
      <c r="E1991" s="29"/>
      <c r="F1991" s="29"/>
      <c r="G1991" s="29"/>
      <c r="H1991" s="29"/>
      <c r="J1991" s="29"/>
      <c r="K1991" s="29"/>
      <c r="L1991" s="19"/>
      <c r="M1991" s="19"/>
      <c r="N1991" s="30"/>
      <c r="O1991" s="30"/>
      <c r="P1991" s="32"/>
      <c r="Q1991" s="32"/>
      <c r="R1991" s="32"/>
      <c r="S1991" s="32"/>
      <c r="T1991" s="32"/>
      <c r="U1991" s="30"/>
    </row>
    <row r="1992" spans="1:21">
      <c r="A1992" s="29"/>
      <c r="B1992" s="29"/>
      <c r="C1992" s="29"/>
      <c r="D1992" s="29"/>
      <c r="E1992" s="29"/>
      <c r="F1992" s="29"/>
      <c r="G1992" s="29"/>
      <c r="H1992" s="29"/>
      <c r="J1992" s="29"/>
      <c r="K1992" s="29"/>
      <c r="L1992" s="19"/>
      <c r="M1992" s="19"/>
      <c r="N1992" s="30"/>
      <c r="O1992" s="30"/>
      <c r="P1992" s="32"/>
      <c r="Q1992" s="32"/>
      <c r="R1992" s="32"/>
      <c r="S1992" s="32"/>
      <c r="T1992" s="32"/>
      <c r="U1992" s="30"/>
    </row>
    <row r="1993" spans="1:21">
      <c r="A1993" s="29"/>
      <c r="B1993" s="29"/>
      <c r="C1993" s="29"/>
      <c r="D1993" s="29"/>
      <c r="E1993" s="29"/>
      <c r="F1993" s="29"/>
      <c r="G1993" s="29"/>
      <c r="H1993" s="29"/>
      <c r="J1993" s="29"/>
      <c r="K1993" s="29"/>
      <c r="L1993" s="19"/>
      <c r="M1993" s="19"/>
      <c r="N1993" s="30"/>
      <c r="O1993" s="30"/>
      <c r="P1993" s="32"/>
      <c r="Q1993" s="32"/>
      <c r="R1993" s="32"/>
      <c r="S1993" s="32"/>
      <c r="T1993" s="32"/>
      <c r="U1993" s="30"/>
    </row>
    <row r="1994" spans="1:21">
      <c r="A1994" s="29"/>
      <c r="B1994" s="29"/>
      <c r="C1994" s="29"/>
      <c r="D1994" s="29"/>
      <c r="E1994" s="29"/>
      <c r="F1994" s="29"/>
      <c r="G1994" s="29"/>
      <c r="H1994" s="29"/>
      <c r="J1994" s="29"/>
      <c r="K1994" s="29"/>
      <c r="L1994" s="19"/>
      <c r="M1994" s="19"/>
      <c r="N1994" s="30"/>
      <c r="O1994" s="30"/>
      <c r="P1994" s="32"/>
      <c r="Q1994" s="32"/>
      <c r="R1994" s="32"/>
      <c r="S1994" s="32"/>
      <c r="T1994" s="32"/>
      <c r="U1994" s="30"/>
    </row>
    <row r="1995" spans="1:21">
      <c r="A1995" s="29"/>
      <c r="B1995" s="29"/>
      <c r="C1995" s="29"/>
      <c r="D1995" s="29"/>
      <c r="E1995" s="29"/>
      <c r="F1995" s="29"/>
      <c r="G1995" s="29"/>
      <c r="H1995" s="29"/>
      <c r="J1995" s="29"/>
      <c r="K1995" s="29"/>
      <c r="L1995" s="19"/>
      <c r="M1995" s="19"/>
      <c r="N1995" s="30"/>
      <c r="O1995" s="30"/>
      <c r="P1995" s="32"/>
      <c r="Q1995" s="32"/>
      <c r="R1995" s="32"/>
      <c r="S1995" s="32"/>
      <c r="T1995" s="32"/>
      <c r="U1995" s="30"/>
    </row>
    <row r="1996" spans="1:21">
      <c r="A1996" s="29"/>
      <c r="B1996" s="29"/>
      <c r="C1996" s="29"/>
      <c r="D1996" s="29"/>
      <c r="E1996" s="29"/>
      <c r="F1996" s="29"/>
      <c r="G1996" s="29"/>
      <c r="H1996" s="29"/>
      <c r="J1996" s="29"/>
      <c r="K1996" s="29"/>
      <c r="L1996" s="19"/>
      <c r="M1996" s="19"/>
      <c r="N1996" s="30"/>
      <c r="O1996" s="30"/>
      <c r="P1996" s="32"/>
      <c r="Q1996" s="32"/>
      <c r="R1996" s="32"/>
      <c r="S1996" s="32"/>
      <c r="T1996" s="32"/>
      <c r="U1996" s="30"/>
    </row>
    <row r="1997" spans="1:21">
      <c r="A1997" s="29"/>
      <c r="B1997" s="29"/>
      <c r="C1997" s="29"/>
      <c r="D1997" s="29"/>
      <c r="E1997" s="29"/>
      <c r="F1997" s="29"/>
      <c r="G1997" s="29"/>
      <c r="H1997" s="29"/>
      <c r="J1997" s="29"/>
      <c r="K1997" s="29"/>
      <c r="L1997" s="19"/>
      <c r="M1997" s="19"/>
      <c r="N1997" s="30"/>
      <c r="O1997" s="30"/>
      <c r="P1997" s="32"/>
      <c r="Q1997" s="32"/>
      <c r="R1997" s="32"/>
      <c r="S1997" s="32"/>
      <c r="T1997" s="32"/>
      <c r="U1997" s="30"/>
    </row>
    <row r="1998" spans="1:21">
      <c r="A1998" s="29"/>
      <c r="B1998" s="29"/>
      <c r="C1998" s="29"/>
      <c r="D1998" s="29"/>
      <c r="E1998" s="29"/>
      <c r="F1998" s="29"/>
      <c r="G1998" s="29"/>
      <c r="H1998" s="29"/>
      <c r="J1998" s="29"/>
      <c r="K1998" s="29"/>
      <c r="L1998" s="19"/>
      <c r="M1998" s="19"/>
      <c r="N1998" s="30"/>
      <c r="O1998" s="30"/>
      <c r="P1998" s="32"/>
      <c r="Q1998" s="32"/>
      <c r="R1998" s="32"/>
      <c r="S1998" s="32"/>
      <c r="T1998" s="32"/>
      <c r="U1998" s="30"/>
    </row>
    <row r="1999" spans="1:21">
      <c r="A1999" s="29"/>
      <c r="B1999" s="29"/>
      <c r="C1999" s="29"/>
      <c r="D1999" s="29"/>
      <c r="E1999" s="29"/>
      <c r="F1999" s="29"/>
      <c r="G1999" s="29"/>
      <c r="H1999" s="29"/>
      <c r="J1999" s="29"/>
      <c r="K1999" s="29"/>
      <c r="L1999" s="19"/>
      <c r="M1999" s="19"/>
      <c r="N1999" s="30"/>
      <c r="O1999" s="30"/>
      <c r="P1999" s="32"/>
      <c r="Q1999" s="32"/>
      <c r="R1999" s="32"/>
      <c r="S1999" s="32"/>
      <c r="T1999" s="32"/>
      <c r="U1999" s="30"/>
    </row>
    <row r="2000" spans="1:21">
      <c r="A2000" s="29"/>
      <c r="B2000" s="29"/>
      <c r="C2000" s="29"/>
      <c r="D2000" s="29"/>
      <c r="E2000" s="29"/>
      <c r="F2000" s="29"/>
      <c r="G2000" s="29"/>
      <c r="H2000" s="29"/>
      <c r="J2000" s="29"/>
      <c r="K2000" s="29"/>
      <c r="L2000" s="19"/>
      <c r="M2000" s="19"/>
      <c r="N2000" s="30"/>
      <c r="O2000" s="30"/>
      <c r="P2000" s="32"/>
      <c r="Q2000" s="32"/>
      <c r="R2000" s="32"/>
      <c r="S2000" s="32"/>
      <c r="T2000" s="32"/>
      <c r="U2000" s="30"/>
    </row>
    <row r="2001" spans="1:21">
      <c r="A2001" s="29"/>
      <c r="B2001" s="29"/>
      <c r="C2001" s="29"/>
      <c r="D2001" s="29"/>
      <c r="E2001" s="29"/>
      <c r="F2001" s="29"/>
      <c r="G2001" s="29"/>
      <c r="H2001" s="29"/>
      <c r="J2001" s="29"/>
      <c r="K2001" s="29"/>
      <c r="L2001" s="19"/>
      <c r="M2001" s="19"/>
      <c r="N2001" s="30"/>
      <c r="O2001" s="30"/>
      <c r="P2001" s="32"/>
      <c r="Q2001" s="32"/>
      <c r="R2001" s="32"/>
      <c r="S2001" s="32"/>
      <c r="T2001" s="32"/>
      <c r="U2001" s="30"/>
    </row>
    <row r="2002" spans="1:21">
      <c r="A2002" s="29"/>
      <c r="B2002" s="29"/>
      <c r="C2002" s="29"/>
      <c r="D2002" s="29"/>
      <c r="E2002" s="29"/>
      <c r="F2002" s="29"/>
      <c r="G2002" s="29"/>
      <c r="H2002" s="29"/>
      <c r="J2002" s="29"/>
      <c r="K2002" s="29"/>
      <c r="L2002" s="19"/>
      <c r="M2002" s="19"/>
      <c r="N2002" s="30"/>
      <c r="O2002" s="30"/>
      <c r="P2002" s="32"/>
      <c r="Q2002" s="32"/>
      <c r="R2002" s="32"/>
      <c r="S2002" s="32"/>
      <c r="T2002" s="32"/>
      <c r="U2002" s="30"/>
    </row>
    <row r="2003" spans="1:21">
      <c r="A2003" s="29"/>
      <c r="B2003" s="29"/>
      <c r="C2003" s="29"/>
      <c r="D2003" s="29"/>
      <c r="E2003" s="29"/>
      <c r="F2003" s="29"/>
      <c r="G2003" s="29"/>
      <c r="H2003" s="29"/>
      <c r="J2003" s="29"/>
      <c r="K2003" s="29"/>
      <c r="L2003" s="19"/>
      <c r="M2003" s="19"/>
      <c r="N2003" s="30"/>
      <c r="O2003" s="30"/>
      <c r="P2003" s="32"/>
      <c r="Q2003" s="32"/>
      <c r="R2003" s="32"/>
      <c r="S2003" s="32"/>
      <c r="T2003" s="32"/>
      <c r="U2003" s="30"/>
    </row>
    <row r="2004" spans="1:21">
      <c r="A2004" s="29"/>
      <c r="B2004" s="29"/>
      <c r="C2004" s="29"/>
      <c r="D2004" s="29"/>
      <c r="E2004" s="29"/>
      <c r="F2004" s="29"/>
      <c r="G2004" s="29"/>
      <c r="H2004" s="29"/>
      <c r="J2004" s="29"/>
      <c r="K2004" s="29"/>
      <c r="L2004" s="19"/>
      <c r="M2004" s="19"/>
      <c r="N2004" s="30"/>
      <c r="O2004" s="30"/>
      <c r="P2004" s="32"/>
      <c r="Q2004" s="32"/>
      <c r="R2004" s="32"/>
      <c r="S2004" s="32"/>
      <c r="T2004" s="32"/>
      <c r="U2004" s="30"/>
    </row>
    <row r="2005" spans="1:21">
      <c r="A2005" s="29"/>
      <c r="B2005" s="29"/>
      <c r="C2005" s="29"/>
      <c r="D2005" s="29"/>
      <c r="E2005" s="29"/>
      <c r="F2005" s="29"/>
      <c r="G2005" s="29"/>
      <c r="H2005" s="29"/>
      <c r="J2005" s="29"/>
      <c r="K2005" s="29"/>
      <c r="L2005" s="19"/>
      <c r="M2005" s="19"/>
      <c r="N2005" s="30"/>
      <c r="O2005" s="30"/>
      <c r="P2005" s="32"/>
      <c r="Q2005" s="32"/>
      <c r="R2005" s="32"/>
      <c r="S2005" s="32"/>
      <c r="T2005" s="32"/>
      <c r="U2005" s="30"/>
    </row>
    <row r="2006" spans="1:21">
      <c r="A2006" s="29"/>
      <c r="B2006" s="29"/>
      <c r="C2006" s="29"/>
      <c r="D2006" s="29"/>
      <c r="E2006" s="29"/>
      <c r="F2006" s="29"/>
      <c r="G2006" s="29"/>
      <c r="H2006" s="29"/>
      <c r="J2006" s="29"/>
      <c r="K2006" s="29"/>
      <c r="L2006" s="19"/>
      <c r="M2006" s="19"/>
      <c r="N2006" s="30"/>
      <c r="O2006" s="30"/>
      <c r="P2006" s="32"/>
      <c r="Q2006" s="32"/>
      <c r="R2006" s="32"/>
      <c r="S2006" s="32"/>
      <c r="T2006" s="32"/>
      <c r="U2006" s="30"/>
    </row>
    <row r="2007" spans="1:21">
      <c r="A2007" s="29"/>
      <c r="B2007" s="29"/>
      <c r="C2007" s="29"/>
      <c r="D2007" s="29"/>
      <c r="E2007" s="29"/>
      <c r="F2007" s="29"/>
      <c r="G2007" s="29"/>
      <c r="H2007" s="29"/>
      <c r="J2007" s="29"/>
      <c r="K2007" s="29"/>
      <c r="L2007" s="19"/>
      <c r="M2007" s="19"/>
      <c r="N2007" s="30"/>
      <c r="O2007" s="30"/>
      <c r="P2007" s="32"/>
      <c r="Q2007" s="32"/>
      <c r="R2007" s="32"/>
      <c r="S2007" s="32"/>
      <c r="T2007" s="32"/>
      <c r="U2007" s="30"/>
    </row>
    <row r="2008" spans="1:21">
      <c r="A2008" s="29"/>
      <c r="B2008" s="29"/>
      <c r="C2008" s="29"/>
      <c r="D2008" s="29"/>
      <c r="E2008" s="29"/>
      <c r="F2008" s="29"/>
      <c r="G2008" s="29"/>
      <c r="H2008" s="29"/>
      <c r="J2008" s="29"/>
      <c r="K2008" s="29"/>
      <c r="L2008" s="19"/>
      <c r="M2008" s="19"/>
      <c r="N2008" s="30"/>
      <c r="O2008" s="30"/>
      <c r="P2008" s="32"/>
      <c r="Q2008" s="32"/>
      <c r="R2008" s="32"/>
      <c r="S2008" s="32"/>
      <c r="T2008" s="32"/>
      <c r="U2008" s="30"/>
    </row>
    <row r="2009" spans="1:21">
      <c r="A2009" s="29"/>
      <c r="B2009" s="29"/>
      <c r="C2009" s="29"/>
      <c r="D2009" s="29"/>
      <c r="E2009" s="29"/>
      <c r="F2009" s="29"/>
      <c r="G2009" s="29"/>
      <c r="H2009" s="29"/>
      <c r="J2009" s="29"/>
      <c r="K2009" s="29"/>
      <c r="L2009" s="19"/>
      <c r="M2009" s="19"/>
      <c r="N2009" s="30"/>
      <c r="O2009" s="30"/>
      <c r="P2009" s="32"/>
      <c r="Q2009" s="32"/>
      <c r="R2009" s="32"/>
      <c r="S2009" s="32"/>
      <c r="T2009" s="32"/>
      <c r="U2009" s="30"/>
    </row>
    <row r="2010" spans="1:21">
      <c r="A2010" s="29"/>
      <c r="B2010" s="29"/>
      <c r="C2010" s="29"/>
      <c r="D2010" s="29"/>
      <c r="E2010" s="29"/>
      <c r="F2010" s="29"/>
      <c r="G2010" s="29"/>
      <c r="H2010" s="29"/>
      <c r="J2010" s="29"/>
      <c r="K2010" s="29"/>
      <c r="L2010" s="19"/>
      <c r="M2010" s="19"/>
      <c r="N2010" s="30"/>
      <c r="O2010" s="30"/>
      <c r="P2010" s="32"/>
      <c r="Q2010" s="32"/>
      <c r="R2010" s="32"/>
      <c r="S2010" s="32"/>
      <c r="T2010" s="32"/>
      <c r="U2010" s="30"/>
    </row>
    <row r="2011" spans="1:21">
      <c r="A2011" s="29"/>
      <c r="B2011" s="29"/>
      <c r="C2011" s="29"/>
      <c r="D2011" s="29"/>
      <c r="E2011" s="29"/>
      <c r="F2011" s="29"/>
      <c r="G2011" s="29"/>
      <c r="H2011" s="29"/>
      <c r="J2011" s="29"/>
      <c r="K2011" s="29"/>
      <c r="L2011" s="19"/>
      <c r="M2011" s="19"/>
      <c r="N2011" s="30"/>
      <c r="O2011" s="30"/>
      <c r="P2011" s="32"/>
      <c r="Q2011" s="32"/>
      <c r="R2011" s="32"/>
      <c r="S2011" s="32"/>
      <c r="T2011" s="32"/>
      <c r="U2011" s="30"/>
    </row>
    <row r="2012" spans="1:21">
      <c r="A2012" s="29"/>
      <c r="B2012" s="29"/>
      <c r="C2012" s="29"/>
      <c r="D2012" s="29"/>
      <c r="E2012" s="29"/>
      <c r="F2012" s="29"/>
      <c r="G2012" s="29"/>
      <c r="H2012" s="29"/>
      <c r="J2012" s="29"/>
      <c r="K2012" s="29"/>
      <c r="L2012" s="19"/>
      <c r="M2012" s="19"/>
      <c r="N2012" s="30"/>
      <c r="O2012" s="30"/>
      <c r="P2012" s="32"/>
      <c r="Q2012" s="32"/>
      <c r="R2012" s="32"/>
      <c r="S2012" s="32"/>
      <c r="T2012" s="32"/>
      <c r="U2012" s="30"/>
    </row>
    <row r="2013" spans="1:21">
      <c r="A2013" s="29"/>
      <c r="B2013" s="29"/>
      <c r="C2013" s="29"/>
      <c r="D2013" s="29"/>
      <c r="E2013" s="29"/>
      <c r="F2013" s="29"/>
      <c r="G2013" s="29"/>
      <c r="H2013" s="29"/>
      <c r="J2013" s="29"/>
      <c r="K2013" s="29"/>
      <c r="L2013" s="19"/>
      <c r="M2013" s="19"/>
      <c r="N2013" s="30"/>
      <c r="O2013" s="30"/>
      <c r="P2013" s="32"/>
      <c r="Q2013" s="32"/>
      <c r="R2013" s="32"/>
      <c r="S2013" s="32"/>
      <c r="T2013" s="32"/>
      <c r="U2013" s="30"/>
    </row>
    <row r="2014" spans="1:21">
      <c r="A2014" s="29"/>
      <c r="B2014" s="29"/>
      <c r="C2014" s="29"/>
      <c r="D2014" s="29"/>
      <c r="E2014" s="29"/>
      <c r="F2014" s="29"/>
      <c r="G2014" s="29"/>
      <c r="H2014" s="29"/>
      <c r="J2014" s="29"/>
      <c r="K2014" s="29"/>
      <c r="L2014" s="19"/>
      <c r="M2014" s="19"/>
      <c r="N2014" s="30"/>
      <c r="O2014" s="30"/>
      <c r="P2014" s="32"/>
      <c r="Q2014" s="32"/>
      <c r="R2014" s="32"/>
      <c r="S2014" s="32"/>
      <c r="T2014" s="32"/>
      <c r="U2014" s="30"/>
    </row>
    <row r="2015" spans="1:21">
      <c r="A2015" s="29"/>
      <c r="B2015" s="29"/>
      <c r="C2015" s="29"/>
      <c r="D2015" s="29"/>
      <c r="E2015" s="29"/>
      <c r="F2015" s="29"/>
      <c r="G2015" s="29"/>
      <c r="H2015" s="29"/>
      <c r="J2015" s="29"/>
      <c r="K2015" s="29"/>
      <c r="L2015" s="19"/>
      <c r="M2015" s="19"/>
      <c r="N2015" s="30"/>
      <c r="O2015" s="30"/>
      <c r="P2015" s="32"/>
      <c r="Q2015" s="32"/>
      <c r="R2015" s="32"/>
      <c r="S2015" s="32"/>
      <c r="T2015" s="32"/>
      <c r="U2015" s="30"/>
    </row>
    <row r="2016" spans="1:21">
      <c r="A2016" s="29"/>
      <c r="B2016" s="29"/>
      <c r="C2016" s="29"/>
      <c r="D2016" s="29"/>
      <c r="E2016" s="29"/>
      <c r="F2016" s="29"/>
      <c r="G2016" s="29"/>
      <c r="H2016" s="29"/>
      <c r="J2016" s="29"/>
      <c r="K2016" s="29"/>
      <c r="L2016" s="19"/>
      <c r="M2016" s="19"/>
      <c r="N2016" s="30"/>
      <c r="O2016" s="30"/>
      <c r="P2016" s="32"/>
      <c r="Q2016" s="32"/>
      <c r="R2016" s="32"/>
      <c r="S2016" s="32"/>
      <c r="T2016" s="32"/>
      <c r="U2016" s="30"/>
    </row>
    <row r="2017" spans="1:21">
      <c r="A2017" s="29"/>
      <c r="B2017" s="29"/>
      <c r="C2017" s="29"/>
      <c r="D2017" s="29"/>
      <c r="E2017" s="29"/>
      <c r="F2017" s="29"/>
      <c r="G2017" s="29"/>
      <c r="H2017" s="29"/>
      <c r="J2017" s="29"/>
      <c r="K2017" s="29"/>
      <c r="L2017" s="19"/>
      <c r="M2017" s="19"/>
      <c r="N2017" s="30"/>
      <c r="O2017" s="30"/>
      <c r="P2017" s="32"/>
      <c r="Q2017" s="32"/>
      <c r="R2017" s="32"/>
      <c r="S2017" s="32"/>
      <c r="T2017" s="32"/>
      <c r="U2017" s="30"/>
    </row>
    <row r="2018" spans="1:21">
      <c r="A2018" s="29"/>
      <c r="B2018" s="29"/>
      <c r="C2018" s="29"/>
      <c r="D2018" s="29"/>
      <c r="E2018" s="29"/>
      <c r="F2018" s="29"/>
      <c r="G2018" s="29"/>
      <c r="H2018" s="29"/>
      <c r="J2018" s="29"/>
      <c r="K2018" s="29"/>
      <c r="L2018" s="19"/>
      <c r="M2018" s="19"/>
      <c r="N2018" s="30"/>
      <c r="O2018" s="30"/>
      <c r="P2018" s="32"/>
      <c r="Q2018" s="32"/>
      <c r="R2018" s="32"/>
      <c r="S2018" s="32"/>
      <c r="T2018" s="32"/>
      <c r="U2018" s="30"/>
    </row>
    <row r="2019" spans="1:21">
      <c r="A2019" s="29"/>
      <c r="B2019" s="29"/>
      <c r="C2019" s="29"/>
      <c r="D2019" s="29"/>
      <c r="E2019" s="29"/>
      <c r="F2019" s="29"/>
      <c r="G2019" s="29"/>
      <c r="H2019" s="29"/>
      <c r="J2019" s="29"/>
      <c r="K2019" s="29"/>
      <c r="L2019" s="19"/>
      <c r="M2019" s="19"/>
      <c r="N2019" s="30"/>
      <c r="O2019" s="30"/>
      <c r="P2019" s="32"/>
      <c r="Q2019" s="32"/>
      <c r="R2019" s="32"/>
      <c r="S2019" s="32"/>
      <c r="T2019" s="32"/>
      <c r="U2019" s="30"/>
    </row>
    <row r="2020" spans="1:21">
      <c r="A2020" s="29"/>
      <c r="B2020" s="29"/>
      <c r="C2020" s="29"/>
      <c r="D2020" s="29"/>
      <c r="E2020" s="29"/>
      <c r="F2020" s="29"/>
      <c r="G2020" s="29"/>
      <c r="H2020" s="29"/>
      <c r="J2020" s="29"/>
      <c r="K2020" s="29"/>
      <c r="L2020" s="19"/>
      <c r="M2020" s="19"/>
      <c r="N2020" s="30"/>
      <c r="O2020" s="30"/>
      <c r="P2020" s="32"/>
      <c r="Q2020" s="32"/>
      <c r="R2020" s="32"/>
      <c r="S2020" s="32"/>
      <c r="T2020" s="32"/>
      <c r="U2020" s="30"/>
    </row>
    <row r="2021" spans="1:21">
      <c r="A2021" s="29"/>
      <c r="B2021" s="29"/>
      <c r="C2021" s="29"/>
      <c r="D2021" s="29"/>
      <c r="E2021" s="29"/>
      <c r="F2021" s="29"/>
      <c r="G2021" s="29"/>
      <c r="H2021" s="29"/>
      <c r="J2021" s="29"/>
      <c r="K2021" s="29"/>
      <c r="L2021" s="19"/>
      <c r="M2021" s="19"/>
      <c r="N2021" s="30"/>
      <c r="O2021" s="30"/>
      <c r="P2021" s="32"/>
      <c r="Q2021" s="32"/>
      <c r="R2021" s="32"/>
      <c r="S2021" s="32"/>
      <c r="T2021" s="32"/>
      <c r="U2021" s="30"/>
    </row>
    <row r="2022" spans="1:21">
      <c r="A2022" s="29"/>
      <c r="B2022" s="29"/>
      <c r="C2022" s="29"/>
      <c r="D2022" s="29"/>
      <c r="E2022" s="29"/>
      <c r="F2022" s="29"/>
      <c r="G2022" s="29"/>
      <c r="H2022" s="29"/>
      <c r="J2022" s="29"/>
      <c r="K2022" s="29"/>
      <c r="L2022" s="19"/>
      <c r="M2022" s="19"/>
      <c r="N2022" s="30"/>
      <c r="O2022" s="30"/>
      <c r="P2022" s="32"/>
      <c r="Q2022" s="32"/>
      <c r="R2022" s="32"/>
      <c r="S2022" s="32"/>
      <c r="T2022" s="32"/>
      <c r="U2022" s="30"/>
    </row>
    <row r="2023" spans="1:21">
      <c r="A2023" s="29"/>
      <c r="B2023" s="29"/>
      <c r="C2023" s="29"/>
      <c r="D2023" s="29"/>
      <c r="E2023" s="29"/>
      <c r="F2023" s="29"/>
      <c r="G2023" s="29"/>
      <c r="H2023" s="29"/>
      <c r="J2023" s="29"/>
      <c r="K2023" s="29"/>
      <c r="L2023" s="19"/>
      <c r="M2023" s="19"/>
      <c r="N2023" s="30"/>
      <c r="O2023" s="30"/>
      <c r="P2023" s="32"/>
      <c r="Q2023" s="32"/>
      <c r="R2023" s="32"/>
      <c r="S2023" s="32"/>
      <c r="T2023" s="32"/>
      <c r="U2023" s="30"/>
    </row>
    <row r="2024" spans="1:21">
      <c r="A2024" s="29"/>
      <c r="B2024" s="29"/>
      <c r="C2024" s="29"/>
      <c r="D2024" s="29"/>
      <c r="E2024" s="29"/>
      <c r="F2024" s="29"/>
      <c r="G2024" s="29"/>
      <c r="H2024" s="29"/>
      <c r="J2024" s="29"/>
      <c r="K2024" s="29"/>
      <c r="L2024" s="19"/>
      <c r="M2024" s="19"/>
      <c r="N2024" s="30"/>
      <c r="O2024" s="30"/>
      <c r="P2024" s="32"/>
      <c r="Q2024" s="32"/>
      <c r="R2024" s="32"/>
      <c r="S2024" s="32"/>
      <c r="T2024" s="32"/>
      <c r="U2024" s="30"/>
    </row>
    <row r="2025" spans="1:21">
      <c r="A2025" s="29"/>
      <c r="B2025" s="29"/>
      <c r="C2025" s="29"/>
      <c r="D2025" s="29"/>
      <c r="E2025" s="29"/>
      <c r="F2025" s="29"/>
      <c r="G2025" s="29"/>
      <c r="H2025" s="29"/>
      <c r="J2025" s="29"/>
      <c r="K2025" s="29"/>
      <c r="L2025" s="19"/>
      <c r="M2025" s="19"/>
      <c r="N2025" s="30"/>
      <c r="O2025" s="30"/>
      <c r="P2025" s="32"/>
      <c r="Q2025" s="32"/>
      <c r="R2025" s="32"/>
      <c r="S2025" s="32"/>
      <c r="T2025" s="32"/>
      <c r="U2025" s="30"/>
    </row>
    <row r="2026" spans="1:21">
      <c r="A2026" s="29"/>
      <c r="B2026" s="29"/>
      <c r="C2026" s="29"/>
      <c r="D2026" s="29"/>
      <c r="E2026" s="29"/>
      <c r="F2026" s="29"/>
      <c r="G2026" s="29"/>
      <c r="H2026" s="29"/>
      <c r="J2026" s="29"/>
      <c r="K2026" s="29"/>
      <c r="L2026" s="19"/>
      <c r="M2026" s="19"/>
      <c r="N2026" s="30"/>
      <c r="O2026" s="30"/>
      <c r="P2026" s="32"/>
      <c r="Q2026" s="32"/>
      <c r="R2026" s="32"/>
      <c r="S2026" s="32"/>
      <c r="T2026" s="32"/>
      <c r="U2026" s="30"/>
    </row>
    <row r="2027" spans="1:21">
      <c r="A2027" s="29"/>
      <c r="B2027" s="29"/>
      <c r="C2027" s="29"/>
      <c r="D2027" s="29"/>
      <c r="E2027" s="29"/>
      <c r="F2027" s="29"/>
      <c r="G2027" s="29"/>
      <c r="H2027" s="29"/>
      <c r="J2027" s="29"/>
      <c r="K2027" s="29"/>
      <c r="L2027" s="19"/>
      <c r="M2027" s="19"/>
      <c r="N2027" s="30"/>
      <c r="O2027" s="30"/>
      <c r="P2027" s="32"/>
      <c r="Q2027" s="32"/>
      <c r="R2027" s="32"/>
      <c r="S2027" s="32"/>
      <c r="T2027" s="32"/>
      <c r="U2027" s="30"/>
    </row>
    <row r="2028" spans="1:21">
      <c r="A2028" s="29"/>
      <c r="B2028" s="29"/>
      <c r="C2028" s="29"/>
      <c r="D2028" s="29"/>
      <c r="E2028" s="29"/>
      <c r="F2028" s="29"/>
      <c r="G2028" s="29"/>
      <c r="H2028" s="29"/>
      <c r="J2028" s="29"/>
      <c r="K2028" s="29"/>
      <c r="L2028" s="19"/>
      <c r="M2028" s="19"/>
      <c r="N2028" s="30"/>
      <c r="O2028" s="30"/>
      <c r="P2028" s="32"/>
      <c r="Q2028" s="32"/>
      <c r="R2028" s="32"/>
      <c r="S2028" s="32"/>
      <c r="T2028" s="32"/>
      <c r="U2028" s="30"/>
    </row>
    <row r="2029" spans="1:21">
      <c r="A2029" s="29"/>
      <c r="B2029" s="29"/>
      <c r="C2029" s="29"/>
      <c r="D2029" s="29"/>
      <c r="E2029" s="29"/>
      <c r="F2029" s="29"/>
      <c r="G2029" s="29"/>
      <c r="H2029" s="29"/>
      <c r="J2029" s="29"/>
      <c r="K2029" s="29"/>
      <c r="L2029" s="19"/>
      <c r="M2029" s="19"/>
      <c r="N2029" s="30"/>
      <c r="O2029" s="30"/>
      <c r="P2029" s="32"/>
      <c r="Q2029" s="32"/>
      <c r="R2029" s="32"/>
      <c r="S2029" s="32"/>
      <c r="T2029" s="32"/>
      <c r="U2029" s="30"/>
    </row>
    <row r="2030" spans="1:21">
      <c r="A2030" s="29"/>
      <c r="B2030" s="29"/>
      <c r="C2030" s="29"/>
      <c r="D2030" s="29"/>
      <c r="E2030" s="29"/>
      <c r="F2030" s="29"/>
      <c r="G2030" s="29"/>
      <c r="H2030" s="29"/>
      <c r="J2030" s="29"/>
      <c r="K2030" s="29"/>
      <c r="L2030" s="19"/>
      <c r="M2030" s="19"/>
      <c r="N2030" s="30"/>
      <c r="O2030" s="30"/>
      <c r="P2030" s="32"/>
      <c r="Q2030" s="32"/>
      <c r="R2030" s="32"/>
      <c r="S2030" s="32"/>
      <c r="T2030" s="32"/>
      <c r="U2030" s="30"/>
    </row>
    <row r="2031" spans="1:21">
      <c r="A2031" s="29"/>
      <c r="B2031" s="29"/>
      <c r="C2031" s="29"/>
      <c r="D2031" s="29"/>
      <c r="E2031" s="29"/>
      <c r="F2031" s="29"/>
      <c r="G2031" s="29"/>
      <c r="H2031" s="29"/>
      <c r="J2031" s="29"/>
      <c r="K2031" s="29"/>
      <c r="L2031" s="19"/>
      <c r="M2031" s="19"/>
      <c r="N2031" s="30"/>
      <c r="O2031" s="30"/>
      <c r="P2031" s="32"/>
      <c r="Q2031" s="32"/>
      <c r="R2031" s="32"/>
      <c r="S2031" s="32"/>
      <c r="T2031" s="32"/>
      <c r="U2031" s="30"/>
    </row>
    <row r="2032" spans="1:21">
      <c r="A2032" s="29"/>
      <c r="B2032" s="29"/>
      <c r="C2032" s="29"/>
      <c r="D2032" s="29"/>
      <c r="E2032" s="29"/>
      <c r="F2032" s="29"/>
      <c r="G2032" s="29"/>
      <c r="H2032" s="29"/>
      <c r="J2032" s="29"/>
      <c r="K2032" s="29"/>
      <c r="L2032" s="19"/>
      <c r="M2032" s="19"/>
      <c r="N2032" s="30"/>
      <c r="O2032" s="30"/>
      <c r="P2032" s="32"/>
      <c r="Q2032" s="32"/>
      <c r="R2032" s="32"/>
      <c r="S2032" s="32"/>
      <c r="T2032" s="32"/>
      <c r="U2032" s="30"/>
    </row>
    <row r="2033" spans="1:21">
      <c r="A2033" s="29"/>
      <c r="B2033" s="29"/>
      <c r="C2033" s="29"/>
      <c r="D2033" s="29"/>
      <c r="E2033" s="29"/>
      <c r="F2033" s="29"/>
      <c r="G2033" s="29"/>
      <c r="H2033" s="29"/>
      <c r="J2033" s="29"/>
      <c r="K2033" s="29"/>
      <c r="L2033" s="19"/>
      <c r="M2033" s="19"/>
      <c r="N2033" s="30"/>
      <c r="O2033" s="30"/>
      <c r="P2033" s="32"/>
      <c r="Q2033" s="32"/>
      <c r="R2033" s="32"/>
      <c r="S2033" s="32"/>
      <c r="T2033" s="32"/>
      <c r="U2033" s="30"/>
    </row>
    <row r="2034" spans="1:21">
      <c r="A2034" s="29"/>
      <c r="B2034" s="29"/>
      <c r="C2034" s="29"/>
      <c r="D2034" s="29"/>
      <c r="E2034" s="29"/>
      <c r="F2034" s="29"/>
      <c r="G2034" s="29"/>
      <c r="H2034" s="29"/>
      <c r="J2034" s="29"/>
      <c r="K2034" s="29"/>
      <c r="L2034" s="19"/>
      <c r="M2034" s="19"/>
      <c r="N2034" s="30"/>
      <c r="O2034" s="30"/>
      <c r="P2034" s="32"/>
      <c r="Q2034" s="32"/>
      <c r="R2034" s="32"/>
      <c r="S2034" s="32"/>
      <c r="T2034" s="32"/>
      <c r="U2034" s="30"/>
    </row>
    <row r="2035" spans="1:21">
      <c r="A2035" s="29"/>
      <c r="B2035" s="29"/>
      <c r="C2035" s="29"/>
      <c r="D2035" s="29"/>
      <c r="E2035" s="29"/>
      <c r="F2035" s="29"/>
      <c r="G2035" s="29"/>
      <c r="H2035" s="29"/>
      <c r="J2035" s="29"/>
      <c r="K2035" s="29"/>
      <c r="L2035" s="19"/>
      <c r="M2035" s="19"/>
      <c r="N2035" s="30"/>
      <c r="O2035" s="30"/>
      <c r="P2035" s="32"/>
      <c r="Q2035" s="32"/>
      <c r="R2035" s="32"/>
      <c r="S2035" s="32"/>
      <c r="T2035" s="32"/>
      <c r="U2035" s="30"/>
    </row>
    <row r="2036" spans="1:21">
      <c r="A2036" s="29"/>
      <c r="B2036" s="29"/>
      <c r="C2036" s="29"/>
      <c r="D2036" s="29"/>
      <c r="E2036" s="29"/>
      <c r="F2036" s="29"/>
      <c r="G2036" s="29"/>
      <c r="H2036" s="29"/>
      <c r="J2036" s="29"/>
      <c r="K2036" s="29"/>
      <c r="L2036" s="19"/>
      <c r="M2036" s="19"/>
      <c r="N2036" s="30"/>
      <c r="O2036" s="30"/>
      <c r="P2036" s="32"/>
      <c r="Q2036" s="32"/>
      <c r="R2036" s="32"/>
      <c r="S2036" s="32"/>
      <c r="T2036" s="32"/>
      <c r="U2036" s="30"/>
    </row>
    <row r="2037" spans="1:21">
      <c r="A2037" s="29"/>
      <c r="B2037" s="29"/>
      <c r="C2037" s="29"/>
      <c r="D2037" s="29"/>
      <c r="E2037" s="29"/>
      <c r="F2037" s="29"/>
      <c r="G2037" s="29"/>
      <c r="H2037" s="29"/>
      <c r="J2037" s="29"/>
      <c r="K2037" s="29"/>
      <c r="L2037" s="19"/>
      <c r="M2037" s="19"/>
      <c r="N2037" s="30"/>
      <c r="O2037" s="30"/>
      <c r="P2037" s="32"/>
      <c r="Q2037" s="32"/>
      <c r="R2037" s="32"/>
      <c r="S2037" s="32"/>
      <c r="T2037" s="32"/>
      <c r="U2037" s="30"/>
    </row>
    <row r="2038" spans="1:21">
      <c r="A2038" s="29"/>
      <c r="B2038" s="29"/>
      <c r="C2038" s="29"/>
      <c r="D2038" s="29"/>
      <c r="E2038" s="29"/>
      <c r="F2038" s="29"/>
      <c r="G2038" s="29"/>
      <c r="H2038" s="29"/>
      <c r="J2038" s="29"/>
      <c r="K2038" s="29"/>
      <c r="L2038" s="19"/>
      <c r="M2038" s="19"/>
      <c r="N2038" s="30"/>
      <c r="O2038" s="30"/>
      <c r="P2038" s="32"/>
      <c r="Q2038" s="32"/>
      <c r="R2038" s="32"/>
      <c r="S2038" s="32"/>
      <c r="T2038" s="32"/>
      <c r="U2038" s="30"/>
    </row>
    <row r="2039" spans="1:21">
      <c r="A2039" s="29"/>
      <c r="B2039" s="29"/>
      <c r="C2039" s="29"/>
      <c r="D2039" s="29"/>
      <c r="E2039" s="29"/>
      <c r="F2039" s="29"/>
      <c r="G2039" s="29"/>
      <c r="H2039" s="29"/>
      <c r="J2039" s="29"/>
      <c r="K2039" s="29"/>
      <c r="L2039" s="19"/>
      <c r="M2039" s="19"/>
      <c r="N2039" s="30"/>
      <c r="O2039" s="30"/>
      <c r="P2039" s="32"/>
      <c r="Q2039" s="32"/>
      <c r="R2039" s="32"/>
      <c r="S2039" s="32"/>
      <c r="T2039" s="32"/>
      <c r="U2039" s="30"/>
    </row>
    <row r="2040" spans="1:21">
      <c r="A2040" s="29"/>
      <c r="B2040" s="29"/>
      <c r="C2040" s="29"/>
      <c r="D2040" s="29"/>
      <c r="E2040" s="29"/>
      <c r="F2040" s="29"/>
      <c r="G2040" s="29"/>
      <c r="H2040" s="29"/>
      <c r="J2040" s="29"/>
      <c r="K2040" s="29"/>
      <c r="L2040" s="19"/>
      <c r="M2040" s="19"/>
      <c r="N2040" s="30"/>
      <c r="O2040" s="30"/>
      <c r="P2040" s="32"/>
      <c r="Q2040" s="32"/>
      <c r="R2040" s="32"/>
      <c r="S2040" s="32"/>
      <c r="T2040" s="32"/>
      <c r="U2040" s="30"/>
    </row>
    <row r="2041" spans="1:21">
      <c r="A2041" s="29"/>
      <c r="B2041" s="29"/>
      <c r="C2041" s="29"/>
      <c r="D2041" s="29"/>
      <c r="E2041" s="29"/>
      <c r="F2041" s="29"/>
      <c r="G2041" s="29"/>
      <c r="H2041" s="29"/>
      <c r="J2041" s="29"/>
      <c r="K2041" s="29"/>
      <c r="L2041" s="19"/>
      <c r="M2041" s="19"/>
      <c r="N2041" s="30"/>
      <c r="O2041" s="30"/>
      <c r="P2041" s="32"/>
      <c r="Q2041" s="32"/>
      <c r="R2041" s="32"/>
      <c r="S2041" s="32"/>
      <c r="T2041" s="32"/>
      <c r="U2041" s="30"/>
    </row>
    <row r="2042" spans="1:21">
      <c r="A2042" s="29"/>
      <c r="B2042" s="29"/>
      <c r="C2042" s="29"/>
      <c r="D2042" s="29"/>
      <c r="E2042" s="29"/>
      <c r="F2042" s="29"/>
      <c r="G2042" s="29"/>
      <c r="H2042" s="29"/>
      <c r="J2042" s="29"/>
      <c r="K2042" s="29"/>
      <c r="L2042" s="19"/>
      <c r="M2042" s="19"/>
      <c r="N2042" s="30"/>
      <c r="O2042" s="30"/>
      <c r="P2042" s="32"/>
      <c r="Q2042" s="32"/>
      <c r="R2042" s="32"/>
      <c r="S2042" s="32"/>
      <c r="T2042" s="32"/>
      <c r="U2042" s="30"/>
    </row>
    <row r="2043" spans="1:21">
      <c r="A2043" s="29"/>
      <c r="B2043" s="29"/>
      <c r="C2043" s="29"/>
      <c r="D2043" s="29"/>
      <c r="E2043" s="29"/>
      <c r="F2043" s="29"/>
      <c r="G2043" s="29"/>
      <c r="H2043" s="29"/>
      <c r="J2043" s="29"/>
      <c r="K2043" s="29"/>
      <c r="L2043" s="19"/>
      <c r="M2043" s="19"/>
      <c r="N2043" s="30"/>
      <c r="O2043" s="30"/>
      <c r="P2043" s="32"/>
      <c r="Q2043" s="32"/>
      <c r="R2043" s="32"/>
      <c r="S2043" s="32"/>
      <c r="T2043" s="32"/>
      <c r="U2043" s="30"/>
    </row>
    <row r="2044" spans="1:21">
      <c r="A2044" s="29"/>
      <c r="B2044" s="29"/>
      <c r="C2044" s="29"/>
      <c r="D2044" s="29"/>
      <c r="E2044" s="29"/>
      <c r="F2044" s="29"/>
      <c r="G2044" s="29"/>
      <c r="H2044" s="29"/>
      <c r="J2044" s="29"/>
      <c r="K2044" s="29"/>
      <c r="L2044" s="19"/>
      <c r="M2044" s="19"/>
      <c r="N2044" s="30"/>
      <c r="O2044" s="30"/>
      <c r="P2044" s="32"/>
      <c r="Q2044" s="32"/>
      <c r="R2044" s="32"/>
      <c r="S2044" s="32"/>
      <c r="T2044" s="32"/>
      <c r="U2044" s="30"/>
    </row>
    <row r="2045" spans="1:21">
      <c r="A2045" s="29"/>
      <c r="B2045" s="29"/>
      <c r="C2045" s="29"/>
      <c r="D2045" s="29"/>
      <c r="E2045" s="29"/>
      <c r="F2045" s="29"/>
      <c r="G2045" s="29"/>
      <c r="H2045" s="29"/>
      <c r="J2045" s="29"/>
      <c r="K2045" s="29"/>
      <c r="L2045" s="19"/>
      <c r="M2045" s="19"/>
      <c r="N2045" s="30"/>
      <c r="O2045" s="30"/>
      <c r="P2045" s="32"/>
      <c r="Q2045" s="32"/>
      <c r="R2045" s="32"/>
      <c r="S2045" s="32"/>
      <c r="T2045" s="32"/>
      <c r="U2045" s="30"/>
    </row>
    <row r="2046" spans="1:21">
      <c r="A2046" s="29"/>
      <c r="B2046" s="29"/>
      <c r="C2046" s="29"/>
      <c r="D2046" s="29"/>
      <c r="E2046" s="29"/>
      <c r="F2046" s="29"/>
      <c r="G2046" s="29"/>
      <c r="H2046" s="29"/>
      <c r="J2046" s="29"/>
      <c r="K2046" s="29"/>
      <c r="L2046" s="19"/>
      <c r="M2046" s="19"/>
      <c r="N2046" s="30"/>
      <c r="O2046" s="30"/>
      <c r="P2046" s="32"/>
      <c r="Q2046" s="32"/>
      <c r="R2046" s="32"/>
      <c r="S2046" s="32"/>
      <c r="T2046" s="32"/>
      <c r="U2046" s="30"/>
    </row>
    <row r="2047" spans="1:21">
      <c r="A2047" s="29"/>
      <c r="B2047" s="29"/>
      <c r="C2047" s="29"/>
      <c r="D2047" s="29"/>
      <c r="E2047" s="29"/>
      <c r="F2047" s="29"/>
      <c r="G2047" s="29"/>
      <c r="H2047" s="29"/>
      <c r="J2047" s="29"/>
      <c r="K2047" s="29"/>
      <c r="L2047" s="19"/>
      <c r="M2047" s="19"/>
      <c r="N2047" s="30"/>
      <c r="O2047" s="30"/>
      <c r="P2047" s="32"/>
      <c r="Q2047" s="32"/>
      <c r="R2047" s="32"/>
      <c r="S2047" s="32"/>
      <c r="T2047" s="32"/>
      <c r="U2047" s="30"/>
    </row>
    <row r="2048" spans="1:21">
      <c r="A2048" s="29"/>
      <c r="B2048" s="29"/>
      <c r="C2048" s="29"/>
      <c r="D2048" s="29"/>
      <c r="E2048" s="29"/>
      <c r="F2048" s="29"/>
      <c r="G2048" s="29"/>
      <c r="H2048" s="29"/>
      <c r="J2048" s="29"/>
      <c r="K2048" s="29"/>
      <c r="L2048" s="19"/>
      <c r="M2048" s="19"/>
      <c r="N2048" s="30"/>
      <c r="O2048" s="30"/>
      <c r="P2048" s="32"/>
      <c r="Q2048" s="32"/>
      <c r="R2048" s="32"/>
      <c r="S2048" s="32"/>
      <c r="T2048" s="32"/>
      <c r="U2048" s="30"/>
    </row>
    <row r="2049" spans="1:21">
      <c r="A2049" s="29"/>
      <c r="B2049" s="29"/>
      <c r="C2049" s="29"/>
      <c r="D2049" s="29"/>
      <c r="E2049" s="29"/>
      <c r="F2049" s="29"/>
      <c r="G2049" s="29"/>
      <c r="H2049" s="29"/>
      <c r="J2049" s="29"/>
      <c r="K2049" s="29"/>
      <c r="L2049" s="19"/>
      <c r="M2049" s="19"/>
      <c r="N2049" s="30"/>
      <c r="O2049" s="30"/>
      <c r="P2049" s="32"/>
      <c r="Q2049" s="32"/>
      <c r="R2049" s="32"/>
      <c r="S2049" s="32"/>
      <c r="T2049" s="32"/>
      <c r="U2049" s="30"/>
    </row>
    <row r="2050" spans="1:21">
      <c r="A2050" s="29"/>
      <c r="B2050" s="29"/>
      <c r="C2050" s="29"/>
      <c r="D2050" s="29"/>
      <c r="E2050" s="29"/>
      <c r="F2050" s="29"/>
      <c r="G2050" s="29"/>
      <c r="H2050" s="29"/>
      <c r="J2050" s="29"/>
      <c r="K2050" s="29"/>
      <c r="L2050" s="19"/>
      <c r="M2050" s="19"/>
      <c r="N2050" s="30"/>
      <c r="O2050" s="30"/>
      <c r="P2050" s="32"/>
      <c r="Q2050" s="32"/>
      <c r="R2050" s="32"/>
      <c r="S2050" s="32"/>
      <c r="T2050" s="32"/>
      <c r="U2050" s="30"/>
    </row>
    <row r="2051" spans="1:21">
      <c r="A2051" s="29"/>
      <c r="B2051" s="29"/>
      <c r="C2051" s="29"/>
      <c r="D2051" s="29"/>
      <c r="E2051" s="29"/>
      <c r="F2051" s="29"/>
      <c r="G2051" s="29"/>
      <c r="H2051" s="29"/>
      <c r="J2051" s="29"/>
      <c r="K2051" s="29"/>
      <c r="L2051" s="19"/>
      <c r="M2051" s="19"/>
      <c r="N2051" s="30"/>
      <c r="O2051" s="30"/>
      <c r="P2051" s="32"/>
      <c r="Q2051" s="32"/>
      <c r="R2051" s="32"/>
      <c r="S2051" s="32"/>
      <c r="T2051" s="32"/>
      <c r="U2051" s="30"/>
    </row>
    <row r="2052" spans="1:21">
      <c r="A2052" s="29"/>
      <c r="B2052" s="29"/>
      <c r="C2052" s="29"/>
      <c r="D2052" s="29"/>
      <c r="E2052" s="29"/>
      <c r="F2052" s="29"/>
      <c r="G2052" s="29"/>
      <c r="H2052" s="29"/>
      <c r="J2052" s="29"/>
      <c r="K2052" s="29"/>
      <c r="L2052" s="19"/>
      <c r="M2052" s="19"/>
      <c r="N2052" s="30"/>
      <c r="O2052" s="30"/>
      <c r="P2052" s="32"/>
      <c r="Q2052" s="32"/>
      <c r="R2052" s="32"/>
      <c r="S2052" s="32"/>
      <c r="T2052" s="32"/>
      <c r="U2052" s="30"/>
    </row>
    <row r="2053" spans="1:21">
      <c r="A2053" s="29"/>
      <c r="B2053" s="29"/>
      <c r="C2053" s="29"/>
      <c r="D2053" s="29"/>
      <c r="E2053" s="29"/>
      <c r="F2053" s="29"/>
      <c r="G2053" s="29"/>
      <c r="H2053" s="29"/>
      <c r="J2053" s="29"/>
      <c r="K2053" s="29"/>
      <c r="L2053" s="19"/>
      <c r="M2053" s="19"/>
      <c r="N2053" s="30"/>
      <c r="O2053" s="30"/>
      <c r="P2053" s="32"/>
      <c r="Q2053" s="32"/>
      <c r="R2053" s="32"/>
      <c r="S2053" s="32"/>
      <c r="T2053" s="32"/>
      <c r="U2053" s="30"/>
    </row>
    <row r="2054" spans="1:21">
      <c r="A2054" s="29"/>
      <c r="B2054" s="29"/>
      <c r="C2054" s="29"/>
      <c r="D2054" s="29"/>
      <c r="E2054" s="29"/>
      <c r="F2054" s="29"/>
      <c r="G2054" s="29"/>
      <c r="H2054" s="29"/>
      <c r="J2054" s="29"/>
      <c r="K2054" s="29"/>
      <c r="L2054" s="19"/>
      <c r="M2054" s="19"/>
      <c r="N2054" s="30"/>
      <c r="O2054" s="30"/>
      <c r="P2054" s="32"/>
      <c r="Q2054" s="32"/>
      <c r="R2054" s="32"/>
      <c r="S2054" s="32"/>
      <c r="T2054" s="32"/>
      <c r="U2054" s="30"/>
    </row>
    <row r="2055" spans="1:21">
      <c r="A2055" s="29"/>
      <c r="B2055" s="29"/>
      <c r="C2055" s="29"/>
      <c r="D2055" s="29"/>
      <c r="E2055" s="29"/>
      <c r="F2055" s="29"/>
      <c r="G2055" s="29"/>
      <c r="H2055" s="29"/>
      <c r="J2055" s="29"/>
      <c r="K2055" s="29"/>
      <c r="L2055" s="19"/>
      <c r="M2055" s="19"/>
      <c r="N2055" s="30"/>
      <c r="O2055" s="30"/>
      <c r="P2055" s="32"/>
      <c r="Q2055" s="32"/>
      <c r="R2055" s="32"/>
      <c r="S2055" s="32"/>
      <c r="T2055" s="32"/>
      <c r="U2055" s="30"/>
    </row>
    <row r="2056" spans="1:21">
      <c r="A2056" s="29"/>
      <c r="B2056" s="29"/>
      <c r="C2056" s="29"/>
      <c r="D2056" s="29"/>
      <c r="E2056" s="29"/>
      <c r="F2056" s="29"/>
      <c r="G2056" s="29"/>
      <c r="H2056" s="29"/>
      <c r="J2056" s="29"/>
      <c r="K2056" s="29"/>
      <c r="L2056" s="19"/>
      <c r="M2056" s="19"/>
      <c r="N2056" s="30"/>
      <c r="O2056" s="30"/>
      <c r="P2056" s="32"/>
      <c r="Q2056" s="32"/>
      <c r="R2056" s="32"/>
      <c r="S2056" s="32"/>
      <c r="T2056" s="32"/>
      <c r="U2056" s="30"/>
    </row>
    <row r="2057" spans="1:21">
      <c r="A2057" s="29"/>
      <c r="B2057" s="29"/>
      <c r="C2057" s="29"/>
      <c r="D2057" s="29"/>
      <c r="E2057" s="29"/>
      <c r="F2057" s="29"/>
      <c r="G2057" s="29"/>
      <c r="H2057" s="29"/>
      <c r="J2057" s="29"/>
      <c r="K2057" s="29"/>
      <c r="L2057" s="19"/>
      <c r="M2057" s="19"/>
      <c r="N2057" s="30"/>
      <c r="O2057" s="30"/>
      <c r="P2057" s="32"/>
      <c r="Q2057" s="32"/>
      <c r="R2057" s="32"/>
      <c r="S2057" s="32"/>
      <c r="T2057" s="32"/>
      <c r="U2057" s="30"/>
    </row>
    <row r="2058" spans="1:21">
      <c r="A2058" s="29"/>
      <c r="B2058" s="29"/>
      <c r="C2058" s="29"/>
      <c r="D2058" s="29"/>
      <c r="E2058" s="29"/>
      <c r="F2058" s="29"/>
      <c r="G2058" s="29"/>
      <c r="H2058" s="29"/>
      <c r="J2058" s="29"/>
      <c r="K2058" s="29"/>
      <c r="L2058" s="19"/>
      <c r="M2058" s="19"/>
      <c r="N2058" s="30"/>
      <c r="O2058" s="30"/>
      <c r="P2058" s="32"/>
      <c r="Q2058" s="32"/>
      <c r="R2058" s="32"/>
      <c r="S2058" s="32"/>
      <c r="T2058" s="32"/>
      <c r="U2058" s="30"/>
    </row>
    <row r="2059" spans="1:21">
      <c r="A2059" s="29"/>
      <c r="B2059" s="29"/>
      <c r="C2059" s="29"/>
      <c r="D2059" s="29"/>
      <c r="E2059" s="29"/>
      <c r="F2059" s="29"/>
      <c r="G2059" s="29"/>
      <c r="H2059" s="29"/>
      <c r="J2059" s="29"/>
      <c r="K2059" s="29"/>
      <c r="L2059" s="19"/>
      <c r="M2059" s="19"/>
      <c r="N2059" s="30"/>
      <c r="O2059" s="30"/>
      <c r="P2059" s="32"/>
      <c r="Q2059" s="32"/>
      <c r="R2059" s="32"/>
      <c r="S2059" s="32"/>
      <c r="T2059" s="32"/>
      <c r="U2059" s="30"/>
    </row>
    <row r="2060" spans="1:21">
      <c r="A2060" s="29"/>
      <c r="B2060" s="29"/>
      <c r="C2060" s="29"/>
      <c r="D2060" s="29"/>
      <c r="E2060" s="29"/>
      <c r="F2060" s="29"/>
      <c r="G2060" s="29"/>
      <c r="H2060" s="29"/>
      <c r="J2060" s="29"/>
      <c r="K2060" s="29"/>
      <c r="L2060" s="19"/>
      <c r="M2060" s="19"/>
      <c r="N2060" s="30"/>
      <c r="O2060" s="30"/>
      <c r="P2060" s="32"/>
      <c r="Q2060" s="32"/>
      <c r="R2060" s="32"/>
      <c r="S2060" s="32"/>
      <c r="T2060" s="32"/>
      <c r="U2060" s="30"/>
    </row>
    <row r="2061" spans="1:21">
      <c r="A2061" s="29"/>
      <c r="B2061" s="29"/>
      <c r="C2061" s="29"/>
      <c r="D2061" s="29"/>
      <c r="E2061" s="29"/>
      <c r="F2061" s="29"/>
      <c r="G2061" s="29"/>
      <c r="H2061" s="29"/>
      <c r="J2061" s="29"/>
      <c r="K2061" s="29"/>
      <c r="L2061" s="19"/>
      <c r="M2061" s="19"/>
      <c r="N2061" s="30"/>
      <c r="O2061" s="30"/>
      <c r="P2061" s="32"/>
      <c r="Q2061" s="32"/>
      <c r="R2061" s="32"/>
      <c r="S2061" s="32"/>
      <c r="T2061" s="32"/>
      <c r="U2061" s="30"/>
    </row>
    <row r="2062" spans="1:21">
      <c r="A2062" s="29"/>
      <c r="B2062" s="29"/>
      <c r="C2062" s="29"/>
      <c r="D2062" s="29"/>
      <c r="E2062" s="29"/>
      <c r="F2062" s="29"/>
      <c r="G2062" s="29"/>
      <c r="H2062" s="29"/>
      <c r="J2062" s="29"/>
      <c r="K2062" s="29"/>
      <c r="L2062" s="19"/>
      <c r="M2062" s="19"/>
      <c r="N2062" s="30"/>
      <c r="O2062" s="30"/>
      <c r="P2062" s="32"/>
      <c r="Q2062" s="32"/>
      <c r="R2062" s="32"/>
      <c r="S2062" s="32"/>
      <c r="T2062" s="32"/>
      <c r="U2062" s="30"/>
    </row>
    <row r="2063" spans="1:21">
      <c r="A2063" s="29"/>
      <c r="B2063" s="29"/>
      <c r="C2063" s="29"/>
      <c r="D2063" s="29"/>
      <c r="E2063" s="29"/>
      <c r="F2063" s="29"/>
      <c r="G2063" s="29"/>
      <c r="H2063" s="29"/>
      <c r="J2063" s="29"/>
      <c r="K2063" s="29"/>
      <c r="L2063" s="19"/>
      <c r="M2063" s="19"/>
      <c r="N2063" s="30"/>
      <c r="O2063" s="30"/>
      <c r="P2063" s="32"/>
      <c r="Q2063" s="32"/>
      <c r="R2063" s="32"/>
      <c r="S2063" s="32"/>
      <c r="T2063" s="32"/>
      <c r="U2063" s="30"/>
    </row>
    <row r="2064" spans="1:21">
      <c r="A2064" s="29"/>
      <c r="B2064" s="29"/>
      <c r="C2064" s="29"/>
      <c r="D2064" s="29"/>
      <c r="E2064" s="29"/>
      <c r="F2064" s="29"/>
      <c r="G2064" s="29"/>
      <c r="H2064" s="29"/>
      <c r="J2064" s="29"/>
      <c r="K2064" s="29"/>
      <c r="L2064" s="19"/>
      <c r="M2064" s="19"/>
      <c r="N2064" s="30"/>
      <c r="O2064" s="30"/>
      <c r="P2064" s="32"/>
      <c r="Q2064" s="32"/>
      <c r="R2064" s="32"/>
      <c r="S2064" s="32"/>
      <c r="T2064" s="32"/>
      <c r="U2064" s="30"/>
    </row>
    <row r="2065" spans="1:21">
      <c r="A2065" s="29"/>
      <c r="B2065" s="29"/>
      <c r="C2065" s="29"/>
      <c r="D2065" s="29"/>
      <c r="E2065" s="29"/>
      <c r="F2065" s="29"/>
      <c r="G2065" s="29"/>
      <c r="H2065" s="29"/>
      <c r="J2065" s="29"/>
      <c r="K2065" s="29"/>
      <c r="L2065" s="19"/>
      <c r="M2065" s="19"/>
      <c r="N2065" s="30"/>
      <c r="O2065" s="30"/>
      <c r="P2065" s="32"/>
      <c r="Q2065" s="32"/>
      <c r="R2065" s="32"/>
      <c r="S2065" s="32"/>
      <c r="T2065" s="32"/>
      <c r="U2065" s="30"/>
    </row>
    <row r="2066" spans="1:21">
      <c r="A2066" s="29"/>
      <c r="B2066" s="29"/>
      <c r="C2066" s="29"/>
      <c r="D2066" s="29"/>
      <c r="E2066" s="29"/>
      <c r="F2066" s="29"/>
      <c r="G2066" s="29"/>
      <c r="H2066" s="29"/>
      <c r="J2066" s="29"/>
      <c r="K2066" s="29"/>
      <c r="L2066" s="19"/>
      <c r="M2066" s="19"/>
      <c r="N2066" s="30"/>
      <c r="O2066" s="30"/>
      <c r="P2066" s="32"/>
      <c r="Q2066" s="32"/>
      <c r="R2066" s="32"/>
      <c r="S2066" s="32"/>
      <c r="T2066" s="32"/>
      <c r="U2066" s="30"/>
    </row>
    <row r="2067" spans="1:21">
      <c r="A2067" s="29"/>
      <c r="B2067" s="29"/>
      <c r="C2067" s="29"/>
      <c r="D2067" s="29"/>
      <c r="E2067" s="29"/>
      <c r="F2067" s="29"/>
      <c r="G2067" s="29"/>
      <c r="H2067" s="29"/>
      <c r="J2067" s="29"/>
      <c r="K2067" s="29"/>
      <c r="L2067" s="19"/>
      <c r="M2067" s="19"/>
      <c r="N2067" s="30"/>
      <c r="O2067" s="30"/>
      <c r="P2067" s="32"/>
      <c r="Q2067" s="32"/>
      <c r="R2067" s="32"/>
      <c r="S2067" s="32"/>
      <c r="T2067" s="32"/>
      <c r="U2067" s="30"/>
    </row>
    <row r="2068" spans="1:21">
      <c r="A2068" s="29"/>
      <c r="B2068" s="29"/>
      <c r="C2068" s="29"/>
      <c r="D2068" s="29"/>
      <c r="E2068" s="29"/>
      <c r="F2068" s="29"/>
      <c r="G2068" s="29"/>
      <c r="H2068" s="29"/>
      <c r="J2068" s="29"/>
      <c r="K2068" s="29"/>
      <c r="L2068" s="19"/>
      <c r="M2068" s="19"/>
      <c r="N2068" s="30"/>
      <c r="O2068" s="30"/>
      <c r="P2068" s="32"/>
      <c r="Q2068" s="32"/>
      <c r="R2068" s="32"/>
      <c r="S2068" s="32"/>
      <c r="T2068" s="32"/>
      <c r="U2068" s="30"/>
    </row>
    <row r="2069" spans="1:21">
      <c r="A2069" s="29"/>
      <c r="B2069" s="29"/>
      <c r="C2069" s="29"/>
      <c r="D2069" s="29"/>
      <c r="E2069" s="29"/>
      <c r="F2069" s="29"/>
      <c r="G2069" s="29"/>
      <c r="H2069" s="29"/>
      <c r="J2069" s="29"/>
      <c r="K2069" s="29"/>
      <c r="L2069" s="19"/>
      <c r="M2069" s="19"/>
      <c r="N2069" s="30"/>
      <c r="O2069" s="30"/>
      <c r="P2069" s="32"/>
      <c r="Q2069" s="32"/>
      <c r="R2069" s="32"/>
      <c r="S2069" s="32"/>
      <c r="T2069" s="32"/>
      <c r="U2069" s="30"/>
    </row>
    <row r="2070" spans="1:21">
      <c r="A2070" s="29"/>
      <c r="B2070" s="29"/>
      <c r="C2070" s="29"/>
      <c r="D2070" s="29"/>
      <c r="E2070" s="29"/>
      <c r="F2070" s="29"/>
      <c r="G2070" s="29"/>
      <c r="H2070" s="29"/>
      <c r="J2070" s="29"/>
      <c r="K2070" s="29"/>
      <c r="L2070" s="19"/>
      <c r="M2070" s="19"/>
      <c r="N2070" s="30"/>
      <c r="O2070" s="30"/>
      <c r="P2070" s="32"/>
      <c r="Q2070" s="32"/>
      <c r="R2070" s="32"/>
      <c r="S2070" s="32"/>
      <c r="T2070" s="32"/>
      <c r="U2070" s="30"/>
    </row>
    <row r="2071" spans="1:21">
      <c r="A2071" s="29"/>
      <c r="B2071" s="29"/>
      <c r="C2071" s="29"/>
      <c r="D2071" s="29"/>
      <c r="E2071" s="29"/>
      <c r="F2071" s="29"/>
      <c r="G2071" s="29"/>
      <c r="H2071" s="29"/>
      <c r="J2071" s="29"/>
      <c r="K2071" s="29"/>
      <c r="L2071" s="19"/>
      <c r="M2071" s="19"/>
      <c r="N2071" s="30"/>
      <c r="O2071" s="30"/>
      <c r="P2071" s="32"/>
      <c r="Q2071" s="32"/>
      <c r="R2071" s="32"/>
      <c r="S2071" s="32"/>
      <c r="T2071" s="32"/>
      <c r="U2071" s="30"/>
    </row>
    <row r="2072" spans="1:21">
      <c r="A2072" s="29"/>
      <c r="B2072" s="29"/>
      <c r="C2072" s="29"/>
      <c r="D2072" s="29"/>
      <c r="E2072" s="29"/>
      <c r="F2072" s="29"/>
      <c r="G2072" s="29"/>
      <c r="H2072" s="29"/>
      <c r="J2072" s="29"/>
      <c r="K2072" s="29"/>
      <c r="L2072" s="19"/>
      <c r="M2072" s="19"/>
      <c r="N2072" s="30"/>
      <c r="O2072" s="30"/>
      <c r="P2072" s="32"/>
      <c r="Q2072" s="32"/>
      <c r="R2072" s="32"/>
      <c r="S2072" s="32"/>
      <c r="T2072" s="32"/>
      <c r="U2072" s="30"/>
    </row>
    <row r="2073" spans="1:21">
      <c r="A2073" s="29"/>
      <c r="B2073" s="29"/>
      <c r="C2073" s="29"/>
      <c r="D2073" s="29"/>
      <c r="E2073" s="29"/>
      <c r="F2073" s="29"/>
      <c r="G2073" s="29"/>
      <c r="H2073" s="29"/>
      <c r="J2073" s="29"/>
      <c r="K2073" s="29"/>
      <c r="L2073" s="19"/>
      <c r="M2073" s="19"/>
      <c r="N2073" s="30"/>
      <c r="O2073" s="30"/>
      <c r="P2073" s="32"/>
      <c r="Q2073" s="32"/>
      <c r="R2073" s="32"/>
      <c r="S2073" s="32"/>
      <c r="T2073" s="32"/>
      <c r="U2073" s="30"/>
    </row>
    <row r="2074" spans="1:21">
      <c r="A2074" s="29"/>
      <c r="B2074" s="29"/>
      <c r="C2074" s="29"/>
      <c r="D2074" s="29"/>
      <c r="E2074" s="29"/>
      <c r="F2074" s="29"/>
      <c r="G2074" s="29"/>
      <c r="H2074" s="29"/>
      <c r="J2074" s="29"/>
      <c r="K2074" s="29"/>
      <c r="L2074" s="19"/>
      <c r="M2074" s="19"/>
      <c r="N2074" s="30"/>
      <c r="O2074" s="30"/>
      <c r="P2074" s="32"/>
      <c r="Q2074" s="32"/>
      <c r="R2074" s="32"/>
      <c r="S2074" s="32"/>
      <c r="T2074" s="32"/>
      <c r="U2074" s="30"/>
    </row>
    <row r="2075" spans="1:21">
      <c r="A2075" s="29"/>
      <c r="B2075" s="29"/>
      <c r="C2075" s="29"/>
      <c r="D2075" s="29"/>
      <c r="E2075" s="29"/>
      <c r="F2075" s="29"/>
      <c r="G2075" s="29"/>
      <c r="H2075" s="29"/>
      <c r="J2075" s="29"/>
      <c r="K2075" s="29"/>
      <c r="L2075" s="19"/>
      <c r="M2075" s="19"/>
      <c r="N2075" s="30"/>
      <c r="O2075" s="30"/>
      <c r="P2075" s="32"/>
      <c r="Q2075" s="32"/>
      <c r="R2075" s="32"/>
      <c r="S2075" s="32"/>
      <c r="T2075" s="32"/>
      <c r="U2075" s="30"/>
    </row>
    <row r="2076" spans="1:21">
      <c r="A2076" s="29"/>
      <c r="B2076" s="29"/>
      <c r="C2076" s="29"/>
      <c r="D2076" s="29"/>
      <c r="E2076" s="29"/>
      <c r="F2076" s="29"/>
      <c r="G2076" s="29"/>
      <c r="H2076" s="29"/>
      <c r="J2076" s="29"/>
      <c r="K2076" s="29"/>
      <c r="L2076" s="19"/>
      <c r="M2076" s="19"/>
      <c r="N2076" s="30"/>
      <c r="O2076" s="30"/>
      <c r="P2076" s="32"/>
      <c r="Q2076" s="32"/>
      <c r="R2076" s="32"/>
      <c r="S2076" s="32"/>
      <c r="T2076" s="32"/>
      <c r="U2076" s="30"/>
    </row>
    <row r="2077" spans="1:21">
      <c r="A2077" s="29"/>
      <c r="B2077" s="29"/>
      <c r="C2077" s="29"/>
      <c r="D2077" s="29"/>
      <c r="E2077" s="29"/>
      <c r="F2077" s="29"/>
      <c r="G2077" s="29"/>
      <c r="H2077" s="29"/>
      <c r="J2077" s="29"/>
      <c r="K2077" s="29"/>
      <c r="L2077" s="19"/>
      <c r="M2077" s="19"/>
      <c r="N2077" s="30"/>
      <c r="O2077" s="30"/>
      <c r="P2077" s="32"/>
      <c r="Q2077" s="32"/>
      <c r="R2077" s="32"/>
      <c r="S2077" s="32"/>
      <c r="T2077" s="32"/>
      <c r="U2077" s="30"/>
    </row>
    <row r="2078" spans="1:21">
      <c r="A2078" s="29"/>
      <c r="B2078" s="29"/>
      <c r="C2078" s="29"/>
      <c r="D2078" s="29"/>
      <c r="E2078" s="29"/>
      <c r="F2078" s="29"/>
      <c r="G2078" s="29"/>
      <c r="H2078" s="29"/>
      <c r="J2078" s="29"/>
      <c r="K2078" s="29"/>
      <c r="L2078" s="19"/>
      <c r="M2078" s="19"/>
      <c r="N2078" s="30"/>
      <c r="O2078" s="30"/>
      <c r="P2078" s="32"/>
      <c r="Q2078" s="32"/>
      <c r="R2078" s="32"/>
      <c r="S2078" s="32"/>
      <c r="T2078" s="32"/>
      <c r="U2078" s="30"/>
    </row>
    <row r="2079" spans="1:21">
      <c r="A2079" s="29"/>
      <c r="B2079" s="29"/>
      <c r="C2079" s="29"/>
      <c r="D2079" s="29"/>
      <c r="E2079" s="29"/>
      <c r="F2079" s="29"/>
      <c r="G2079" s="29"/>
      <c r="H2079" s="29"/>
      <c r="J2079" s="29"/>
      <c r="K2079" s="29"/>
      <c r="L2079" s="19"/>
      <c r="M2079" s="19"/>
      <c r="N2079" s="30"/>
      <c r="O2079" s="30"/>
      <c r="P2079" s="32"/>
      <c r="Q2079" s="32"/>
      <c r="R2079" s="32"/>
      <c r="S2079" s="32"/>
      <c r="T2079" s="32"/>
      <c r="U2079" s="30"/>
    </row>
    <row r="2080" spans="1:21">
      <c r="A2080" s="29"/>
      <c r="B2080" s="29"/>
      <c r="C2080" s="29"/>
      <c r="D2080" s="29"/>
      <c r="E2080" s="29"/>
      <c r="F2080" s="29"/>
      <c r="G2080" s="29"/>
      <c r="H2080" s="29"/>
      <c r="J2080" s="29"/>
      <c r="K2080" s="29"/>
      <c r="L2080" s="19"/>
      <c r="M2080" s="19"/>
      <c r="N2080" s="30"/>
      <c r="O2080" s="30"/>
      <c r="P2080" s="32"/>
      <c r="Q2080" s="32"/>
      <c r="R2080" s="32"/>
      <c r="S2080" s="32"/>
      <c r="T2080" s="32"/>
      <c r="U2080" s="30"/>
    </row>
    <row r="2081" spans="1:21">
      <c r="A2081" s="29"/>
      <c r="B2081" s="29"/>
      <c r="C2081" s="29"/>
      <c r="D2081" s="29"/>
      <c r="E2081" s="29"/>
      <c r="F2081" s="29"/>
      <c r="G2081" s="29"/>
      <c r="H2081" s="29"/>
      <c r="J2081" s="29"/>
      <c r="K2081" s="29"/>
      <c r="L2081" s="19"/>
      <c r="M2081" s="19"/>
      <c r="N2081" s="30"/>
      <c r="O2081" s="30"/>
      <c r="P2081" s="32"/>
      <c r="Q2081" s="32"/>
      <c r="R2081" s="32"/>
      <c r="S2081" s="32"/>
      <c r="T2081" s="32"/>
      <c r="U2081" s="30"/>
    </row>
    <row r="2082" spans="1:21">
      <c r="A2082" s="29"/>
      <c r="B2082" s="29"/>
      <c r="C2082" s="29"/>
      <c r="D2082" s="29"/>
      <c r="E2082" s="29"/>
      <c r="F2082" s="29"/>
      <c r="G2082" s="29"/>
      <c r="H2082" s="29"/>
      <c r="J2082" s="29"/>
      <c r="K2082" s="29"/>
      <c r="L2082" s="19"/>
      <c r="M2082" s="19"/>
      <c r="N2082" s="30"/>
      <c r="O2082" s="30"/>
      <c r="P2082" s="32"/>
      <c r="Q2082" s="32"/>
      <c r="R2082" s="32"/>
      <c r="S2082" s="32"/>
      <c r="T2082" s="32"/>
      <c r="U2082" s="30"/>
    </row>
    <row r="2083" spans="1:21">
      <c r="A2083" s="29"/>
      <c r="B2083" s="29"/>
      <c r="C2083" s="29"/>
      <c r="D2083" s="29"/>
      <c r="E2083" s="29"/>
      <c r="F2083" s="29"/>
      <c r="G2083" s="29"/>
      <c r="H2083" s="29"/>
      <c r="J2083" s="29"/>
      <c r="K2083" s="29"/>
      <c r="L2083" s="19"/>
      <c r="M2083" s="19"/>
      <c r="N2083" s="30"/>
      <c r="O2083" s="30"/>
      <c r="P2083" s="32"/>
      <c r="Q2083" s="32"/>
      <c r="R2083" s="32"/>
      <c r="S2083" s="32"/>
      <c r="T2083" s="32"/>
      <c r="U2083" s="30"/>
    </row>
    <row r="2084" spans="1:21">
      <c r="A2084" s="29"/>
      <c r="B2084" s="29"/>
      <c r="C2084" s="29"/>
      <c r="D2084" s="29"/>
      <c r="E2084" s="29"/>
      <c r="F2084" s="29"/>
      <c r="G2084" s="29"/>
      <c r="H2084" s="29"/>
      <c r="J2084" s="29"/>
      <c r="K2084" s="29"/>
      <c r="L2084" s="19"/>
      <c r="M2084" s="19"/>
      <c r="N2084" s="30"/>
      <c r="O2084" s="30"/>
      <c r="P2084" s="32"/>
      <c r="Q2084" s="32"/>
      <c r="R2084" s="32"/>
      <c r="S2084" s="32"/>
      <c r="T2084" s="32"/>
      <c r="U2084" s="30"/>
    </row>
    <row r="2085" spans="1:21">
      <c r="A2085" s="29"/>
      <c r="B2085" s="29"/>
      <c r="C2085" s="29"/>
      <c r="D2085" s="29"/>
      <c r="E2085" s="29"/>
      <c r="F2085" s="29"/>
      <c r="G2085" s="29"/>
      <c r="H2085" s="29"/>
      <c r="J2085" s="29"/>
      <c r="K2085" s="29"/>
      <c r="L2085" s="19"/>
      <c r="M2085" s="19"/>
      <c r="N2085" s="30"/>
      <c r="O2085" s="30"/>
      <c r="P2085" s="32"/>
      <c r="Q2085" s="32"/>
      <c r="R2085" s="32"/>
      <c r="S2085" s="32"/>
      <c r="T2085" s="32"/>
      <c r="U2085" s="30"/>
    </row>
    <row r="2086" spans="1:21">
      <c r="A2086" s="29"/>
      <c r="B2086" s="29"/>
      <c r="C2086" s="29"/>
      <c r="D2086" s="29"/>
      <c r="E2086" s="29"/>
      <c r="F2086" s="29"/>
      <c r="G2086" s="29"/>
      <c r="H2086" s="29"/>
      <c r="J2086" s="29"/>
      <c r="K2086" s="29"/>
      <c r="L2086" s="19"/>
      <c r="M2086" s="19"/>
      <c r="N2086" s="30"/>
      <c r="O2086" s="30"/>
      <c r="P2086" s="32"/>
      <c r="Q2086" s="32"/>
      <c r="R2086" s="32"/>
      <c r="S2086" s="32"/>
      <c r="T2086" s="32"/>
      <c r="U2086" s="30"/>
    </row>
    <row r="2087" spans="1:21">
      <c r="A2087" s="29"/>
      <c r="B2087" s="29"/>
      <c r="C2087" s="29"/>
      <c r="D2087" s="29"/>
      <c r="E2087" s="29"/>
      <c r="F2087" s="29"/>
      <c r="G2087" s="29"/>
      <c r="H2087" s="29"/>
      <c r="J2087" s="29"/>
      <c r="K2087" s="29"/>
      <c r="L2087" s="19"/>
      <c r="M2087" s="19"/>
      <c r="N2087" s="30"/>
      <c r="O2087" s="30"/>
      <c r="P2087" s="32"/>
      <c r="Q2087" s="32"/>
      <c r="R2087" s="32"/>
      <c r="S2087" s="32"/>
      <c r="T2087" s="32"/>
      <c r="U2087" s="30"/>
    </row>
    <row r="2088" spans="1:21">
      <c r="A2088" s="29"/>
      <c r="B2088" s="29"/>
      <c r="C2088" s="29"/>
      <c r="D2088" s="29"/>
      <c r="E2088" s="29"/>
      <c r="F2088" s="29"/>
      <c r="G2088" s="29"/>
      <c r="H2088" s="29"/>
      <c r="J2088" s="29"/>
      <c r="K2088" s="29"/>
      <c r="L2088" s="19"/>
      <c r="M2088" s="19"/>
      <c r="N2088" s="30"/>
      <c r="O2088" s="30"/>
      <c r="P2088" s="32"/>
      <c r="Q2088" s="32"/>
      <c r="R2088" s="32"/>
      <c r="S2088" s="32"/>
      <c r="T2088" s="32"/>
      <c r="U2088" s="30"/>
    </row>
    <row r="2089" spans="1:21">
      <c r="A2089" s="29"/>
      <c r="B2089" s="29"/>
      <c r="C2089" s="29"/>
      <c r="D2089" s="29"/>
      <c r="E2089" s="29"/>
      <c r="F2089" s="29"/>
      <c r="G2089" s="29"/>
      <c r="H2089" s="29"/>
      <c r="J2089" s="29"/>
      <c r="K2089" s="29"/>
      <c r="L2089" s="19"/>
      <c r="M2089" s="19"/>
      <c r="N2089" s="30"/>
      <c r="O2089" s="30"/>
      <c r="P2089" s="32"/>
      <c r="Q2089" s="32"/>
      <c r="R2089" s="32"/>
      <c r="S2089" s="32"/>
      <c r="T2089" s="32"/>
      <c r="U2089" s="30"/>
    </row>
    <row r="2090" spans="1:21">
      <c r="A2090" s="29"/>
      <c r="B2090" s="29"/>
      <c r="C2090" s="29"/>
      <c r="D2090" s="29"/>
      <c r="E2090" s="29"/>
      <c r="F2090" s="29"/>
      <c r="G2090" s="29"/>
      <c r="H2090" s="29"/>
      <c r="J2090" s="29"/>
      <c r="K2090" s="29"/>
      <c r="L2090" s="19"/>
      <c r="M2090" s="19"/>
      <c r="N2090" s="30"/>
      <c r="O2090" s="30"/>
      <c r="P2090" s="32"/>
      <c r="Q2090" s="32"/>
      <c r="R2090" s="32"/>
      <c r="S2090" s="32"/>
      <c r="T2090" s="32"/>
      <c r="U2090" s="30"/>
    </row>
    <row r="2091" spans="1:21">
      <c r="A2091" s="29"/>
      <c r="B2091" s="29"/>
      <c r="C2091" s="29"/>
      <c r="D2091" s="29"/>
      <c r="E2091" s="29"/>
      <c r="F2091" s="29"/>
      <c r="G2091" s="29"/>
      <c r="H2091" s="29"/>
      <c r="J2091" s="29"/>
      <c r="K2091" s="29"/>
      <c r="L2091" s="19"/>
      <c r="M2091" s="19"/>
      <c r="N2091" s="30"/>
      <c r="O2091" s="30"/>
      <c r="P2091" s="32"/>
      <c r="Q2091" s="32"/>
      <c r="R2091" s="32"/>
      <c r="S2091" s="32"/>
      <c r="T2091" s="32"/>
      <c r="U2091" s="30"/>
    </row>
    <row r="2092" spans="1:21">
      <c r="A2092" s="29"/>
      <c r="B2092" s="29"/>
      <c r="C2092" s="29"/>
      <c r="D2092" s="29"/>
      <c r="E2092" s="29"/>
      <c r="F2092" s="29"/>
      <c r="G2092" s="29"/>
      <c r="H2092" s="29"/>
      <c r="J2092" s="29"/>
      <c r="K2092" s="29"/>
      <c r="L2092" s="19"/>
      <c r="M2092" s="19"/>
      <c r="N2092" s="30"/>
      <c r="O2092" s="30"/>
      <c r="P2092" s="32"/>
      <c r="Q2092" s="32"/>
      <c r="R2092" s="32"/>
      <c r="S2092" s="32"/>
      <c r="T2092" s="32"/>
      <c r="U2092" s="30"/>
    </row>
    <row r="2093" spans="1:21">
      <c r="A2093" s="29"/>
      <c r="B2093" s="29"/>
      <c r="C2093" s="29"/>
      <c r="D2093" s="29"/>
      <c r="E2093" s="29"/>
      <c r="F2093" s="29"/>
      <c r="G2093" s="29"/>
      <c r="H2093" s="29"/>
      <c r="J2093" s="29"/>
      <c r="K2093" s="29"/>
      <c r="L2093" s="19"/>
      <c r="M2093" s="19"/>
      <c r="N2093" s="30"/>
      <c r="O2093" s="30"/>
      <c r="P2093" s="32"/>
      <c r="Q2093" s="32"/>
      <c r="R2093" s="32"/>
      <c r="S2093" s="32"/>
      <c r="T2093" s="32"/>
      <c r="U2093" s="30"/>
    </row>
    <row r="2094" spans="1:21">
      <c r="A2094" s="29"/>
      <c r="B2094" s="29"/>
      <c r="C2094" s="29"/>
      <c r="D2094" s="29"/>
      <c r="E2094" s="29"/>
      <c r="F2094" s="29"/>
      <c r="G2094" s="29"/>
      <c r="H2094" s="29"/>
      <c r="J2094" s="29"/>
      <c r="K2094" s="29"/>
      <c r="L2094" s="19"/>
      <c r="M2094" s="19"/>
      <c r="N2094" s="30"/>
      <c r="O2094" s="30"/>
      <c r="P2094" s="32"/>
      <c r="Q2094" s="32"/>
      <c r="R2094" s="32"/>
      <c r="S2094" s="32"/>
      <c r="T2094" s="32"/>
      <c r="U2094" s="30"/>
    </row>
    <row r="2095" spans="1:21">
      <c r="A2095" s="29"/>
      <c r="B2095" s="29"/>
      <c r="C2095" s="29"/>
      <c r="D2095" s="29"/>
      <c r="E2095" s="29"/>
      <c r="F2095" s="29"/>
      <c r="G2095" s="29"/>
      <c r="H2095" s="29"/>
      <c r="J2095" s="29"/>
      <c r="K2095" s="29"/>
      <c r="L2095" s="19"/>
      <c r="M2095" s="19"/>
      <c r="N2095" s="30"/>
      <c r="O2095" s="30"/>
      <c r="P2095" s="32"/>
      <c r="Q2095" s="32"/>
      <c r="R2095" s="32"/>
      <c r="S2095" s="32"/>
      <c r="T2095" s="32"/>
      <c r="U2095" s="30"/>
    </row>
    <row r="2096" spans="1:21">
      <c r="A2096" s="29"/>
      <c r="B2096" s="29"/>
      <c r="C2096" s="29"/>
      <c r="D2096" s="29"/>
      <c r="E2096" s="29"/>
      <c r="F2096" s="29"/>
      <c r="G2096" s="29"/>
      <c r="H2096" s="29"/>
      <c r="J2096" s="29"/>
      <c r="K2096" s="29"/>
      <c r="L2096" s="19"/>
      <c r="M2096" s="19"/>
      <c r="N2096" s="30"/>
      <c r="O2096" s="30"/>
      <c r="P2096" s="32"/>
      <c r="Q2096" s="32"/>
      <c r="R2096" s="32"/>
      <c r="S2096" s="32"/>
      <c r="T2096" s="32"/>
      <c r="U2096" s="30"/>
    </row>
    <row r="2097" spans="1:21">
      <c r="A2097" s="29"/>
      <c r="B2097" s="29"/>
      <c r="C2097" s="29"/>
      <c r="D2097" s="29"/>
      <c r="E2097" s="29"/>
      <c r="F2097" s="29"/>
      <c r="G2097" s="29"/>
      <c r="H2097" s="29"/>
      <c r="J2097" s="29"/>
      <c r="K2097" s="29"/>
      <c r="L2097" s="19"/>
      <c r="M2097" s="19"/>
      <c r="N2097" s="30"/>
      <c r="O2097" s="30"/>
      <c r="P2097" s="32"/>
      <c r="Q2097" s="32"/>
      <c r="R2097" s="32"/>
      <c r="S2097" s="32"/>
      <c r="T2097" s="32"/>
      <c r="U2097" s="30"/>
    </row>
    <row r="2098" spans="1:21">
      <c r="A2098" s="29"/>
      <c r="B2098" s="29"/>
      <c r="C2098" s="29"/>
      <c r="D2098" s="29"/>
      <c r="E2098" s="29"/>
      <c r="F2098" s="29"/>
      <c r="G2098" s="29"/>
      <c r="H2098" s="29"/>
      <c r="J2098" s="29"/>
      <c r="K2098" s="29"/>
      <c r="L2098" s="19"/>
      <c r="M2098" s="19"/>
      <c r="N2098" s="30"/>
      <c r="O2098" s="30"/>
      <c r="P2098" s="32"/>
      <c r="Q2098" s="32"/>
      <c r="R2098" s="32"/>
      <c r="S2098" s="32"/>
      <c r="T2098" s="32"/>
      <c r="U2098" s="30"/>
    </row>
    <row r="2099" spans="1:21">
      <c r="A2099" s="29"/>
      <c r="B2099" s="29"/>
      <c r="C2099" s="29"/>
      <c r="D2099" s="29"/>
      <c r="E2099" s="29"/>
      <c r="F2099" s="29"/>
      <c r="G2099" s="29"/>
      <c r="H2099" s="29"/>
      <c r="J2099" s="29"/>
      <c r="K2099" s="29"/>
      <c r="L2099" s="19"/>
      <c r="M2099" s="19"/>
      <c r="N2099" s="30"/>
      <c r="O2099" s="30"/>
      <c r="P2099" s="32"/>
      <c r="Q2099" s="32"/>
      <c r="R2099" s="32"/>
      <c r="S2099" s="32"/>
      <c r="T2099" s="32"/>
      <c r="U2099" s="30"/>
    </row>
    <row r="2100" spans="1:21">
      <c r="A2100" s="29"/>
      <c r="B2100" s="29"/>
      <c r="C2100" s="29"/>
      <c r="D2100" s="29"/>
      <c r="E2100" s="29"/>
      <c r="F2100" s="29"/>
      <c r="G2100" s="29"/>
      <c r="H2100" s="29"/>
      <c r="J2100" s="29"/>
      <c r="K2100" s="29"/>
      <c r="L2100" s="19"/>
      <c r="M2100" s="19"/>
      <c r="N2100" s="30"/>
      <c r="O2100" s="30"/>
      <c r="P2100" s="32"/>
      <c r="Q2100" s="32"/>
      <c r="R2100" s="32"/>
      <c r="S2100" s="32"/>
      <c r="T2100" s="32"/>
      <c r="U2100" s="30"/>
    </row>
    <row r="2101" spans="1:21">
      <c r="A2101" s="29"/>
      <c r="B2101" s="29"/>
      <c r="C2101" s="29"/>
      <c r="D2101" s="29"/>
      <c r="E2101" s="29"/>
      <c r="F2101" s="29"/>
      <c r="G2101" s="29"/>
      <c r="H2101" s="29"/>
      <c r="J2101" s="29"/>
      <c r="K2101" s="29"/>
      <c r="L2101" s="19"/>
      <c r="M2101" s="19"/>
      <c r="N2101" s="30"/>
      <c r="O2101" s="30"/>
      <c r="P2101" s="32"/>
      <c r="Q2101" s="32"/>
      <c r="R2101" s="32"/>
      <c r="S2101" s="32"/>
      <c r="T2101" s="32"/>
      <c r="U2101" s="30"/>
    </row>
    <row r="2102" spans="1:21">
      <c r="A2102" s="29"/>
      <c r="B2102" s="29"/>
      <c r="C2102" s="29"/>
      <c r="D2102" s="29"/>
      <c r="E2102" s="29"/>
      <c r="F2102" s="29"/>
      <c r="G2102" s="29"/>
      <c r="H2102" s="29"/>
      <c r="J2102" s="29"/>
      <c r="K2102" s="29"/>
      <c r="L2102" s="19"/>
      <c r="M2102" s="19"/>
      <c r="N2102" s="30"/>
      <c r="O2102" s="30"/>
      <c r="P2102" s="32"/>
      <c r="Q2102" s="32"/>
      <c r="R2102" s="32"/>
      <c r="S2102" s="32"/>
      <c r="T2102" s="32"/>
      <c r="U2102" s="30"/>
    </row>
    <row r="2103" spans="1:21">
      <c r="A2103" s="29"/>
      <c r="B2103" s="29"/>
      <c r="C2103" s="29"/>
      <c r="D2103" s="29"/>
      <c r="E2103" s="29"/>
      <c r="F2103" s="29"/>
      <c r="G2103" s="29"/>
      <c r="H2103" s="29"/>
      <c r="J2103" s="29"/>
      <c r="K2103" s="29"/>
      <c r="L2103" s="19"/>
      <c r="M2103" s="19"/>
      <c r="N2103" s="30"/>
      <c r="O2103" s="30"/>
      <c r="P2103" s="32"/>
      <c r="Q2103" s="32"/>
      <c r="R2103" s="32"/>
      <c r="S2103" s="32"/>
      <c r="T2103" s="32"/>
      <c r="U2103" s="30"/>
    </row>
    <row r="2104" spans="1:21">
      <c r="A2104" s="29"/>
      <c r="B2104" s="29"/>
      <c r="C2104" s="29"/>
      <c r="D2104" s="29"/>
      <c r="E2104" s="29"/>
      <c r="F2104" s="29"/>
      <c r="G2104" s="29"/>
      <c r="H2104" s="29"/>
      <c r="J2104" s="29"/>
      <c r="K2104" s="29"/>
      <c r="L2104" s="19"/>
      <c r="M2104" s="19"/>
      <c r="N2104" s="30"/>
      <c r="O2104" s="30"/>
      <c r="P2104" s="32"/>
      <c r="Q2104" s="32"/>
      <c r="R2104" s="32"/>
      <c r="S2104" s="32"/>
      <c r="T2104" s="32"/>
      <c r="U2104" s="30"/>
    </row>
    <row r="2105" spans="1:21">
      <c r="A2105" s="29"/>
      <c r="B2105" s="29"/>
      <c r="C2105" s="29"/>
      <c r="D2105" s="29"/>
      <c r="E2105" s="29"/>
      <c r="F2105" s="29"/>
      <c r="G2105" s="29"/>
      <c r="H2105" s="29"/>
      <c r="J2105" s="29"/>
      <c r="K2105" s="29"/>
      <c r="L2105" s="19"/>
      <c r="M2105" s="19"/>
      <c r="N2105" s="30"/>
      <c r="O2105" s="30"/>
      <c r="P2105" s="32"/>
      <c r="Q2105" s="32"/>
      <c r="R2105" s="32"/>
      <c r="S2105" s="32"/>
      <c r="T2105" s="32"/>
      <c r="U2105" s="30"/>
    </row>
    <row r="2106" spans="1:21">
      <c r="A2106" s="29"/>
      <c r="B2106" s="29"/>
      <c r="C2106" s="29"/>
      <c r="D2106" s="29"/>
      <c r="E2106" s="29"/>
      <c r="F2106" s="29"/>
      <c r="G2106" s="29"/>
      <c r="H2106" s="29"/>
      <c r="J2106" s="29"/>
      <c r="K2106" s="29"/>
      <c r="L2106" s="19"/>
      <c r="M2106" s="19"/>
      <c r="N2106" s="30"/>
      <c r="O2106" s="30"/>
      <c r="P2106" s="32"/>
      <c r="Q2106" s="32"/>
      <c r="R2106" s="32"/>
      <c r="S2106" s="32"/>
      <c r="T2106" s="32"/>
      <c r="U2106" s="30"/>
    </row>
    <row r="2107" spans="1:21">
      <c r="A2107" s="29"/>
      <c r="B2107" s="29"/>
      <c r="C2107" s="29"/>
      <c r="D2107" s="29"/>
      <c r="E2107" s="29"/>
      <c r="F2107" s="29"/>
      <c r="G2107" s="29"/>
      <c r="H2107" s="29"/>
      <c r="J2107" s="29"/>
      <c r="K2107" s="29"/>
      <c r="L2107" s="19"/>
      <c r="M2107" s="19"/>
      <c r="N2107" s="30"/>
      <c r="O2107" s="30"/>
      <c r="P2107" s="32"/>
      <c r="Q2107" s="32"/>
      <c r="R2107" s="32"/>
      <c r="S2107" s="32"/>
      <c r="T2107" s="32"/>
      <c r="U2107" s="30"/>
    </row>
    <row r="2108" spans="1:21">
      <c r="A2108" s="29"/>
      <c r="B2108" s="29"/>
      <c r="C2108" s="29"/>
      <c r="D2108" s="29"/>
      <c r="E2108" s="29"/>
      <c r="F2108" s="29"/>
      <c r="G2108" s="29"/>
      <c r="H2108" s="29"/>
      <c r="J2108" s="29"/>
      <c r="K2108" s="29"/>
      <c r="L2108" s="19"/>
      <c r="M2108" s="19"/>
      <c r="N2108" s="30"/>
      <c r="O2108" s="30"/>
      <c r="P2108" s="32"/>
      <c r="Q2108" s="32"/>
      <c r="R2108" s="32"/>
      <c r="S2108" s="32"/>
      <c r="T2108" s="32"/>
      <c r="U2108" s="30"/>
    </row>
    <row r="2109" spans="1:21">
      <c r="A2109" s="29"/>
      <c r="B2109" s="29"/>
      <c r="C2109" s="29"/>
      <c r="D2109" s="29"/>
      <c r="E2109" s="29"/>
      <c r="F2109" s="29"/>
      <c r="G2109" s="29"/>
      <c r="H2109" s="29"/>
      <c r="J2109" s="29"/>
      <c r="K2109" s="29"/>
      <c r="L2109" s="19"/>
      <c r="M2109" s="19"/>
      <c r="N2109" s="30"/>
      <c r="O2109" s="30"/>
      <c r="P2109" s="32"/>
      <c r="Q2109" s="32"/>
      <c r="R2109" s="32"/>
      <c r="S2109" s="32"/>
      <c r="T2109" s="32"/>
      <c r="U2109" s="30"/>
    </row>
    <row r="2110" spans="1:21">
      <c r="A2110" s="29"/>
      <c r="B2110" s="29"/>
      <c r="C2110" s="29"/>
      <c r="D2110" s="29"/>
      <c r="E2110" s="29"/>
      <c r="F2110" s="29"/>
      <c r="G2110" s="29"/>
      <c r="H2110" s="29"/>
      <c r="J2110" s="29"/>
      <c r="K2110" s="29"/>
      <c r="L2110" s="19"/>
      <c r="M2110" s="19"/>
      <c r="N2110" s="30"/>
      <c r="O2110" s="30"/>
      <c r="P2110" s="32"/>
      <c r="Q2110" s="32"/>
      <c r="R2110" s="32"/>
      <c r="S2110" s="32"/>
      <c r="T2110" s="32"/>
      <c r="U2110" s="30"/>
    </row>
    <row r="2111" spans="1:21">
      <c r="A2111" s="29"/>
      <c r="B2111" s="29"/>
      <c r="C2111" s="29"/>
      <c r="D2111" s="29"/>
      <c r="E2111" s="29"/>
      <c r="F2111" s="29"/>
      <c r="G2111" s="29"/>
      <c r="H2111" s="29"/>
      <c r="J2111" s="29"/>
      <c r="K2111" s="29"/>
      <c r="L2111" s="19"/>
      <c r="M2111" s="19"/>
      <c r="N2111" s="30"/>
      <c r="O2111" s="30"/>
      <c r="P2111" s="32"/>
      <c r="Q2111" s="32"/>
      <c r="R2111" s="32"/>
      <c r="S2111" s="32"/>
      <c r="T2111" s="32"/>
      <c r="U2111" s="30"/>
    </row>
    <row r="2112" spans="1:21">
      <c r="A2112" s="29"/>
      <c r="B2112" s="29"/>
      <c r="C2112" s="29"/>
      <c r="D2112" s="29"/>
      <c r="E2112" s="29"/>
      <c r="F2112" s="29"/>
      <c r="G2112" s="29"/>
      <c r="H2112" s="29"/>
      <c r="J2112" s="29"/>
      <c r="K2112" s="29"/>
      <c r="L2112" s="19"/>
      <c r="M2112" s="19"/>
      <c r="N2112" s="30"/>
      <c r="O2112" s="30"/>
      <c r="P2112" s="32"/>
      <c r="Q2112" s="32"/>
      <c r="R2112" s="32"/>
      <c r="S2112" s="32"/>
      <c r="T2112" s="32"/>
      <c r="U2112" s="30"/>
    </row>
    <row r="2113" spans="1:21">
      <c r="A2113" s="29"/>
      <c r="B2113" s="29"/>
      <c r="C2113" s="29"/>
      <c r="D2113" s="29"/>
      <c r="E2113" s="29"/>
      <c r="F2113" s="29"/>
      <c r="G2113" s="29"/>
      <c r="H2113" s="29"/>
      <c r="J2113" s="29"/>
      <c r="K2113" s="29"/>
      <c r="L2113" s="19"/>
      <c r="M2113" s="19"/>
      <c r="N2113" s="30"/>
      <c r="O2113" s="30"/>
      <c r="P2113" s="32"/>
      <c r="Q2113" s="32"/>
      <c r="R2113" s="32"/>
      <c r="S2113" s="32"/>
      <c r="T2113" s="32"/>
      <c r="U2113" s="30"/>
    </row>
    <row r="2114" spans="1:21">
      <c r="A2114" s="29"/>
      <c r="B2114" s="29"/>
      <c r="C2114" s="29"/>
      <c r="D2114" s="29"/>
      <c r="E2114" s="29"/>
      <c r="F2114" s="29"/>
      <c r="G2114" s="29"/>
      <c r="H2114" s="29"/>
      <c r="J2114" s="29"/>
      <c r="K2114" s="29"/>
      <c r="L2114" s="19"/>
      <c r="M2114" s="19"/>
      <c r="N2114" s="30"/>
      <c r="O2114" s="30"/>
      <c r="P2114" s="32"/>
      <c r="Q2114" s="32"/>
      <c r="R2114" s="32"/>
      <c r="S2114" s="32"/>
      <c r="T2114" s="32"/>
      <c r="U2114" s="30"/>
    </row>
    <row r="2115" spans="1:21">
      <c r="A2115" s="29"/>
      <c r="B2115" s="29"/>
      <c r="C2115" s="29"/>
      <c r="D2115" s="29"/>
      <c r="E2115" s="29"/>
      <c r="F2115" s="29"/>
      <c r="G2115" s="29"/>
      <c r="H2115" s="29"/>
      <c r="J2115" s="29"/>
      <c r="K2115" s="29"/>
      <c r="L2115" s="19"/>
      <c r="M2115" s="19"/>
      <c r="N2115" s="30"/>
      <c r="O2115" s="30"/>
      <c r="P2115" s="32"/>
      <c r="Q2115" s="32"/>
      <c r="R2115" s="32"/>
      <c r="S2115" s="32"/>
      <c r="T2115" s="32"/>
      <c r="U2115" s="30"/>
    </row>
    <row r="2116" spans="1:21">
      <c r="A2116" s="29"/>
      <c r="B2116" s="29"/>
      <c r="C2116" s="29"/>
      <c r="D2116" s="29"/>
      <c r="E2116" s="29"/>
      <c r="F2116" s="29"/>
      <c r="G2116" s="29"/>
      <c r="H2116" s="29"/>
      <c r="J2116" s="29"/>
      <c r="K2116" s="29"/>
      <c r="L2116" s="19"/>
      <c r="M2116" s="19"/>
      <c r="N2116" s="30"/>
      <c r="O2116" s="30"/>
      <c r="P2116" s="32"/>
      <c r="Q2116" s="32"/>
      <c r="R2116" s="32"/>
      <c r="S2116" s="32"/>
      <c r="T2116" s="32"/>
      <c r="U2116" s="30"/>
    </row>
    <row r="2117" spans="1:21">
      <c r="A2117" s="29"/>
      <c r="B2117" s="29"/>
      <c r="C2117" s="29"/>
      <c r="D2117" s="29"/>
      <c r="E2117" s="29"/>
      <c r="F2117" s="29"/>
      <c r="G2117" s="29"/>
      <c r="H2117" s="29"/>
      <c r="J2117" s="29"/>
      <c r="K2117" s="29"/>
      <c r="L2117" s="19"/>
      <c r="M2117" s="19"/>
      <c r="N2117" s="30"/>
      <c r="O2117" s="30"/>
      <c r="P2117" s="32"/>
      <c r="Q2117" s="32"/>
      <c r="R2117" s="32"/>
      <c r="S2117" s="32"/>
      <c r="T2117" s="32"/>
      <c r="U2117" s="30"/>
    </row>
    <row r="2118" spans="1:21">
      <c r="A2118" s="29"/>
      <c r="B2118" s="29"/>
      <c r="C2118" s="29"/>
      <c r="D2118" s="29"/>
      <c r="E2118" s="29"/>
      <c r="F2118" s="29"/>
      <c r="G2118" s="29"/>
      <c r="H2118" s="29"/>
      <c r="J2118" s="29"/>
      <c r="K2118" s="29"/>
      <c r="L2118" s="19"/>
      <c r="M2118" s="19"/>
      <c r="N2118" s="30"/>
      <c r="O2118" s="30"/>
      <c r="P2118" s="32"/>
      <c r="Q2118" s="32"/>
      <c r="R2118" s="32"/>
      <c r="S2118" s="32"/>
      <c r="T2118" s="32"/>
      <c r="U2118" s="30"/>
    </row>
    <row r="2119" spans="1:21">
      <c r="A2119" s="29"/>
      <c r="B2119" s="29"/>
      <c r="C2119" s="29"/>
      <c r="D2119" s="29"/>
      <c r="E2119" s="29"/>
      <c r="F2119" s="29"/>
      <c r="G2119" s="29"/>
      <c r="H2119" s="29"/>
      <c r="J2119" s="29"/>
      <c r="K2119" s="29"/>
      <c r="L2119" s="19"/>
      <c r="M2119" s="19"/>
      <c r="N2119" s="30"/>
      <c r="O2119" s="30"/>
      <c r="P2119" s="32"/>
      <c r="Q2119" s="32"/>
      <c r="R2119" s="32"/>
      <c r="S2119" s="32"/>
      <c r="T2119" s="32"/>
      <c r="U2119" s="30"/>
    </row>
    <row r="2120" spans="1:21">
      <c r="A2120" s="29"/>
      <c r="B2120" s="29"/>
      <c r="C2120" s="29"/>
      <c r="D2120" s="29"/>
      <c r="E2120" s="29"/>
      <c r="F2120" s="29"/>
      <c r="G2120" s="29"/>
      <c r="H2120" s="29"/>
      <c r="J2120" s="29"/>
      <c r="K2120" s="29"/>
      <c r="L2120" s="19"/>
      <c r="M2120" s="19"/>
      <c r="N2120" s="30"/>
      <c r="O2120" s="30"/>
      <c r="P2120" s="32"/>
      <c r="Q2120" s="32"/>
      <c r="R2120" s="32"/>
      <c r="S2120" s="32"/>
      <c r="T2120" s="32"/>
      <c r="U2120" s="30"/>
    </row>
    <row r="2121" spans="1:21">
      <c r="A2121" s="29"/>
      <c r="B2121" s="29"/>
      <c r="C2121" s="29"/>
      <c r="D2121" s="29"/>
      <c r="E2121" s="29"/>
      <c r="F2121" s="29"/>
      <c r="G2121" s="29"/>
      <c r="H2121" s="29"/>
      <c r="J2121" s="29"/>
      <c r="K2121" s="29"/>
      <c r="L2121" s="19"/>
      <c r="M2121" s="19"/>
      <c r="N2121" s="30"/>
      <c r="O2121" s="30"/>
      <c r="P2121" s="32"/>
      <c r="Q2121" s="32"/>
      <c r="R2121" s="32"/>
      <c r="S2121" s="32"/>
      <c r="T2121" s="32"/>
      <c r="U2121" s="30"/>
    </row>
    <row r="2122" spans="1:21">
      <c r="A2122" s="29"/>
      <c r="B2122" s="29"/>
      <c r="C2122" s="29"/>
      <c r="D2122" s="29"/>
      <c r="E2122" s="29"/>
      <c r="F2122" s="29"/>
      <c r="G2122" s="29"/>
      <c r="H2122" s="29"/>
      <c r="J2122" s="29"/>
      <c r="K2122" s="29"/>
      <c r="L2122" s="19"/>
      <c r="M2122" s="19"/>
      <c r="N2122" s="30"/>
      <c r="O2122" s="30"/>
      <c r="P2122" s="32"/>
      <c r="Q2122" s="32"/>
      <c r="R2122" s="32"/>
      <c r="S2122" s="32"/>
      <c r="T2122" s="32"/>
      <c r="U2122" s="30"/>
    </row>
    <row r="2123" spans="1:21">
      <c r="A2123" s="29"/>
      <c r="B2123" s="29"/>
      <c r="C2123" s="29"/>
      <c r="D2123" s="29"/>
      <c r="E2123" s="29"/>
      <c r="F2123" s="29"/>
      <c r="G2123" s="29"/>
      <c r="H2123" s="29"/>
      <c r="J2123" s="29"/>
      <c r="K2123" s="29"/>
      <c r="L2123" s="19"/>
      <c r="M2123" s="19"/>
      <c r="N2123" s="30"/>
      <c r="O2123" s="30"/>
      <c r="P2123" s="32"/>
      <c r="Q2123" s="32"/>
      <c r="R2123" s="32"/>
      <c r="S2123" s="32"/>
      <c r="T2123" s="32"/>
      <c r="U2123" s="30"/>
    </row>
    <row r="2124" spans="1:21">
      <c r="A2124" s="29"/>
      <c r="B2124" s="29"/>
      <c r="C2124" s="29"/>
      <c r="D2124" s="29"/>
      <c r="E2124" s="29"/>
      <c r="F2124" s="29"/>
      <c r="G2124" s="29"/>
      <c r="H2124" s="29"/>
      <c r="J2124" s="29"/>
      <c r="K2124" s="29"/>
      <c r="L2124" s="19"/>
      <c r="M2124" s="19"/>
      <c r="N2124" s="30"/>
      <c r="O2124" s="30"/>
      <c r="P2124" s="32"/>
      <c r="Q2124" s="32"/>
      <c r="R2124" s="32"/>
      <c r="S2124" s="32"/>
      <c r="T2124" s="32"/>
      <c r="U2124" s="30"/>
    </row>
    <row r="2125" spans="1:21">
      <c r="A2125" s="29"/>
      <c r="B2125" s="29"/>
      <c r="C2125" s="29"/>
      <c r="D2125" s="29"/>
      <c r="E2125" s="29"/>
      <c r="F2125" s="29"/>
      <c r="G2125" s="29"/>
      <c r="H2125" s="29"/>
      <c r="J2125" s="29"/>
      <c r="K2125" s="29"/>
      <c r="L2125" s="19"/>
      <c r="M2125" s="19"/>
      <c r="N2125" s="30"/>
      <c r="O2125" s="30"/>
      <c r="P2125" s="32"/>
      <c r="Q2125" s="32"/>
      <c r="R2125" s="32"/>
      <c r="S2125" s="32"/>
      <c r="T2125" s="32"/>
      <c r="U2125" s="30"/>
    </row>
    <row r="2126" spans="1:21">
      <c r="A2126" s="29"/>
      <c r="B2126" s="29"/>
      <c r="C2126" s="29"/>
      <c r="D2126" s="29"/>
      <c r="E2126" s="29"/>
      <c r="F2126" s="29"/>
      <c r="G2126" s="29"/>
      <c r="H2126" s="29"/>
      <c r="J2126" s="29"/>
      <c r="K2126" s="29"/>
      <c r="L2126" s="19"/>
      <c r="M2126" s="19"/>
      <c r="N2126" s="30"/>
      <c r="O2126" s="30"/>
      <c r="P2126" s="32"/>
      <c r="Q2126" s="32"/>
      <c r="R2126" s="32"/>
      <c r="S2126" s="32"/>
      <c r="T2126" s="32"/>
      <c r="U2126" s="30"/>
    </row>
    <row r="2127" spans="1:21">
      <c r="A2127" s="29"/>
      <c r="B2127" s="29"/>
      <c r="C2127" s="29"/>
      <c r="D2127" s="29"/>
      <c r="E2127" s="29"/>
      <c r="F2127" s="29"/>
      <c r="G2127" s="29"/>
      <c r="H2127" s="29"/>
      <c r="J2127" s="29"/>
      <c r="K2127" s="29"/>
      <c r="L2127" s="19"/>
      <c r="M2127" s="19"/>
      <c r="N2127" s="30"/>
      <c r="O2127" s="30"/>
      <c r="P2127" s="32"/>
      <c r="Q2127" s="32"/>
      <c r="R2127" s="32"/>
      <c r="S2127" s="32"/>
      <c r="T2127" s="32"/>
      <c r="U2127" s="30"/>
    </row>
    <row r="2128" spans="1:21">
      <c r="A2128" s="29"/>
      <c r="B2128" s="29"/>
      <c r="C2128" s="29"/>
      <c r="D2128" s="29"/>
      <c r="E2128" s="29"/>
      <c r="F2128" s="29"/>
      <c r="G2128" s="29"/>
      <c r="H2128" s="29"/>
      <c r="J2128" s="29"/>
      <c r="K2128" s="29"/>
      <c r="L2128" s="19"/>
      <c r="M2128" s="19"/>
      <c r="N2128" s="30"/>
      <c r="O2128" s="30"/>
      <c r="P2128" s="32"/>
      <c r="Q2128" s="32"/>
      <c r="R2128" s="32"/>
      <c r="S2128" s="32"/>
      <c r="T2128" s="32"/>
      <c r="U2128" s="30"/>
    </row>
    <row r="2129" spans="1:21">
      <c r="A2129" s="29"/>
      <c r="B2129" s="29"/>
      <c r="C2129" s="29"/>
      <c r="D2129" s="29"/>
      <c r="E2129" s="29"/>
      <c r="F2129" s="29"/>
      <c r="G2129" s="29"/>
      <c r="H2129" s="29"/>
      <c r="J2129" s="29"/>
      <c r="K2129" s="29"/>
      <c r="L2129" s="19"/>
      <c r="M2129" s="19"/>
      <c r="N2129" s="30"/>
      <c r="O2129" s="30"/>
      <c r="P2129" s="32"/>
      <c r="Q2129" s="32"/>
      <c r="R2129" s="32"/>
      <c r="S2129" s="32"/>
      <c r="T2129" s="32"/>
      <c r="U2129" s="30"/>
    </row>
    <row r="2130" spans="1:21">
      <c r="A2130" s="29"/>
      <c r="B2130" s="29"/>
      <c r="C2130" s="29"/>
      <c r="D2130" s="29"/>
      <c r="E2130" s="29"/>
      <c r="F2130" s="29"/>
      <c r="G2130" s="29"/>
      <c r="H2130" s="29"/>
      <c r="J2130" s="29"/>
      <c r="K2130" s="29"/>
      <c r="L2130" s="19"/>
      <c r="M2130" s="19"/>
      <c r="N2130" s="30"/>
      <c r="O2130" s="30"/>
      <c r="P2130" s="32"/>
      <c r="Q2130" s="32"/>
      <c r="R2130" s="32"/>
      <c r="S2130" s="32"/>
      <c r="T2130" s="32"/>
      <c r="U2130" s="30"/>
    </row>
    <row r="2131" spans="1:21">
      <c r="A2131" s="29"/>
      <c r="B2131" s="29"/>
      <c r="C2131" s="29"/>
      <c r="D2131" s="29"/>
      <c r="E2131" s="29"/>
      <c r="F2131" s="29"/>
      <c r="G2131" s="29"/>
      <c r="H2131" s="29"/>
      <c r="J2131" s="29"/>
      <c r="K2131" s="29"/>
      <c r="L2131" s="19"/>
      <c r="M2131" s="19"/>
      <c r="N2131" s="30"/>
      <c r="O2131" s="30"/>
      <c r="P2131" s="32"/>
      <c r="Q2131" s="32"/>
      <c r="R2131" s="32"/>
      <c r="S2131" s="32"/>
      <c r="T2131" s="32"/>
      <c r="U2131" s="30"/>
    </row>
    <row r="2132" spans="1:21">
      <c r="A2132" s="29"/>
      <c r="B2132" s="29"/>
      <c r="C2132" s="29"/>
      <c r="D2132" s="29"/>
      <c r="E2132" s="29"/>
      <c r="F2132" s="29"/>
      <c r="G2132" s="29"/>
      <c r="H2132" s="29"/>
      <c r="J2132" s="29"/>
      <c r="K2132" s="29"/>
      <c r="L2132" s="19"/>
      <c r="M2132" s="19"/>
      <c r="N2132" s="30"/>
      <c r="O2132" s="30"/>
      <c r="P2132" s="32"/>
      <c r="Q2132" s="32"/>
      <c r="R2132" s="32"/>
      <c r="S2132" s="32"/>
      <c r="T2132" s="32"/>
      <c r="U2132" s="30"/>
    </row>
    <row r="2133" spans="1:21">
      <c r="A2133" s="29"/>
      <c r="B2133" s="29"/>
      <c r="C2133" s="29"/>
      <c r="D2133" s="29"/>
      <c r="E2133" s="29"/>
      <c r="F2133" s="29"/>
      <c r="G2133" s="29"/>
      <c r="H2133" s="29"/>
      <c r="J2133" s="29"/>
      <c r="K2133" s="29"/>
      <c r="L2133" s="19"/>
      <c r="M2133" s="19"/>
      <c r="N2133" s="30"/>
      <c r="O2133" s="30"/>
      <c r="P2133" s="32"/>
      <c r="Q2133" s="32"/>
      <c r="R2133" s="32"/>
      <c r="S2133" s="32"/>
      <c r="T2133" s="32"/>
      <c r="U2133" s="30"/>
    </row>
    <row r="2134" spans="1:21">
      <c r="A2134" s="29"/>
      <c r="B2134" s="29"/>
      <c r="C2134" s="29"/>
      <c r="D2134" s="29"/>
      <c r="E2134" s="29"/>
      <c r="F2134" s="29"/>
      <c r="G2134" s="29"/>
      <c r="H2134" s="29"/>
      <c r="J2134" s="29"/>
      <c r="K2134" s="29"/>
      <c r="L2134" s="19"/>
      <c r="M2134" s="19"/>
      <c r="N2134" s="30"/>
      <c r="O2134" s="30"/>
      <c r="P2134" s="32"/>
      <c r="Q2134" s="32"/>
      <c r="R2134" s="32"/>
      <c r="S2134" s="32"/>
      <c r="T2134" s="32"/>
      <c r="U2134" s="30"/>
    </row>
    <row r="2135" spans="1:21">
      <c r="A2135" s="29"/>
      <c r="B2135" s="29"/>
      <c r="C2135" s="29"/>
      <c r="D2135" s="29"/>
      <c r="E2135" s="29"/>
      <c r="F2135" s="29"/>
      <c r="G2135" s="29"/>
      <c r="H2135" s="29"/>
      <c r="J2135" s="29"/>
      <c r="K2135" s="29"/>
      <c r="L2135" s="19"/>
      <c r="M2135" s="19"/>
      <c r="N2135" s="30"/>
      <c r="O2135" s="30"/>
      <c r="P2135" s="32"/>
      <c r="Q2135" s="32"/>
      <c r="R2135" s="32"/>
      <c r="S2135" s="32"/>
      <c r="T2135" s="32"/>
      <c r="U2135" s="30"/>
    </row>
    <row r="2136" spans="1:21">
      <c r="A2136" s="29"/>
      <c r="B2136" s="29"/>
      <c r="C2136" s="29"/>
      <c r="D2136" s="29"/>
      <c r="E2136" s="29"/>
      <c r="F2136" s="29"/>
      <c r="G2136" s="29"/>
      <c r="H2136" s="29"/>
      <c r="J2136" s="29"/>
      <c r="K2136" s="29"/>
      <c r="L2136" s="19"/>
      <c r="M2136" s="19"/>
      <c r="N2136" s="30"/>
      <c r="O2136" s="30"/>
      <c r="P2136" s="32"/>
      <c r="Q2136" s="32"/>
      <c r="R2136" s="32"/>
      <c r="S2136" s="32"/>
      <c r="T2136" s="32"/>
      <c r="U2136" s="30"/>
    </row>
    <row r="2137" spans="1:21">
      <c r="A2137" s="29"/>
      <c r="B2137" s="29"/>
      <c r="C2137" s="29"/>
      <c r="D2137" s="29"/>
      <c r="E2137" s="29"/>
      <c r="F2137" s="29"/>
      <c r="G2137" s="29"/>
      <c r="H2137" s="29"/>
      <c r="J2137" s="29"/>
      <c r="K2137" s="29"/>
      <c r="L2137" s="19"/>
      <c r="M2137" s="19"/>
      <c r="N2137" s="30"/>
      <c r="O2137" s="30"/>
      <c r="P2137" s="32"/>
      <c r="Q2137" s="32"/>
      <c r="R2137" s="32"/>
      <c r="S2137" s="32"/>
      <c r="T2137" s="32"/>
      <c r="U2137" s="30"/>
    </row>
    <row r="2138" spans="1:21">
      <c r="A2138" s="29"/>
      <c r="B2138" s="29"/>
      <c r="C2138" s="29"/>
      <c r="D2138" s="29"/>
      <c r="E2138" s="29"/>
      <c r="F2138" s="29"/>
      <c r="G2138" s="29"/>
      <c r="H2138" s="29"/>
      <c r="J2138" s="29"/>
      <c r="K2138" s="29"/>
      <c r="L2138" s="19"/>
      <c r="M2138" s="19"/>
      <c r="N2138" s="30"/>
      <c r="O2138" s="30"/>
      <c r="P2138" s="32"/>
      <c r="Q2138" s="32"/>
      <c r="R2138" s="32"/>
      <c r="S2138" s="32"/>
      <c r="T2138" s="32"/>
      <c r="U2138" s="30"/>
    </row>
    <row r="2139" spans="1:21">
      <c r="A2139" s="29"/>
      <c r="B2139" s="29"/>
      <c r="C2139" s="29"/>
      <c r="D2139" s="29"/>
      <c r="E2139" s="29"/>
      <c r="F2139" s="29"/>
      <c r="G2139" s="29"/>
      <c r="H2139" s="29"/>
      <c r="J2139" s="29"/>
      <c r="K2139" s="29"/>
      <c r="L2139" s="19"/>
      <c r="M2139" s="19"/>
      <c r="N2139" s="30"/>
      <c r="O2139" s="30"/>
      <c r="P2139" s="32"/>
      <c r="Q2139" s="32"/>
      <c r="R2139" s="32"/>
      <c r="S2139" s="32"/>
      <c r="T2139" s="32"/>
      <c r="U2139" s="30"/>
    </row>
    <row r="2140" spans="1:21">
      <c r="A2140" s="29"/>
      <c r="B2140" s="29"/>
      <c r="C2140" s="29"/>
      <c r="D2140" s="29"/>
      <c r="E2140" s="29"/>
      <c r="F2140" s="29"/>
      <c r="G2140" s="29"/>
      <c r="H2140" s="29"/>
      <c r="J2140" s="29"/>
      <c r="K2140" s="29"/>
      <c r="L2140" s="19"/>
      <c r="M2140" s="19"/>
      <c r="N2140" s="30"/>
      <c r="O2140" s="30"/>
      <c r="P2140" s="32"/>
      <c r="Q2140" s="32"/>
      <c r="R2140" s="32"/>
      <c r="S2140" s="32"/>
      <c r="T2140" s="32"/>
      <c r="U2140" s="30"/>
    </row>
    <row r="2141" spans="1:21">
      <c r="A2141" s="29"/>
      <c r="B2141" s="29"/>
      <c r="C2141" s="29"/>
      <c r="D2141" s="29"/>
      <c r="E2141" s="29"/>
      <c r="F2141" s="29"/>
      <c r="G2141" s="29"/>
      <c r="H2141" s="29"/>
      <c r="J2141" s="29"/>
      <c r="K2141" s="29"/>
      <c r="L2141" s="19"/>
      <c r="M2141" s="19"/>
      <c r="N2141" s="30"/>
      <c r="O2141" s="30"/>
      <c r="P2141" s="32"/>
      <c r="Q2141" s="32"/>
      <c r="R2141" s="32"/>
      <c r="S2141" s="32"/>
      <c r="T2141" s="32"/>
      <c r="U2141" s="30"/>
    </row>
    <row r="2142" spans="1:21">
      <c r="A2142" s="29"/>
      <c r="B2142" s="29"/>
      <c r="C2142" s="29"/>
      <c r="D2142" s="29"/>
      <c r="E2142" s="29"/>
      <c r="F2142" s="29"/>
      <c r="G2142" s="29"/>
      <c r="H2142" s="29"/>
      <c r="J2142" s="29"/>
      <c r="K2142" s="29"/>
      <c r="L2142" s="19"/>
      <c r="M2142" s="19"/>
      <c r="N2142" s="30"/>
      <c r="O2142" s="30"/>
      <c r="P2142" s="32"/>
      <c r="Q2142" s="32"/>
      <c r="R2142" s="32"/>
      <c r="S2142" s="32"/>
      <c r="T2142" s="32"/>
      <c r="U2142" s="30"/>
    </row>
    <row r="2143" spans="1:21">
      <c r="A2143" s="29"/>
      <c r="B2143" s="29"/>
      <c r="C2143" s="29"/>
      <c r="D2143" s="29"/>
      <c r="E2143" s="29"/>
      <c r="F2143" s="29"/>
      <c r="G2143" s="29"/>
      <c r="H2143" s="29"/>
      <c r="J2143" s="29"/>
      <c r="K2143" s="29"/>
      <c r="L2143" s="19"/>
      <c r="M2143" s="19"/>
      <c r="N2143" s="30"/>
      <c r="O2143" s="30"/>
      <c r="P2143" s="32"/>
      <c r="Q2143" s="32"/>
      <c r="R2143" s="32"/>
      <c r="S2143" s="32"/>
      <c r="T2143" s="32"/>
      <c r="U2143" s="30"/>
    </row>
    <row r="2144" spans="1:21">
      <c r="A2144" s="29"/>
      <c r="B2144" s="29"/>
      <c r="C2144" s="29"/>
      <c r="D2144" s="29"/>
      <c r="E2144" s="29"/>
      <c r="F2144" s="29"/>
      <c r="G2144" s="29"/>
      <c r="H2144" s="29"/>
      <c r="J2144" s="29"/>
      <c r="K2144" s="29"/>
      <c r="L2144" s="19"/>
      <c r="M2144" s="19"/>
      <c r="N2144" s="30"/>
      <c r="O2144" s="30"/>
      <c r="P2144" s="32"/>
      <c r="Q2144" s="32"/>
      <c r="R2144" s="32"/>
      <c r="S2144" s="32"/>
      <c r="T2144" s="32"/>
      <c r="U2144" s="30"/>
    </row>
    <row r="2145" spans="1:21">
      <c r="A2145" s="29"/>
      <c r="B2145" s="29"/>
      <c r="C2145" s="29"/>
      <c r="D2145" s="29"/>
      <c r="E2145" s="29"/>
      <c r="F2145" s="29"/>
      <c r="G2145" s="29"/>
      <c r="H2145" s="29"/>
      <c r="J2145" s="29"/>
      <c r="K2145" s="29"/>
      <c r="L2145" s="19"/>
      <c r="M2145" s="19"/>
      <c r="N2145" s="30"/>
      <c r="O2145" s="30"/>
      <c r="P2145" s="32"/>
      <c r="Q2145" s="32"/>
      <c r="R2145" s="32"/>
      <c r="S2145" s="32"/>
      <c r="T2145" s="32"/>
      <c r="U2145" s="30"/>
    </row>
    <row r="2146" spans="1:21">
      <c r="A2146" s="29"/>
      <c r="B2146" s="29"/>
      <c r="C2146" s="29"/>
      <c r="D2146" s="29"/>
      <c r="E2146" s="29"/>
      <c r="F2146" s="29"/>
      <c r="G2146" s="29"/>
      <c r="H2146" s="29"/>
      <c r="J2146" s="29"/>
      <c r="K2146" s="29"/>
      <c r="L2146" s="19"/>
      <c r="M2146" s="19"/>
      <c r="N2146" s="30"/>
      <c r="O2146" s="30"/>
      <c r="P2146" s="32"/>
      <c r="Q2146" s="32"/>
      <c r="R2146" s="32"/>
      <c r="S2146" s="32"/>
      <c r="T2146" s="32"/>
      <c r="U2146" s="30"/>
    </row>
    <row r="2147" spans="1:21">
      <c r="A2147" s="29"/>
      <c r="B2147" s="29"/>
      <c r="C2147" s="29"/>
      <c r="D2147" s="29"/>
      <c r="E2147" s="29"/>
      <c r="F2147" s="29"/>
      <c r="G2147" s="29"/>
      <c r="H2147" s="29"/>
      <c r="J2147" s="29"/>
      <c r="K2147" s="29"/>
      <c r="L2147" s="19"/>
      <c r="M2147" s="19"/>
      <c r="N2147" s="30"/>
      <c r="O2147" s="30"/>
      <c r="P2147" s="32"/>
      <c r="Q2147" s="32"/>
      <c r="R2147" s="32"/>
      <c r="S2147" s="32"/>
      <c r="T2147" s="32"/>
      <c r="U2147" s="30"/>
    </row>
    <row r="2148" spans="1:21">
      <c r="A2148" s="29"/>
      <c r="B2148" s="29"/>
      <c r="C2148" s="29"/>
      <c r="D2148" s="29"/>
      <c r="E2148" s="29"/>
      <c r="F2148" s="29"/>
      <c r="G2148" s="29"/>
      <c r="H2148" s="29"/>
      <c r="J2148" s="29"/>
      <c r="K2148" s="29"/>
      <c r="L2148" s="19"/>
      <c r="M2148" s="19"/>
      <c r="N2148" s="30"/>
      <c r="O2148" s="30"/>
      <c r="P2148" s="32"/>
      <c r="Q2148" s="32"/>
      <c r="R2148" s="32"/>
      <c r="S2148" s="32"/>
      <c r="T2148" s="32"/>
      <c r="U2148" s="30"/>
    </row>
    <row r="2149" spans="1:21">
      <c r="A2149" s="29"/>
      <c r="B2149" s="29"/>
      <c r="C2149" s="29"/>
      <c r="D2149" s="29"/>
      <c r="E2149" s="29"/>
      <c r="F2149" s="29"/>
      <c r="G2149" s="29"/>
      <c r="H2149" s="29"/>
      <c r="J2149" s="29"/>
      <c r="K2149" s="29"/>
      <c r="L2149" s="19"/>
      <c r="M2149" s="19"/>
      <c r="N2149" s="30"/>
      <c r="O2149" s="30"/>
      <c r="P2149" s="32"/>
      <c r="Q2149" s="32"/>
      <c r="R2149" s="32"/>
      <c r="S2149" s="32"/>
      <c r="T2149" s="32"/>
      <c r="U2149" s="30"/>
    </row>
    <row r="2150" spans="1:21">
      <c r="A2150" s="29"/>
      <c r="B2150" s="29"/>
      <c r="C2150" s="29"/>
      <c r="D2150" s="29"/>
      <c r="E2150" s="29"/>
      <c r="F2150" s="29"/>
      <c r="G2150" s="29"/>
      <c r="H2150" s="29"/>
      <c r="J2150" s="29"/>
      <c r="K2150" s="29"/>
      <c r="L2150" s="19"/>
      <c r="M2150" s="19"/>
      <c r="N2150" s="30"/>
      <c r="O2150" s="30"/>
      <c r="P2150" s="32"/>
      <c r="Q2150" s="32"/>
      <c r="R2150" s="32"/>
      <c r="S2150" s="32"/>
      <c r="T2150" s="32"/>
      <c r="U2150" s="30"/>
    </row>
    <row r="2151" spans="1:21">
      <c r="A2151" s="29"/>
      <c r="B2151" s="29"/>
      <c r="C2151" s="29"/>
      <c r="D2151" s="29"/>
      <c r="E2151" s="29"/>
      <c r="F2151" s="29"/>
      <c r="G2151" s="29"/>
      <c r="H2151" s="29"/>
      <c r="J2151" s="29"/>
      <c r="K2151" s="29"/>
      <c r="L2151" s="19"/>
      <c r="M2151" s="19"/>
      <c r="N2151" s="30"/>
      <c r="O2151" s="30"/>
      <c r="P2151" s="32"/>
      <c r="Q2151" s="32"/>
      <c r="R2151" s="32"/>
      <c r="S2151" s="32"/>
      <c r="T2151" s="32"/>
      <c r="U2151" s="30"/>
    </row>
    <row r="2152" spans="1:21">
      <c r="A2152" s="29"/>
      <c r="B2152" s="29"/>
      <c r="C2152" s="29"/>
      <c r="D2152" s="29"/>
      <c r="E2152" s="29"/>
      <c r="F2152" s="29"/>
      <c r="G2152" s="29"/>
      <c r="H2152" s="29"/>
      <c r="J2152" s="29"/>
      <c r="K2152" s="29"/>
      <c r="L2152" s="19"/>
      <c r="M2152" s="19"/>
      <c r="N2152" s="30"/>
      <c r="O2152" s="30"/>
      <c r="P2152" s="32"/>
      <c r="Q2152" s="32"/>
      <c r="R2152" s="32"/>
      <c r="S2152" s="32"/>
      <c r="T2152" s="32"/>
      <c r="U2152" s="30"/>
    </row>
    <row r="2153" spans="1:21">
      <c r="A2153" s="29"/>
      <c r="B2153" s="29"/>
      <c r="C2153" s="29"/>
      <c r="D2153" s="29"/>
      <c r="E2153" s="29"/>
      <c r="F2153" s="29"/>
      <c r="G2153" s="29"/>
      <c r="H2153" s="29"/>
      <c r="J2153" s="29"/>
      <c r="K2153" s="29"/>
      <c r="L2153" s="19"/>
      <c r="M2153" s="19"/>
      <c r="N2153" s="30"/>
      <c r="O2153" s="30"/>
      <c r="P2153" s="32"/>
      <c r="Q2153" s="32"/>
      <c r="R2153" s="32"/>
      <c r="S2153" s="32"/>
      <c r="T2153" s="32"/>
      <c r="U2153" s="30"/>
    </row>
    <row r="2154" spans="1:21">
      <c r="A2154" s="29"/>
      <c r="B2154" s="29"/>
      <c r="C2154" s="29"/>
      <c r="D2154" s="29"/>
      <c r="E2154" s="29"/>
      <c r="F2154" s="29"/>
      <c r="G2154" s="29"/>
      <c r="H2154" s="29"/>
      <c r="J2154" s="29"/>
      <c r="K2154" s="29"/>
      <c r="L2154" s="19"/>
      <c r="M2154" s="19"/>
      <c r="N2154" s="30"/>
      <c r="O2154" s="30"/>
      <c r="P2154" s="32"/>
      <c r="Q2154" s="32"/>
      <c r="R2154" s="32"/>
      <c r="S2154" s="32"/>
      <c r="T2154" s="32"/>
      <c r="U2154" s="30"/>
    </row>
    <row r="2155" spans="1:21">
      <c r="A2155" s="29"/>
      <c r="B2155" s="29"/>
      <c r="C2155" s="29"/>
      <c r="D2155" s="29"/>
      <c r="E2155" s="29"/>
      <c r="F2155" s="29"/>
      <c r="G2155" s="29"/>
      <c r="H2155" s="29"/>
      <c r="J2155" s="29"/>
      <c r="K2155" s="29"/>
      <c r="L2155" s="19"/>
      <c r="M2155" s="19"/>
      <c r="N2155" s="30"/>
      <c r="O2155" s="30"/>
      <c r="P2155" s="32"/>
      <c r="Q2155" s="32"/>
      <c r="R2155" s="32"/>
      <c r="S2155" s="32"/>
      <c r="T2155" s="32"/>
      <c r="U2155" s="30"/>
    </row>
    <row r="2156" spans="1:21">
      <c r="A2156" s="29"/>
      <c r="B2156" s="29"/>
      <c r="C2156" s="29"/>
      <c r="D2156" s="29"/>
      <c r="E2156" s="29"/>
      <c r="F2156" s="29"/>
      <c r="G2156" s="29"/>
      <c r="H2156" s="29"/>
      <c r="J2156" s="29"/>
      <c r="K2156" s="29"/>
      <c r="L2156" s="19"/>
      <c r="M2156" s="19"/>
      <c r="N2156" s="30"/>
      <c r="O2156" s="30"/>
      <c r="P2156" s="32"/>
      <c r="Q2156" s="32"/>
      <c r="R2156" s="32"/>
      <c r="S2156" s="32"/>
      <c r="T2156" s="32"/>
      <c r="U2156" s="30"/>
    </row>
    <row r="2157" spans="1:21">
      <c r="A2157" s="29"/>
      <c r="B2157" s="29"/>
      <c r="C2157" s="29"/>
      <c r="D2157" s="29"/>
      <c r="E2157" s="29"/>
      <c r="F2157" s="29"/>
      <c r="G2157" s="29"/>
      <c r="H2157" s="29"/>
      <c r="J2157" s="29"/>
      <c r="K2157" s="29"/>
      <c r="L2157" s="19"/>
      <c r="M2157" s="19"/>
      <c r="N2157" s="30"/>
      <c r="O2157" s="30"/>
      <c r="P2157" s="32"/>
      <c r="Q2157" s="32"/>
      <c r="R2157" s="32"/>
      <c r="S2157" s="32"/>
      <c r="T2157" s="32"/>
      <c r="U2157" s="30"/>
    </row>
    <row r="2158" spans="1:21">
      <c r="A2158" s="29"/>
      <c r="B2158" s="29"/>
      <c r="C2158" s="29"/>
      <c r="D2158" s="29"/>
      <c r="E2158" s="29"/>
      <c r="F2158" s="29"/>
      <c r="G2158" s="29"/>
      <c r="H2158" s="29"/>
      <c r="J2158" s="29"/>
      <c r="K2158" s="29"/>
      <c r="L2158" s="19"/>
      <c r="M2158" s="19"/>
      <c r="N2158" s="30"/>
      <c r="O2158" s="30"/>
      <c r="P2158" s="32"/>
      <c r="Q2158" s="32"/>
      <c r="R2158" s="32"/>
      <c r="S2158" s="32"/>
      <c r="T2158" s="32"/>
      <c r="U2158" s="30"/>
    </row>
    <row r="2159" spans="1:21">
      <c r="A2159" s="29"/>
      <c r="B2159" s="29"/>
      <c r="C2159" s="29"/>
      <c r="D2159" s="29"/>
      <c r="E2159" s="29"/>
      <c r="F2159" s="29"/>
      <c r="G2159" s="29"/>
      <c r="H2159" s="29"/>
      <c r="J2159" s="29"/>
      <c r="K2159" s="29"/>
      <c r="L2159" s="19"/>
      <c r="M2159" s="19"/>
      <c r="N2159" s="30"/>
      <c r="O2159" s="30"/>
      <c r="P2159" s="32"/>
      <c r="Q2159" s="32"/>
      <c r="R2159" s="32"/>
      <c r="S2159" s="32"/>
      <c r="T2159" s="32"/>
      <c r="U2159" s="30"/>
    </row>
    <row r="2160" spans="1:21">
      <c r="A2160" s="29"/>
      <c r="B2160" s="29"/>
      <c r="C2160" s="29"/>
      <c r="D2160" s="29"/>
      <c r="E2160" s="29"/>
      <c r="F2160" s="29"/>
      <c r="G2160" s="29"/>
      <c r="H2160" s="29"/>
      <c r="J2160" s="29"/>
      <c r="K2160" s="29"/>
      <c r="L2160" s="19"/>
      <c r="M2160" s="19"/>
      <c r="N2160" s="30"/>
      <c r="O2160" s="30"/>
      <c r="P2160" s="32"/>
      <c r="Q2160" s="32"/>
      <c r="R2160" s="32"/>
      <c r="S2160" s="32"/>
      <c r="T2160" s="32"/>
      <c r="U2160" s="30"/>
    </row>
    <row r="2161" spans="1:21">
      <c r="A2161" s="29"/>
      <c r="B2161" s="29"/>
      <c r="C2161" s="29"/>
      <c r="D2161" s="29"/>
      <c r="E2161" s="29"/>
      <c r="F2161" s="29"/>
      <c r="G2161" s="29"/>
      <c r="H2161" s="29"/>
      <c r="J2161" s="29"/>
      <c r="K2161" s="29"/>
      <c r="L2161" s="19"/>
      <c r="M2161" s="19"/>
      <c r="N2161" s="30"/>
      <c r="O2161" s="30"/>
      <c r="P2161" s="32"/>
      <c r="Q2161" s="32"/>
      <c r="R2161" s="32"/>
      <c r="S2161" s="32"/>
      <c r="T2161" s="32"/>
      <c r="U2161" s="30"/>
    </row>
    <row r="2162" spans="1:21">
      <c r="A2162" s="29"/>
      <c r="B2162" s="29"/>
      <c r="C2162" s="29"/>
      <c r="D2162" s="29"/>
      <c r="E2162" s="29"/>
      <c r="F2162" s="29"/>
      <c r="G2162" s="29"/>
      <c r="H2162" s="29"/>
      <c r="J2162" s="29"/>
      <c r="K2162" s="29"/>
      <c r="L2162" s="19"/>
      <c r="M2162" s="19"/>
      <c r="N2162" s="30"/>
      <c r="O2162" s="30"/>
      <c r="P2162" s="32"/>
      <c r="Q2162" s="32"/>
      <c r="R2162" s="32"/>
      <c r="S2162" s="32"/>
      <c r="T2162" s="32"/>
      <c r="U2162" s="30"/>
    </row>
    <row r="2163" spans="1:21">
      <c r="A2163" s="29"/>
      <c r="B2163" s="29"/>
      <c r="C2163" s="29"/>
      <c r="D2163" s="29"/>
      <c r="E2163" s="29"/>
      <c r="F2163" s="29"/>
      <c r="G2163" s="29"/>
      <c r="H2163" s="29"/>
      <c r="J2163" s="29"/>
      <c r="K2163" s="29"/>
      <c r="L2163" s="19"/>
      <c r="M2163" s="19"/>
      <c r="N2163" s="30"/>
      <c r="O2163" s="30"/>
      <c r="P2163" s="32"/>
      <c r="Q2163" s="32"/>
      <c r="R2163" s="32"/>
      <c r="S2163" s="32"/>
      <c r="T2163" s="32"/>
      <c r="U2163" s="30"/>
    </row>
    <row r="2164" spans="1:21">
      <c r="A2164" s="29"/>
      <c r="B2164" s="29"/>
      <c r="C2164" s="29"/>
      <c r="D2164" s="29"/>
      <c r="E2164" s="29"/>
      <c r="F2164" s="29"/>
      <c r="G2164" s="29"/>
      <c r="H2164" s="29"/>
      <c r="J2164" s="29"/>
      <c r="K2164" s="29"/>
      <c r="L2164" s="19"/>
      <c r="M2164" s="19"/>
      <c r="N2164" s="30"/>
      <c r="O2164" s="30"/>
      <c r="P2164" s="32"/>
      <c r="Q2164" s="32"/>
      <c r="R2164" s="32"/>
      <c r="S2164" s="32"/>
      <c r="T2164" s="32"/>
      <c r="U2164" s="30"/>
    </row>
    <row r="2165" spans="1:21">
      <c r="A2165" s="29"/>
      <c r="B2165" s="29"/>
      <c r="C2165" s="29"/>
      <c r="D2165" s="29"/>
      <c r="E2165" s="29"/>
      <c r="F2165" s="29"/>
      <c r="G2165" s="29"/>
      <c r="H2165" s="29"/>
      <c r="J2165" s="29"/>
      <c r="K2165" s="29"/>
      <c r="L2165" s="19"/>
      <c r="M2165" s="19"/>
      <c r="N2165" s="30"/>
      <c r="O2165" s="30"/>
      <c r="P2165" s="32"/>
      <c r="Q2165" s="32"/>
      <c r="R2165" s="32"/>
      <c r="S2165" s="32"/>
      <c r="T2165" s="32"/>
      <c r="U2165" s="30"/>
    </row>
    <row r="2166" spans="1:21">
      <c r="A2166" s="29"/>
      <c r="B2166" s="29"/>
      <c r="C2166" s="29"/>
      <c r="D2166" s="29"/>
      <c r="E2166" s="29"/>
      <c r="F2166" s="29"/>
      <c r="G2166" s="29"/>
      <c r="H2166" s="29"/>
      <c r="J2166" s="29"/>
      <c r="K2166" s="29"/>
      <c r="L2166" s="19"/>
      <c r="M2166" s="19"/>
      <c r="N2166" s="30"/>
      <c r="O2166" s="30"/>
      <c r="P2166" s="32"/>
      <c r="Q2166" s="32"/>
      <c r="R2166" s="32"/>
      <c r="S2166" s="32"/>
      <c r="T2166" s="32"/>
      <c r="U2166" s="30"/>
    </row>
    <row r="2167" spans="1:21">
      <c r="A2167" s="29"/>
      <c r="B2167" s="29"/>
      <c r="C2167" s="29"/>
      <c r="D2167" s="29"/>
      <c r="E2167" s="29"/>
      <c r="F2167" s="29"/>
      <c r="G2167" s="29"/>
      <c r="H2167" s="29"/>
      <c r="J2167" s="29"/>
      <c r="K2167" s="29"/>
      <c r="L2167" s="19"/>
      <c r="M2167" s="19"/>
      <c r="N2167" s="30"/>
      <c r="O2167" s="30"/>
      <c r="P2167" s="32"/>
      <c r="Q2167" s="32"/>
      <c r="R2167" s="32"/>
      <c r="S2167" s="32"/>
      <c r="T2167" s="32"/>
      <c r="U2167" s="30"/>
    </row>
    <row r="2168" spans="1:21">
      <c r="A2168" s="29"/>
      <c r="B2168" s="29"/>
      <c r="C2168" s="29"/>
      <c r="D2168" s="29"/>
      <c r="E2168" s="29"/>
      <c r="F2168" s="29"/>
      <c r="G2168" s="29"/>
      <c r="H2168" s="29"/>
      <c r="J2168" s="29"/>
      <c r="K2168" s="29"/>
      <c r="L2168" s="19"/>
      <c r="M2168" s="19"/>
      <c r="N2168" s="30"/>
      <c r="O2168" s="30"/>
      <c r="P2168" s="32"/>
      <c r="Q2168" s="32"/>
      <c r="R2168" s="32"/>
      <c r="S2168" s="32"/>
      <c r="T2168" s="32"/>
      <c r="U2168" s="30"/>
    </row>
    <row r="2169" spans="1:21">
      <c r="A2169" s="29"/>
      <c r="B2169" s="29"/>
      <c r="C2169" s="29"/>
      <c r="D2169" s="29"/>
      <c r="E2169" s="29"/>
      <c r="F2169" s="29"/>
      <c r="G2169" s="29"/>
      <c r="H2169" s="29"/>
      <c r="J2169" s="29"/>
      <c r="K2169" s="29"/>
      <c r="L2169" s="19"/>
      <c r="M2169" s="19"/>
      <c r="N2169" s="30"/>
      <c r="O2169" s="30"/>
      <c r="P2169" s="32"/>
      <c r="Q2169" s="32"/>
      <c r="R2169" s="32"/>
      <c r="S2169" s="32"/>
      <c r="T2169" s="32"/>
      <c r="U2169" s="30"/>
    </row>
    <row r="2170" spans="1:21">
      <c r="A2170" s="29"/>
      <c r="B2170" s="29"/>
      <c r="C2170" s="29"/>
      <c r="D2170" s="29"/>
      <c r="E2170" s="29"/>
      <c r="F2170" s="29"/>
      <c r="G2170" s="29"/>
      <c r="H2170" s="29"/>
      <c r="J2170" s="29"/>
      <c r="K2170" s="29"/>
      <c r="L2170" s="19"/>
      <c r="M2170" s="19"/>
      <c r="N2170" s="30"/>
      <c r="O2170" s="30"/>
      <c r="P2170" s="32"/>
      <c r="Q2170" s="32"/>
      <c r="R2170" s="32"/>
      <c r="S2170" s="32"/>
      <c r="T2170" s="32"/>
      <c r="U2170" s="30"/>
    </row>
    <row r="2171" spans="1:21">
      <c r="A2171" s="29"/>
      <c r="B2171" s="29"/>
      <c r="C2171" s="29"/>
      <c r="D2171" s="29"/>
      <c r="E2171" s="29"/>
      <c r="F2171" s="29"/>
      <c r="G2171" s="29"/>
      <c r="H2171" s="29"/>
      <c r="J2171" s="29"/>
      <c r="K2171" s="29"/>
      <c r="L2171" s="19"/>
      <c r="M2171" s="19"/>
      <c r="N2171" s="30"/>
      <c r="O2171" s="30"/>
      <c r="P2171" s="32"/>
      <c r="Q2171" s="32"/>
      <c r="R2171" s="32"/>
      <c r="S2171" s="32"/>
      <c r="T2171" s="32"/>
      <c r="U2171" s="30"/>
    </row>
    <row r="2172" spans="1:21">
      <c r="A2172" s="29"/>
      <c r="B2172" s="29"/>
      <c r="C2172" s="29"/>
      <c r="D2172" s="29"/>
      <c r="E2172" s="29"/>
      <c r="F2172" s="29"/>
      <c r="G2172" s="29"/>
      <c r="H2172" s="29"/>
      <c r="J2172" s="29"/>
      <c r="K2172" s="29"/>
      <c r="L2172" s="19"/>
      <c r="M2172" s="19"/>
      <c r="N2172" s="30"/>
      <c r="O2172" s="30"/>
      <c r="P2172" s="32"/>
      <c r="Q2172" s="32"/>
      <c r="R2172" s="32"/>
      <c r="S2172" s="32"/>
      <c r="T2172" s="32"/>
      <c r="U2172" s="30"/>
    </row>
    <row r="2173" spans="1:21">
      <c r="A2173" s="29"/>
      <c r="B2173" s="29"/>
      <c r="C2173" s="29"/>
      <c r="D2173" s="29"/>
      <c r="E2173" s="29"/>
      <c r="F2173" s="29"/>
      <c r="G2173" s="29"/>
      <c r="H2173" s="29"/>
      <c r="J2173" s="29"/>
      <c r="K2173" s="29"/>
      <c r="L2173" s="19"/>
      <c r="M2173" s="19"/>
      <c r="N2173" s="30"/>
      <c r="O2173" s="30"/>
      <c r="P2173" s="32"/>
      <c r="Q2173" s="32"/>
      <c r="R2173" s="32"/>
      <c r="S2173" s="32"/>
      <c r="T2173" s="32"/>
      <c r="U2173" s="30"/>
    </row>
    <row r="2174" spans="1:21">
      <c r="A2174" s="29"/>
      <c r="B2174" s="29"/>
      <c r="C2174" s="29"/>
      <c r="D2174" s="29"/>
      <c r="E2174" s="29"/>
      <c r="F2174" s="29"/>
      <c r="G2174" s="29"/>
      <c r="H2174" s="29"/>
      <c r="J2174" s="29"/>
      <c r="K2174" s="29"/>
      <c r="L2174" s="19"/>
      <c r="M2174" s="19"/>
      <c r="N2174" s="30"/>
      <c r="O2174" s="30"/>
      <c r="P2174" s="32"/>
      <c r="Q2174" s="32"/>
      <c r="R2174" s="32"/>
      <c r="S2174" s="32"/>
      <c r="T2174" s="32"/>
      <c r="U2174" s="30"/>
    </row>
    <row r="2175" spans="1:21">
      <c r="A2175" s="29"/>
      <c r="B2175" s="29"/>
      <c r="C2175" s="29"/>
      <c r="D2175" s="29"/>
      <c r="E2175" s="29"/>
      <c r="F2175" s="29"/>
      <c r="G2175" s="29"/>
      <c r="H2175" s="29"/>
      <c r="J2175" s="29"/>
      <c r="K2175" s="29"/>
      <c r="L2175" s="19"/>
      <c r="M2175" s="19"/>
      <c r="N2175" s="30"/>
      <c r="O2175" s="30"/>
      <c r="P2175" s="32"/>
      <c r="Q2175" s="32"/>
      <c r="R2175" s="32"/>
      <c r="S2175" s="32"/>
      <c r="T2175" s="32"/>
      <c r="U2175" s="30"/>
    </row>
    <row r="2176" spans="1:21">
      <c r="A2176" s="29"/>
      <c r="B2176" s="29"/>
      <c r="C2176" s="29"/>
      <c r="D2176" s="29"/>
      <c r="E2176" s="29"/>
      <c r="F2176" s="29"/>
      <c r="G2176" s="29"/>
      <c r="H2176" s="29"/>
      <c r="J2176" s="29"/>
      <c r="K2176" s="29"/>
      <c r="L2176" s="19"/>
      <c r="M2176" s="19"/>
      <c r="N2176" s="30"/>
      <c r="O2176" s="30"/>
      <c r="P2176" s="32"/>
      <c r="Q2176" s="32"/>
      <c r="R2176" s="32"/>
      <c r="S2176" s="32"/>
      <c r="T2176" s="32"/>
      <c r="U2176" s="30"/>
    </row>
    <row r="2177" spans="1:21">
      <c r="A2177" s="29"/>
      <c r="B2177" s="29"/>
      <c r="C2177" s="29"/>
      <c r="D2177" s="29"/>
      <c r="E2177" s="29"/>
      <c r="F2177" s="29"/>
      <c r="G2177" s="29"/>
      <c r="H2177" s="29"/>
      <c r="J2177" s="29"/>
      <c r="K2177" s="29"/>
      <c r="L2177" s="19"/>
      <c r="M2177" s="19"/>
      <c r="N2177" s="30"/>
      <c r="O2177" s="30"/>
      <c r="P2177" s="32"/>
      <c r="Q2177" s="32"/>
      <c r="R2177" s="32"/>
      <c r="S2177" s="32"/>
      <c r="T2177" s="32"/>
      <c r="U2177" s="30"/>
    </row>
    <row r="2178" spans="1:21">
      <c r="A2178" s="29"/>
      <c r="B2178" s="29"/>
      <c r="C2178" s="29"/>
      <c r="D2178" s="29"/>
      <c r="E2178" s="29"/>
      <c r="F2178" s="29"/>
      <c r="G2178" s="29"/>
      <c r="H2178" s="29"/>
      <c r="J2178" s="29"/>
      <c r="K2178" s="29"/>
      <c r="L2178" s="19"/>
      <c r="M2178" s="19"/>
      <c r="N2178" s="30"/>
      <c r="O2178" s="30"/>
      <c r="P2178" s="32"/>
      <c r="Q2178" s="32"/>
      <c r="R2178" s="32"/>
      <c r="S2178" s="32"/>
      <c r="T2178" s="32"/>
      <c r="U2178" s="30"/>
    </row>
    <row r="2179" spans="1:21">
      <c r="A2179" s="29"/>
      <c r="B2179" s="29"/>
      <c r="C2179" s="29"/>
      <c r="D2179" s="29"/>
      <c r="E2179" s="29"/>
      <c r="F2179" s="29"/>
      <c r="G2179" s="29"/>
      <c r="H2179" s="29"/>
      <c r="J2179" s="29"/>
      <c r="K2179" s="29"/>
      <c r="L2179" s="19"/>
      <c r="M2179" s="19"/>
      <c r="N2179" s="30"/>
      <c r="O2179" s="30"/>
      <c r="P2179" s="32"/>
      <c r="Q2179" s="32"/>
      <c r="R2179" s="32"/>
      <c r="S2179" s="32"/>
      <c r="T2179" s="32"/>
      <c r="U2179" s="30"/>
    </row>
    <row r="2180" spans="1:21">
      <c r="A2180" s="29"/>
      <c r="B2180" s="29"/>
      <c r="C2180" s="29"/>
      <c r="D2180" s="29"/>
      <c r="E2180" s="29"/>
      <c r="F2180" s="29"/>
      <c r="G2180" s="29"/>
      <c r="H2180" s="29"/>
      <c r="J2180" s="29"/>
      <c r="K2180" s="29"/>
      <c r="L2180" s="19"/>
      <c r="M2180" s="19"/>
      <c r="N2180" s="30"/>
      <c r="O2180" s="30"/>
      <c r="P2180" s="32"/>
      <c r="Q2180" s="32"/>
      <c r="R2180" s="32"/>
      <c r="S2180" s="32"/>
      <c r="T2180" s="32"/>
      <c r="U2180" s="30"/>
    </row>
    <row r="2181" spans="1:21">
      <c r="A2181" s="29"/>
      <c r="B2181" s="29"/>
      <c r="C2181" s="29"/>
      <c r="D2181" s="29"/>
      <c r="E2181" s="29"/>
      <c r="F2181" s="29"/>
      <c r="G2181" s="29"/>
      <c r="H2181" s="29"/>
      <c r="J2181" s="29"/>
      <c r="K2181" s="29"/>
      <c r="L2181" s="19"/>
      <c r="M2181" s="19"/>
      <c r="N2181" s="30"/>
      <c r="O2181" s="30"/>
      <c r="P2181" s="32"/>
      <c r="Q2181" s="32"/>
      <c r="R2181" s="32"/>
      <c r="S2181" s="32"/>
      <c r="T2181" s="32"/>
      <c r="U2181" s="30"/>
    </row>
    <row r="2182" spans="1:21">
      <c r="A2182" s="29"/>
      <c r="B2182" s="29"/>
      <c r="C2182" s="29"/>
      <c r="D2182" s="29"/>
      <c r="E2182" s="29"/>
      <c r="F2182" s="29"/>
      <c r="G2182" s="29"/>
      <c r="H2182" s="29"/>
      <c r="J2182" s="29"/>
      <c r="K2182" s="29"/>
      <c r="L2182" s="19"/>
      <c r="M2182" s="19"/>
      <c r="N2182" s="30"/>
      <c r="O2182" s="30"/>
      <c r="P2182" s="32"/>
      <c r="Q2182" s="32"/>
      <c r="R2182" s="32"/>
      <c r="S2182" s="32"/>
      <c r="T2182" s="32"/>
      <c r="U2182" s="30"/>
    </row>
    <row r="2183" spans="1:21">
      <c r="A2183" s="29"/>
      <c r="B2183" s="29"/>
      <c r="C2183" s="29"/>
      <c r="D2183" s="29"/>
      <c r="E2183" s="29"/>
      <c r="F2183" s="29"/>
      <c r="G2183" s="29"/>
      <c r="H2183" s="29"/>
      <c r="J2183" s="29"/>
      <c r="K2183" s="29"/>
      <c r="L2183" s="19"/>
      <c r="M2183" s="19"/>
      <c r="N2183" s="30"/>
      <c r="O2183" s="30"/>
      <c r="P2183" s="32"/>
      <c r="Q2183" s="32"/>
      <c r="R2183" s="32"/>
      <c r="S2183" s="32"/>
      <c r="T2183" s="32"/>
      <c r="U2183" s="30"/>
    </row>
    <row r="2184" spans="1:21">
      <c r="A2184" s="29"/>
      <c r="B2184" s="29"/>
      <c r="C2184" s="29"/>
      <c r="D2184" s="29"/>
      <c r="E2184" s="29"/>
      <c r="F2184" s="29"/>
      <c r="G2184" s="29"/>
      <c r="H2184" s="29"/>
      <c r="J2184" s="29"/>
      <c r="K2184" s="29"/>
      <c r="L2184" s="19"/>
      <c r="M2184" s="19"/>
      <c r="N2184" s="30"/>
      <c r="O2184" s="30"/>
      <c r="P2184" s="32"/>
      <c r="Q2184" s="32"/>
      <c r="R2184" s="32"/>
      <c r="S2184" s="32"/>
      <c r="T2184" s="32"/>
      <c r="U2184" s="30"/>
    </row>
    <row r="2185" spans="1:21">
      <c r="A2185" s="29"/>
      <c r="B2185" s="29"/>
      <c r="C2185" s="29"/>
      <c r="D2185" s="29"/>
      <c r="E2185" s="29"/>
      <c r="F2185" s="29"/>
      <c r="G2185" s="29"/>
      <c r="H2185" s="29"/>
      <c r="J2185" s="29"/>
      <c r="K2185" s="29"/>
      <c r="L2185" s="19"/>
      <c r="M2185" s="19"/>
      <c r="N2185" s="30"/>
      <c r="O2185" s="30"/>
      <c r="P2185" s="32"/>
      <c r="Q2185" s="32"/>
      <c r="R2185" s="32"/>
      <c r="S2185" s="32"/>
      <c r="T2185" s="32"/>
      <c r="U2185" s="30"/>
    </row>
    <row r="2186" spans="1:21">
      <c r="A2186" s="29"/>
      <c r="B2186" s="29"/>
      <c r="C2186" s="29"/>
      <c r="D2186" s="29"/>
      <c r="E2186" s="29"/>
      <c r="F2186" s="29"/>
      <c r="G2186" s="29"/>
      <c r="H2186" s="29"/>
      <c r="J2186" s="29"/>
      <c r="K2186" s="29"/>
      <c r="L2186" s="19"/>
      <c r="M2186" s="19"/>
      <c r="N2186" s="30"/>
      <c r="O2186" s="30"/>
      <c r="P2186" s="32"/>
      <c r="Q2186" s="32"/>
      <c r="R2186" s="32"/>
      <c r="S2186" s="32"/>
      <c r="T2186" s="32"/>
      <c r="U2186" s="30"/>
    </row>
    <row r="2187" spans="1:21">
      <c r="A2187" s="29"/>
      <c r="B2187" s="29"/>
      <c r="C2187" s="29"/>
      <c r="D2187" s="29"/>
      <c r="E2187" s="29"/>
      <c r="F2187" s="29"/>
      <c r="G2187" s="29"/>
      <c r="H2187" s="29"/>
      <c r="J2187" s="29"/>
      <c r="K2187" s="29"/>
      <c r="L2187" s="19"/>
      <c r="M2187" s="19"/>
      <c r="N2187" s="30"/>
      <c r="O2187" s="30"/>
      <c r="P2187" s="32"/>
      <c r="Q2187" s="32"/>
      <c r="R2187" s="32"/>
      <c r="S2187" s="32"/>
      <c r="T2187" s="32"/>
      <c r="U2187" s="30"/>
    </row>
    <row r="2188" spans="1:21">
      <c r="A2188" s="29"/>
      <c r="B2188" s="29"/>
      <c r="C2188" s="29"/>
      <c r="D2188" s="29"/>
      <c r="E2188" s="29"/>
      <c r="F2188" s="29"/>
      <c r="G2188" s="29"/>
      <c r="H2188" s="29"/>
      <c r="J2188" s="29"/>
      <c r="K2188" s="29"/>
      <c r="L2188" s="19"/>
      <c r="M2188" s="19"/>
      <c r="N2188" s="30"/>
      <c r="O2188" s="30"/>
      <c r="P2188" s="32"/>
      <c r="Q2188" s="32"/>
      <c r="R2188" s="32"/>
      <c r="S2188" s="32"/>
      <c r="T2188" s="32"/>
      <c r="U2188" s="30"/>
    </row>
    <row r="2189" spans="1:21">
      <c r="A2189" s="29"/>
      <c r="B2189" s="29"/>
      <c r="C2189" s="29"/>
      <c r="D2189" s="29"/>
      <c r="E2189" s="29"/>
      <c r="F2189" s="29"/>
      <c r="G2189" s="29"/>
      <c r="H2189" s="29"/>
      <c r="J2189" s="29"/>
      <c r="K2189" s="29"/>
      <c r="L2189" s="19"/>
      <c r="M2189" s="19"/>
      <c r="N2189" s="30"/>
      <c r="O2189" s="30"/>
      <c r="P2189" s="32"/>
      <c r="Q2189" s="32"/>
      <c r="R2189" s="32"/>
      <c r="S2189" s="32"/>
      <c r="T2189" s="32"/>
      <c r="U2189" s="30"/>
    </row>
    <row r="2190" spans="1:21">
      <c r="A2190" s="29"/>
      <c r="B2190" s="29"/>
      <c r="C2190" s="29"/>
      <c r="D2190" s="29"/>
      <c r="E2190" s="29"/>
      <c r="F2190" s="29"/>
      <c r="G2190" s="29"/>
      <c r="H2190" s="29"/>
      <c r="J2190" s="29"/>
      <c r="K2190" s="29"/>
      <c r="L2190" s="19"/>
      <c r="M2190" s="19"/>
      <c r="N2190" s="30"/>
      <c r="O2190" s="30"/>
      <c r="P2190" s="32"/>
      <c r="Q2190" s="32"/>
      <c r="R2190" s="32"/>
      <c r="S2190" s="32"/>
      <c r="T2190" s="32"/>
      <c r="U2190" s="30"/>
    </row>
    <row r="2191" spans="1:21">
      <c r="A2191" s="29"/>
      <c r="B2191" s="29"/>
      <c r="C2191" s="29"/>
      <c r="D2191" s="29"/>
      <c r="E2191" s="29"/>
      <c r="F2191" s="29"/>
      <c r="G2191" s="29"/>
      <c r="H2191" s="29"/>
      <c r="J2191" s="29"/>
      <c r="K2191" s="29"/>
      <c r="L2191" s="19"/>
      <c r="M2191" s="19"/>
      <c r="N2191" s="30"/>
      <c r="O2191" s="30"/>
      <c r="P2191" s="32"/>
      <c r="Q2191" s="32"/>
      <c r="R2191" s="32"/>
      <c r="S2191" s="32"/>
      <c r="T2191" s="32"/>
      <c r="U2191" s="30"/>
    </row>
    <row r="2192" spans="1:21">
      <c r="A2192" s="29"/>
      <c r="B2192" s="29"/>
      <c r="C2192" s="29"/>
      <c r="D2192" s="29"/>
      <c r="E2192" s="29"/>
      <c r="F2192" s="29"/>
      <c r="G2192" s="29"/>
      <c r="H2192" s="29"/>
      <c r="J2192" s="29"/>
      <c r="K2192" s="29"/>
      <c r="L2192" s="19"/>
      <c r="M2192" s="19"/>
      <c r="N2192" s="30"/>
      <c r="O2192" s="30"/>
      <c r="P2192" s="32"/>
      <c r="Q2192" s="32"/>
      <c r="R2192" s="32"/>
      <c r="S2192" s="32"/>
      <c r="T2192" s="32"/>
      <c r="U2192" s="30"/>
    </row>
    <row r="2193" spans="1:21">
      <c r="A2193" s="29"/>
      <c r="B2193" s="29"/>
      <c r="C2193" s="29"/>
      <c r="D2193" s="29"/>
      <c r="E2193" s="29"/>
      <c r="F2193" s="29"/>
      <c r="G2193" s="29"/>
      <c r="H2193" s="29"/>
      <c r="J2193" s="29"/>
      <c r="K2193" s="29"/>
      <c r="L2193" s="19"/>
      <c r="M2193" s="19"/>
      <c r="N2193" s="30"/>
      <c r="O2193" s="30"/>
      <c r="P2193" s="32"/>
      <c r="Q2193" s="32"/>
      <c r="R2193" s="32"/>
      <c r="S2193" s="32"/>
      <c r="T2193" s="32"/>
      <c r="U2193" s="30"/>
    </row>
    <row r="2194" spans="1:21">
      <c r="A2194" s="29"/>
      <c r="B2194" s="29"/>
      <c r="C2194" s="29"/>
      <c r="D2194" s="29"/>
      <c r="E2194" s="29"/>
      <c r="F2194" s="29"/>
      <c r="G2194" s="29"/>
      <c r="H2194" s="29"/>
      <c r="J2194" s="29"/>
      <c r="K2194" s="29"/>
      <c r="L2194" s="19"/>
      <c r="M2194" s="19"/>
      <c r="N2194" s="30"/>
      <c r="O2194" s="30"/>
      <c r="P2194" s="32"/>
      <c r="Q2194" s="32"/>
      <c r="R2194" s="32"/>
      <c r="S2194" s="32"/>
      <c r="T2194" s="32"/>
      <c r="U2194" s="30"/>
    </row>
    <row r="2195" spans="1:21">
      <c r="A2195" s="29"/>
      <c r="B2195" s="29"/>
      <c r="C2195" s="29"/>
      <c r="D2195" s="29"/>
      <c r="E2195" s="29"/>
      <c r="F2195" s="29"/>
      <c r="G2195" s="29"/>
      <c r="H2195" s="29"/>
      <c r="J2195" s="29"/>
      <c r="K2195" s="29"/>
      <c r="L2195" s="19"/>
      <c r="M2195" s="19"/>
      <c r="N2195" s="30"/>
      <c r="O2195" s="30"/>
      <c r="P2195" s="32"/>
      <c r="Q2195" s="32"/>
      <c r="R2195" s="32"/>
      <c r="S2195" s="32"/>
      <c r="T2195" s="32"/>
      <c r="U2195" s="30"/>
    </row>
    <row r="2196" spans="1:21">
      <c r="A2196" s="29"/>
      <c r="B2196" s="29"/>
      <c r="C2196" s="29"/>
      <c r="D2196" s="29"/>
      <c r="E2196" s="29"/>
      <c r="F2196" s="29"/>
      <c r="G2196" s="29"/>
      <c r="H2196" s="29"/>
      <c r="J2196" s="29"/>
      <c r="K2196" s="29"/>
      <c r="L2196" s="19"/>
      <c r="M2196" s="19"/>
      <c r="N2196" s="30"/>
      <c r="O2196" s="30"/>
      <c r="P2196" s="32"/>
      <c r="Q2196" s="32"/>
      <c r="R2196" s="32"/>
      <c r="S2196" s="32"/>
      <c r="T2196" s="32"/>
      <c r="U2196" s="30"/>
    </row>
    <row r="2197" spans="1:21">
      <c r="A2197" s="29"/>
      <c r="B2197" s="29"/>
      <c r="C2197" s="29"/>
      <c r="D2197" s="29"/>
      <c r="E2197" s="29"/>
      <c r="F2197" s="29"/>
      <c r="G2197" s="29"/>
      <c r="H2197" s="29"/>
      <c r="J2197" s="29"/>
      <c r="K2197" s="29"/>
      <c r="L2197" s="19"/>
      <c r="M2197" s="19"/>
      <c r="N2197" s="30"/>
      <c r="O2197" s="30"/>
      <c r="P2197" s="32"/>
      <c r="Q2197" s="32"/>
      <c r="R2197" s="32"/>
      <c r="S2197" s="32"/>
      <c r="T2197" s="32"/>
      <c r="U2197" s="30"/>
    </row>
    <row r="2198" spans="1:21">
      <c r="A2198" s="29"/>
      <c r="B2198" s="29"/>
      <c r="C2198" s="29"/>
      <c r="D2198" s="29"/>
      <c r="E2198" s="29"/>
      <c r="F2198" s="29"/>
      <c r="G2198" s="29"/>
      <c r="H2198" s="29"/>
      <c r="J2198" s="29"/>
      <c r="K2198" s="29"/>
      <c r="L2198" s="19"/>
      <c r="M2198" s="19"/>
      <c r="N2198" s="30"/>
      <c r="O2198" s="30"/>
      <c r="P2198" s="32"/>
      <c r="Q2198" s="32"/>
      <c r="R2198" s="32"/>
      <c r="S2198" s="32"/>
      <c r="T2198" s="32"/>
      <c r="U2198" s="30"/>
    </row>
    <row r="2199" spans="1:21">
      <c r="A2199" s="29"/>
      <c r="B2199" s="29"/>
      <c r="C2199" s="29"/>
      <c r="D2199" s="29"/>
      <c r="E2199" s="29"/>
      <c r="F2199" s="29"/>
      <c r="G2199" s="29"/>
      <c r="H2199" s="29"/>
      <c r="J2199" s="29"/>
      <c r="K2199" s="29"/>
      <c r="L2199" s="19"/>
      <c r="M2199" s="19"/>
      <c r="N2199" s="30"/>
      <c r="O2199" s="30"/>
      <c r="P2199" s="32"/>
      <c r="Q2199" s="32"/>
      <c r="R2199" s="32"/>
      <c r="S2199" s="32"/>
      <c r="T2199" s="32"/>
      <c r="U2199" s="30"/>
    </row>
    <row r="2200" spans="1:21">
      <c r="A2200" s="29"/>
      <c r="B2200" s="29"/>
      <c r="C2200" s="29"/>
      <c r="D2200" s="29"/>
      <c r="E2200" s="29"/>
      <c r="F2200" s="29"/>
      <c r="G2200" s="29"/>
      <c r="H2200" s="29"/>
      <c r="J2200" s="29"/>
      <c r="K2200" s="29"/>
      <c r="L2200" s="19"/>
      <c r="M2200" s="19"/>
      <c r="N2200" s="30"/>
      <c r="O2200" s="30"/>
      <c r="P2200" s="32"/>
      <c r="Q2200" s="32"/>
      <c r="R2200" s="32"/>
      <c r="S2200" s="32"/>
      <c r="T2200" s="32"/>
      <c r="U2200" s="30"/>
    </row>
    <row r="2201" spans="1:21">
      <c r="A2201" s="29"/>
      <c r="B2201" s="29"/>
      <c r="C2201" s="29"/>
      <c r="D2201" s="29"/>
      <c r="E2201" s="29"/>
      <c r="F2201" s="29"/>
      <c r="G2201" s="29"/>
      <c r="H2201" s="29"/>
      <c r="J2201" s="29"/>
      <c r="K2201" s="29"/>
      <c r="L2201" s="19"/>
      <c r="M2201" s="19"/>
      <c r="N2201" s="30"/>
      <c r="O2201" s="30"/>
      <c r="P2201" s="32"/>
      <c r="Q2201" s="32"/>
      <c r="R2201" s="32"/>
      <c r="S2201" s="32"/>
      <c r="T2201" s="32"/>
      <c r="U2201" s="30"/>
    </row>
    <row r="2202" spans="1:21">
      <c r="A2202" s="29"/>
      <c r="B2202" s="29"/>
      <c r="C2202" s="29"/>
      <c r="D2202" s="29"/>
      <c r="E2202" s="29"/>
      <c r="F2202" s="29"/>
      <c r="G2202" s="29"/>
      <c r="H2202" s="29"/>
      <c r="J2202" s="29"/>
      <c r="K2202" s="29"/>
      <c r="L2202" s="19"/>
      <c r="M2202" s="19"/>
      <c r="N2202" s="30"/>
      <c r="O2202" s="30"/>
      <c r="P2202" s="32"/>
      <c r="Q2202" s="32"/>
      <c r="R2202" s="32"/>
      <c r="S2202" s="32"/>
      <c r="T2202" s="32"/>
      <c r="U2202" s="30"/>
    </row>
    <row r="2203" spans="1:21">
      <c r="A2203" s="29"/>
      <c r="B2203" s="29"/>
      <c r="C2203" s="29"/>
      <c r="D2203" s="29"/>
      <c r="E2203" s="29"/>
      <c r="F2203" s="29"/>
      <c r="G2203" s="29"/>
      <c r="H2203" s="29"/>
      <c r="J2203" s="29"/>
      <c r="K2203" s="29"/>
      <c r="L2203" s="19"/>
      <c r="M2203" s="19"/>
      <c r="N2203" s="30"/>
      <c r="O2203" s="30"/>
      <c r="P2203" s="32"/>
      <c r="Q2203" s="32"/>
      <c r="R2203" s="32"/>
      <c r="S2203" s="32"/>
      <c r="T2203" s="32"/>
      <c r="U2203" s="30"/>
    </row>
    <row r="2204" spans="1:21">
      <c r="A2204" s="29"/>
      <c r="B2204" s="29"/>
      <c r="C2204" s="29"/>
      <c r="D2204" s="29"/>
      <c r="E2204" s="29"/>
      <c r="F2204" s="29"/>
      <c r="G2204" s="29"/>
      <c r="H2204" s="29"/>
      <c r="J2204" s="29"/>
      <c r="K2204" s="29"/>
      <c r="L2204" s="19"/>
      <c r="M2204" s="19"/>
      <c r="N2204" s="30"/>
      <c r="O2204" s="30"/>
      <c r="P2204" s="32"/>
      <c r="Q2204" s="32"/>
      <c r="R2204" s="32"/>
      <c r="S2204" s="32"/>
      <c r="T2204" s="32"/>
      <c r="U2204" s="30"/>
    </row>
    <row r="2205" spans="1:21">
      <c r="A2205" s="29"/>
      <c r="B2205" s="29"/>
      <c r="C2205" s="29"/>
      <c r="D2205" s="29"/>
      <c r="E2205" s="29"/>
      <c r="F2205" s="29"/>
      <c r="G2205" s="29"/>
      <c r="H2205" s="29"/>
      <c r="J2205" s="29"/>
      <c r="K2205" s="29"/>
      <c r="L2205" s="19"/>
      <c r="M2205" s="19"/>
      <c r="N2205" s="30"/>
      <c r="O2205" s="30"/>
      <c r="P2205" s="32"/>
      <c r="Q2205" s="32"/>
      <c r="R2205" s="32"/>
      <c r="S2205" s="32"/>
      <c r="T2205" s="32"/>
      <c r="U2205" s="30"/>
    </row>
    <row r="2206" spans="1:21">
      <c r="A2206" s="29"/>
      <c r="B2206" s="29"/>
      <c r="C2206" s="29"/>
      <c r="D2206" s="29"/>
      <c r="E2206" s="29"/>
      <c r="F2206" s="29"/>
      <c r="G2206" s="29"/>
      <c r="H2206" s="29"/>
      <c r="J2206" s="29"/>
      <c r="K2206" s="29"/>
      <c r="L2206" s="19"/>
      <c r="M2206" s="19"/>
      <c r="N2206" s="30"/>
      <c r="O2206" s="30"/>
      <c r="P2206" s="32"/>
      <c r="Q2206" s="32"/>
      <c r="R2206" s="32"/>
      <c r="S2206" s="32"/>
      <c r="T2206" s="32"/>
      <c r="U2206" s="30"/>
    </row>
    <row r="2207" spans="1:21">
      <c r="A2207" s="29"/>
      <c r="B2207" s="29"/>
      <c r="C2207" s="29"/>
      <c r="D2207" s="29"/>
      <c r="E2207" s="29"/>
      <c r="F2207" s="29"/>
      <c r="G2207" s="29"/>
      <c r="H2207" s="29"/>
      <c r="J2207" s="29"/>
      <c r="K2207" s="29"/>
      <c r="L2207" s="19"/>
      <c r="M2207" s="19"/>
      <c r="N2207" s="30"/>
      <c r="O2207" s="30"/>
      <c r="P2207" s="32"/>
      <c r="Q2207" s="32"/>
      <c r="R2207" s="32"/>
      <c r="S2207" s="32"/>
      <c r="T2207" s="32"/>
      <c r="U2207" s="30"/>
    </row>
    <row r="2208" spans="1:21">
      <c r="A2208" s="29"/>
      <c r="B2208" s="29"/>
      <c r="C2208" s="29"/>
      <c r="D2208" s="29"/>
      <c r="E2208" s="29"/>
      <c r="F2208" s="29"/>
      <c r="G2208" s="29"/>
      <c r="H2208" s="29"/>
      <c r="J2208" s="29"/>
      <c r="K2208" s="29"/>
      <c r="L2208" s="19"/>
      <c r="M2208" s="19"/>
      <c r="N2208" s="30"/>
      <c r="O2208" s="30"/>
      <c r="P2208" s="32"/>
      <c r="Q2208" s="32"/>
      <c r="R2208" s="32"/>
      <c r="S2208" s="32"/>
      <c r="T2208" s="32"/>
      <c r="U2208" s="30"/>
    </row>
    <row r="2209" spans="1:21">
      <c r="A2209" s="29"/>
      <c r="B2209" s="29"/>
      <c r="C2209" s="29"/>
      <c r="D2209" s="29"/>
      <c r="E2209" s="29"/>
      <c r="F2209" s="29"/>
      <c r="G2209" s="29"/>
      <c r="H2209" s="29"/>
      <c r="J2209" s="29"/>
      <c r="K2209" s="29"/>
      <c r="L2209" s="19"/>
      <c r="M2209" s="19"/>
      <c r="N2209" s="30"/>
      <c r="O2209" s="30"/>
      <c r="P2209" s="32"/>
      <c r="Q2209" s="32"/>
      <c r="R2209" s="32"/>
      <c r="S2209" s="32"/>
      <c r="T2209" s="32"/>
      <c r="U2209" s="30"/>
    </row>
    <row r="2210" spans="1:21">
      <c r="A2210" s="29"/>
      <c r="B2210" s="29"/>
      <c r="C2210" s="29"/>
      <c r="D2210" s="29"/>
      <c r="E2210" s="29"/>
      <c r="F2210" s="29"/>
      <c r="G2210" s="29"/>
      <c r="H2210" s="29"/>
      <c r="J2210" s="29"/>
      <c r="K2210" s="29"/>
      <c r="L2210" s="19"/>
      <c r="M2210" s="19"/>
      <c r="N2210" s="30"/>
      <c r="O2210" s="30"/>
      <c r="P2210" s="32"/>
      <c r="Q2210" s="32"/>
      <c r="R2210" s="32"/>
      <c r="S2210" s="32"/>
      <c r="T2210" s="32"/>
      <c r="U2210" s="30"/>
    </row>
    <row r="2211" spans="1:21">
      <c r="A2211" s="29"/>
      <c r="B2211" s="29"/>
      <c r="C2211" s="29"/>
      <c r="D2211" s="29"/>
      <c r="E2211" s="29"/>
      <c r="F2211" s="29"/>
      <c r="G2211" s="29"/>
      <c r="H2211" s="29"/>
      <c r="J2211" s="29"/>
      <c r="K2211" s="29"/>
      <c r="L2211" s="19"/>
      <c r="M2211" s="19"/>
      <c r="N2211" s="30"/>
      <c r="O2211" s="30"/>
      <c r="P2211" s="32"/>
      <c r="Q2211" s="32"/>
      <c r="R2211" s="32"/>
      <c r="S2211" s="32"/>
      <c r="T2211" s="32"/>
      <c r="U2211" s="30"/>
    </row>
    <row r="2212" spans="1:21">
      <c r="A2212" s="29"/>
      <c r="B2212" s="29"/>
      <c r="C2212" s="29"/>
      <c r="D2212" s="29"/>
      <c r="E2212" s="29"/>
      <c r="F2212" s="29"/>
      <c r="G2212" s="29"/>
      <c r="H2212" s="29"/>
      <c r="J2212" s="29"/>
      <c r="K2212" s="29"/>
      <c r="L2212" s="19"/>
      <c r="M2212" s="19"/>
      <c r="N2212" s="30"/>
      <c r="O2212" s="30"/>
      <c r="P2212" s="32"/>
      <c r="Q2212" s="32"/>
      <c r="R2212" s="32"/>
      <c r="S2212" s="32"/>
      <c r="T2212" s="32"/>
      <c r="U2212" s="30"/>
    </row>
    <row r="2213" spans="1:21">
      <c r="A2213" s="29"/>
      <c r="B2213" s="29"/>
      <c r="C2213" s="29"/>
      <c r="D2213" s="29"/>
      <c r="E2213" s="29"/>
      <c r="F2213" s="29"/>
      <c r="G2213" s="29"/>
      <c r="H2213" s="29"/>
      <c r="J2213" s="29"/>
      <c r="K2213" s="29"/>
      <c r="L2213" s="19"/>
      <c r="M2213" s="19"/>
      <c r="N2213" s="30"/>
      <c r="O2213" s="30"/>
      <c r="P2213" s="32"/>
      <c r="Q2213" s="32"/>
      <c r="R2213" s="32"/>
      <c r="S2213" s="32"/>
      <c r="T2213" s="32"/>
      <c r="U2213" s="30"/>
    </row>
    <row r="2214" spans="1:21">
      <c r="A2214" s="29"/>
      <c r="B2214" s="29"/>
      <c r="C2214" s="29"/>
      <c r="D2214" s="29"/>
      <c r="E2214" s="29"/>
      <c r="F2214" s="29"/>
      <c r="G2214" s="29"/>
      <c r="H2214" s="29"/>
      <c r="J2214" s="29"/>
      <c r="K2214" s="29"/>
      <c r="L2214" s="19"/>
      <c r="M2214" s="19"/>
      <c r="N2214" s="30"/>
      <c r="O2214" s="30"/>
      <c r="P2214" s="32"/>
      <c r="Q2214" s="32"/>
      <c r="R2214" s="32"/>
      <c r="S2214" s="32"/>
      <c r="T2214" s="32"/>
      <c r="U2214" s="30"/>
    </row>
    <row r="2215" spans="1:21">
      <c r="A2215" s="29"/>
      <c r="B2215" s="29"/>
      <c r="C2215" s="29"/>
      <c r="D2215" s="29"/>
      <c r="E2215" s="29"/>
      <c r="F2215" s="29"/>
      <c r="G2215" s="29"/>
      <c r="H2215" s="29"/>
      <c r="J2215" s="29"/>
      <c r="K2215" s="29"/>
      <c r="L2215" s="19"/>
      <c r="M2215" s="19"/>
      <c r="N2215" s="30"/>
      <c r="O2215" s="30"/>
      <c r="P2215" s="32"/>
      <c r="Q2215" s="32"/>
      <c r="R2215" s="32"/>
      <c r="S2215" s="32"/>
      <c r="T2215" s="32"/>
      <c r="U2215" s="30"/>
    </row>
    <row r="2216" spans="1:21">
      <c r="A2216" s="29"/>
      <c r="B2216" s="29"/>
      <c r="C2216" s="29"/>
      <c r="D2216" s="29"/>
      <c r="E2216" s="29"/>
      <c r="F2216" s="29"/>
      <c r="G2216" s="29"/>
      <c r="H2216" s="29"/>
      <c r="J2216" s="29"/>
      <c r="K2216" s="29"/>
      <c r="L2216" s="19"/>
      <c r="M2216" s="19"/>
      <c r="N2216" s="30"/>
      <c r="O2216" s="30"/>
      <c r="P2216" s="32"/>
      <c r="Q2216" s="32"/>
      <c r="R2216" s="32"/>
      <c r="S2216" s="32"/>
      <c r="T2216" s="32"/>
      <c r="U2216" s="30"/>
    </row>
    <row r="2217" spans="1:21">
      <c r="A2217" s="29"/>
      <c r="B2217" s="29"/>
      <c r="C2217" s="29"/>
      <c r="D2217" s="29"/>
      <c r="E2217" s="29"/>
      <c r="F2217" s="29"/>
      <c r="G2217" s="29"/>
      <c r="H2217" s="29"/>
      <c r="J2217" s="29"/>
      <c r="K2217" s="29"/>
      <c r="L2217" s="19"/>
      <c r="M2217" s="19"/>
      <c r="N2217" s="30"/>
      <c r="O2217" s="30"/>
      <c r="P2217" s="32"/>
      <c r="Q2217" s="32"/>
      <c r="R2217" s="32"/>
      <c r="S2217" s="32"/>
      <c r="T2217" s="32"/>
      <c r="U2217" s="30"/>
    </row>
    <row r="2218" spans="1:21">
      <c r="A2218" s="29"/>
      <c r="B2218" s="29"/>
      <c r="C2218" s="29"/>
      <c r="D2218" s="29"/>
      <c r="E2218" s="29"/>
      <c r="F2218" s="29"/>
      <c r="G2218" s="29"/>
      <c r="H2218" s="29"/>
      <c r="J2218" s="29"/>
      <c r="K2218" s="29"/>
      <c r="L2218" s="19"/>
      <c r="M2218" s="19"/>
      <c r="N2218" s="30"/>
      <c r="O2218" s="30"/>
      <c r="P2218" s="32"/>
      <c r="Q2218" s="32"/>
      <c r="R2218" s="32"/>
      <c r="S2218" s="32"/>
      <c r="T2218" s="32"/>
      <c r="U2218" s="30"/>
    </row>
    <row r="2219" spans="1:21">
      <c r="A2219" s="29"/>
      <c r="B2219" s="29"/>
      <c r="C2219" s="29"/>
      <c r="D2219" s="29"/>
      <c r="E2219" s="29"/>
      <c r="F2219" s="29"/>
      <c r="G2219" s="29"/>
      <c r="H2219" s="29"/>
      <c r="J2219" s="29"/>
      <c r="K2219" s="29"/>
      <c r="L2219" s="19"/>
      <c r="M2219" s="19"/>
      <c r="N2219" s="30"/>
      <c r="O2219" s="30"/>
      <c r="P2219" s="32"/>
      <c r="Q2219" s="32"/>
      <c r="R2219" s="32"/>
      <c r="S2219" s="32"/>
      <c r="T2219" s="32"/>
      <c r="U2219" s="30"/>
    </row>
    <row r="2220" spans="1:21">
      <c r="A2220" s="29"/>
      <c r="B2220" s="29"/>
      <c r="C2220" s="29"/>
      <c r="D2220" s="29"/>
      <c r="E2220" s="29"/>
      <c r="F2220" s="29"/>
      <c r="G2220" s="29"/>
      <c r="H2220" s="29"/>
      <c r="J2220" s="29"/>
      <c r="K2220" s="29"/>
      <c r="L2220" s="19"/>
      <c r="M2220" s="19"/>
      <c r="N2220" s="30"/>
      <c r="O2220" s="30"/>
      <c r="P2220" s="32"/>
      <c r="Q2220" s="32"/>
      <c r="R2220" s="32"/>
      <c r="S2220" s="32"/>
      <c r="T2220" s="32"/>
      <c r="U2220" s="30"/>
    </row>
    <row r="2221" spans="1:21">
      <c r="A2221" s="29"/>
      <c r="B2221" s="29"/>
      <c r="C2221" s="29"/>
      <c r="D2221" s="29"/>
      <c r="E2221" s="29"/>
      <c r="F2221" s="29"/>
      <c r="G2221" s="29"/>
      <c r="H2221" s="29"/>
      <c r="J2221" s="29"/>
      <c r="K2221" s="29"/>
      <c r="L2221" s="19"/>
      <c r="M2221" s="19"/>
      <c r="N2221" s="30"/>
      <c r="O2221" s="30"/>
      <c r="P2221" s="32"/>
      <c r="Q2221" s="32"/>
      <c r="R2221" s="32"/>
      <c r="S2221" s="32"/>
      <c r="T2221" s="32"/>
      <c r="U2221" s="30"/>
    </row>
    <row r="2222" spans="1:21">
      <c r="A2222" s="29"/>
      <c r="B2222" s="29"/>
      <c r="C2222" s="29"/>
      <c r="D2222" s="29"/>
      <c r="E2222" s="29"/>
      <c r="F2222" s="29"/>
      <c r="G2222" s="29"/>
      <c r="H2222" s="29"/>
      <c r="J2222" s="29"/>
      <c r="K2222" s="29"/>
      <c r="L2222" s="19"/>
      <c r="M2222" s="19"/>
      <c r="N2222" s="30"/>
      <c r="O2222" s="30"/>
      <c r="P2222" s="32"/>
      <c r="Q2222" s="32"/>
      <c r="R2222" s="32"/>
      <c r="S2222" s="32"/>
      <c r="T2222" s="32"/>
      <c r="U2222" s="30"/>
    </row>
    <row r="2223" spans="1:21">
      <c r="A2223" s="29"/>
      <c r="B2223" s="29"/>
      <c r="C2223" s="29"/>
      <c r="D2223" s="29"/>
      <c r="E2223" s="29"/>
      <c r="F2223" s="29"/>
      <c r="G2223" s="29"/>
      <c r="H2223" s="29"/>
      <c r="J2223" s="29"/>
      <c r="K2223" s="29"/>
      <c r="L2223" s="19"/>
      <c r="M2223" s="19"/>
      <c r="N2223" s="30"/>
      <c r="O2223" s="30"/>
      <c r="P2223" s="32"/>
      <c r="Q2223" s="32"/>
      <c r="R2223" s="32"/>
      <c r="S2223" s="32"/>
      <c r="T2223" s="32"/>
      <c r="U2223" s="30"/>
    </row>
    <row r="2224" spans="1:21">
      <c r="A2224" s="29"/>
      <c r="B2224" s="29"/>
      <c r="C2224" s="29"/>
      <c r="D2224" s="29"/>
      <c r="E2224" s="29"/>
      <c r="F2224" s="29"/>
      <c r="G2224" s="29"/>
      <c r="H2224" s="29"/>
      <c r="J2224" s="29"/>
      <c r="K2224" s="29"/>
      <c r="L2224" s="19"/>
      <c r="M2224" s="19"/>
      <c r="N2224" s="30"/>
      <c r="O2224" s="30"/>
      <c r="P2224" s="32"/>
      <c r="Q2224" s="32"/>
      <c r="R2224" s="32"/>
      <c r="S2224" s="32"/>
      <c r="T2224" s="32"/>
      <c r="U2224" s="30"/>
    </row>
    <row r="2225" spans="1:21">
      <c r="A2225" s="29"/>
      <c r="B2225" s="29"/>
      <c r="C2225" s="29"/>
      <c r="D2225" s="29"/>
      <c r="E2225" s="29"/>
      <c r="F2225" s="29"/>
      <c r="G2225" s="29"/>
      <c r="H2225" s="29"/>
      <c r="J2225" s="29"/>
      <c r="K2225" s="29"/>
      <c r="L2225" s="19"/>
      <c r="M2225" s="19"/>
      <c r="N2225" s="30"/>
      <c r="O2225" s="30"/>
      <c r="P2225" s="32"/>
      <c r="Q2225" s="32"/>
      <c r="R2225" s="32"/>
      <c r="S2225" s="32"/>
      <c r="T2225" s="32"/>
      <c r="U2225" s="30"/>
    </row>
    <row r="2226" spans="1:21">
      <c r="A2226" s="29"/>
      <c r="B2226" s="29"/>
      <c r="C2226" s="29"/>
      <c r="D2226" s="29"/>
      <c r="E2226" s="29"/>
      <c r="F2226" s="29"/>
      <c r="G2226" s="29"/>
      <c r="H2226" s="29"/>
      <c r="J2226" s="29"/>
      <c r="K2226" s="29"/>
      <c r="L2226" s="19"/>
      <c r="M2226" s="19"/>
      <c r="N2226" s="30"/>
      <c r="O2226" s="30"/>
      <c r="P2226" s="32"/>
      <c r="Q2226" s="32"/>
      <c r="R2226" s="32"/>
      <c r="S2226" s="32"/>
      <c r="T2226" s="32"/>
      <c r="U2226" s="30"/>
    </row>
    <row r="2227" spans="1:21">
      <c r="A2227" s="29"/>
      <c r="B2227" s="29"/>
      <c r="C2227" s="29"/>
      <c r="D2227" s="29"/>
      <c r="E2227" s="29"/>
      <c r="F2227" s="29"/>
      <c r="G2227" s="29"/>
      <c r="H2227" s="29"/>
      <c r="J2227" s="29"/>
      <c r="K2227" s="29"/>
      <c r="L2227" s="19"/>
      <c r="M2227" s="19"/>
      <c r="N2227" s="30"/>
      <c r="O2227" s="30"/>
      <c r="P2227" s="32"/>
      <c r="Q2227" s="32"/>
      <c r="R2227" s="32"/>
      <c r="S2227" s="32"/>
      <c r="T2227" s="32"/>
      <c r="U2227" s="30"/>
    </row>
    <row r="2228" spans="1:21">
      <c r="A2228" s="29"/>
      <c r="B2228" s="29"/>
      <c r="C2228" s="29"/>
      <c r="D2228" s="29"/>
      <c r="E2228" s="29"/>
      <c r="F2228" s="29"/>
      <c r="G2228" s="29"/>
      <c r="H2228" s="29"/>
      <c r="J2228" s="29"/>
      <c r="K2228" s="29"/>
      <c r="L2228" s="19"/>
      <c r="M2228" s="19"/>
      <c r="N2228" s="30"/>
      <c r="O2228" s="30"/>
      <c r="P2228" s="32"/>
      <c r="Q2228" s="32"/>
      <c r="R2228" s="32"/>
      <c r="S2228" s="32"/>
      <c r="T2228" s="32"/>
      <c r="U2228" s="30"/>
    </row>
    <row r="2229" spans="1:21">
      <c r="A2229" s="29"/>
      <c r="B2229" s="29"/>
      <c r="C2229" s="29"/>
      <c r="D2229" s="29"/>
      <c r="E2229" s="29"/>
      <c r="F2229" s="29"/>
      <c r="G2229" s="29"/>
      <c r="H2229" s="29"/>
      <c r="J2229" s="29"/>
      <c r="K2229" s="29"/>
      <c r="L2229" s="19"/>
      <c r="M2229" s="19"/>
      <c r="N2229" s="30"/>
      <c r="O2229" s="30"/>
      <c r="P2229" s="32"/>
      <c r="Q2229" s="32"/>
      <c r="R2229" s="32"/>
      <c r="S2229" s="32"/>
      <c r="T2229" s="32"/>
      <c r="U2229" s="30"/>
    </row>
    <row r="2230" spans="1:21">
      <c r="A2230" s="29"/>
      <c r="B2230" s="29"/>
      <c r="C2230" s="29"/>
      <c r="D2230" s="29"/>
      <c r="E2230" s="29"/>
      <c r="F2230" s="29"/>
      <c r="G2230" s="29"/>
      <c r="H2230" s="29"/>
      <c r="J2230" s="29"/>
      <c r="K2230" s="29"/>
      <c r="L2230" s="19"/>
      <c r="M2230" s="19"/>
      <c r="N2230" s="30"/>
      <c r="O2230" s="30"/>
      <c r="P2230" s="32"/>
      <c r="Q2230" s="32"/>
      <c r="R2230" s="32"/>
      <c r="S2230" s="32"/>
      <c r="T2230" s="32"/>
      <c r="U2230" s="30"/>
    </row>
    <row r="2231" spans="1:21">
      <c r="A2231" s="29"/>
      <c r="B2231" s="29"/>
      <c r="C2231" s="29"/>
      <c r="D2231" s="29"/>
      <c r="E2231" s="29"/>
      <c r="F2231" s="29"/>
      <c r="G2231" s="29"/>
      <c r="H2231" s="29"/>
      <c r="J2231" s="29"/>
      <c r="K2231" s="29"/>
      <c r="L2231" s="19"/>
      <c r="M2231" s="19"/>
      <c r="N2231" s="30"/>
      <c r="O2231" s="30"/>
      <c r="P2231" s="32"/>
      <c r="Q2231" s="32"/>
      <c r="R2231" s="32"/>
      <c r="S2231" s="32"/>
      <c r="T2231" s="32"/>
      <c r="U2231" s="30"/>
    </row>
    <row r="2232" spans="1:21">
      <c r="A2232" s="29"/>
      <c r="B2232" s="29"/>
      <c r="C2232" s="29"/>
      <c r="D2232" s="29"/>
      <c r="E2232" s="29"/>
      <c r="F2232" s="29"/>
      <c r="G2232" s="29"/>
      <c r="H2232" s="29"/>
      <c r="J2232" s="29"/>
      <c r="K2232" s="29"/>
      <c r="L2232" s="19"/>
      <c r="M2232" s="19"/>
      <c r="N2232" s="30"/>
      <c r="O2232" s="30"/>
      <c r="P2232" s="32"/>
      <c r="Q2232" s="32"/>
      <c r="R2232" s="32"/>
      <c r="S2232" s="32"/>
      <c r="T2232" s="32"/>
      <c r="U2232" s="30"/>
    </row>
    <row r="2233" spans="1:21">
      <c r="A2233" s="29"/>
      <c r="B2233" s="29"/>
      <c r="C2233" s="29"/>
      <c r="D2233" s="29"/>
      <c r="E2233" s="29"/>
      <c r="F2233" s="29"/>
      <c r="G2233" s="29"/>
      <c r="H2233" s="29"/>
      <c r="J2233" s="29"/>
      <c r="K2233" s="29"/>
      <c r="L2233" s="19"/>
      <c r="M2233" s="19"/>
      <c r="N2233" s="30"/>
      <c r="O2233" s="30"/>
      <c r="P2233" s="32"/>
      <c r="Q2233" s="32"/>
      <c r="R2233" s="32"/>
      <c r="S2233" s="32"/>
      <c r="T2233" s="32"/>
      <c r="U2233" s="30"/>
    </row>
    <row r="2234" spans="1:21">
      <c r="A2234" s="29"/>
      <c r="B2234" s="29"/>
      <c r="C2234" s="29"/>
      <c r="D2234" s="29"/>
      <c r="E2234" s="29"/>
      <c r="F2234" s="29"/>
      <c r="G2234" s="29"/>
      <c r="H2234" s="29"/>
      <c r="J2234" s="29"/>
      <c r="K2234" s="29"/>
      <c r="L2234" s="19"/>
      <c r="M2234" s="19"/>
      <c r="N2234" s="30"/>
      <c r="O2234" s="30"/>
      <c r="P2234" s="32"/>
      <c r="Q2234" s="32"/>
      <c r="R2234" s="32"/>
      <c r="S2234" s="32"/>
      <c r="T2234" s="32"/>
      <c r="U2234" s="30"/>
    </row>
    <row r="2235" spans="1:21">
      <c r="A2235" s="29"/>
      <c r="B2235" s="29"/>
      <c r="C2235" s="29"/>
      <c r="D2235" s="29"/>
      <c r="E2235" s="29"/>
      <c r="F2235" s="29"/>
      <c r="G2235" s="29"/>
      <c r="H2235" s="29"/>
      <c r="J2235" s="29"/>
      <c r="K2235" s="29"/>
      <c r="L2235" s="19"/>
      <c r="M2235" s="19"/>
      <c r="N2235" s="30"/>
      <c r="O2235" s="30"/>
      <c r="P2235" s="32"/>
      <c r="Q2235" s="32"/>
      <c r="R2235" s="32"/>
      <c r="S2235" s="32"/>
      <c r="T2235" s="32"/>
      <c r="U2235" s="30"/>
    </row>
    <row r="2236" spans="1:21">
      <c r="A2236" s="29"/>
      <c r="B2236" s="29"/>
      <c r="C2236" s="29"/>
      <c r="D2236" s="29"/>
      <c r="E2236" s="29"/>
      <c r="F2236" s="29"/>
      <c r="G2236" s="29"/>
      <c r="H2236" s="29"/>
      <c r="J2236" s="29"/>
      <c r="K2236" s="29"/>
      <c r="L2236" s="19"/>
      <c r="M2236" s="19"/>
      <c r="N2236" s="30"/>
      <c r="O2236" s="30"/>
      <c r="P2236" s="32"/>
      <c r="Q2236" s="32"/>
      <c r="R2236" s="32"/>
      <c r="S2236" s="32"/>
      <c r="T2236" s="32"/>
      <c r="U2236" s="30"/>
    </row>
    <row r="2237" spans="1:21">
      <c r="A2237" s="29"/>
      <c r="B2237" s="29"/>
      <c r="C2237" s="29"/>
      <c r="D2237" s="29"/>
      <c r="E2237" s="29"/>
      <c r="F2237" s="29"/>
      <c r="G2237" s="29"/>
      <c r="H2237" s="29"/>
      <c r="J2237" s="29"/>
      <c r="K2237" s="29"/>
      <c r="L2237" s="19"/>
      <c r="M2237" s="19"/>
      <c r="N2237" s="30"/>
      <c r="O2237" s="30"/>
      <c r="P2237" s="32"/>
      <c r="Q2237" s="32"/>
      <c r="R2237" s="32"/>
      <c r="S2237" s="32"/>
      <c r="T2237" s="32"/>
      <c r="U2237" s="30"/>
    </row>
    <row r="2238" spans="1:21">
      <c r="A2238" s="29"/>
      <c r="B2238" s="29"/>
      <c r="C2238" s="29"/>
      <c r="D2238" s="29"/>
      <c r="E2238" s="29"/>
      <c r="F2238" s="29"/>
      <c r="G2238" s="29"/>
      <c r="H2238" s="29"/>
      <c r="J2238" s="29"/>
      <c r="K2238" s="29"/>
      <c r="L2238" s="19"/>
      <c r="M2238" s="19"/>
      <c r="N2238" s="30"/>
      <c r="O2238" s="30"/>
      <c r="P2238" s="32"/>
      <c r="Q2238" s="32"/>
      <c r="R2238" s="32"/>
      <c r="S2238" s="32"/>
      <c r="T2238" s="32"/>
      <c r="U2238" s="30"/>
    </row>
    <row r="2239" spans="1:21">
      <c r="A2239" s="29"/>
      <c r="B2239" s="29"/>
      <c r="C2239" s="29"/>
      <c r="D2239" s="29"/>
      <c r="E2239" s="29"/>
      <c r="F2239" s="29"/>
      <c r="G2239" s="29"/>
      <c r="H2239" s="29"/>
      <c r="J2239" s="29"/>
      <c r="K2239" s="29"/>
      <c r="L2239" s="19"/>
      <c r="M2239" s="19"/>
      <c r="N2239" s="30"/>
      <c r="O2239" s="30"/>
      <c r="P2239" s="32"/>
      <c r="Q2239" s="32"/>
      <c r="R2239" s="32"/>
      <c r="S2239" s="32"/>
      <c r="T2239" s="32"/>
      <c r="U2239" s="30"/>
    </row>
    <row r="2240" spans="1:21">
      <c r="A2240" s="29"/>
      <c r="B2240" s="29"/>
      <c r="C2240" s="29"/>
      <c r="D2240" s="29"/>
      <c r="E2240" s="29"/>
      <c r="F2240" s="29"/>
      <c r="G2240" s="29"/>
      <c r="H2240" s="29"/>
      <c r="J2240" s="29"/>
      <c r="K2240" s="29"/>
      <c r="L2240" s="19"/>
      <c r="M2240" s="19"/>
      <c r="N2240" s="30"/>
      <c r="O2240" s="30"/>
      <c r="P2240" s="32"/>
      <c r="Q2240" s="32"/>
      <c r="R2240" s="32"/>
      <c r="S2240" s="32"/>
      <c r="T2240" s="32"/>
      <c r="U2240" s="30"/>
    </row>
    <row r="2241" spans="1:21">
      <c r="A2241" s="29"/>
      <c r="B2241" s="29"/>
      <c r="C2241" s="29"/>
      <c r="D2241" s="29"/>
      <c r="E2241" s="29"/>
      <c r="F2241" s="29"/>
      <c r="G2241" s="29"/>
      <c r="H2241" s="29"/>
      <c r="J2241" s="29"/>
      <c r="K2241" s="29"/>
      <c r="L2241" s="19"/>
      <c r="M2241" s="19"/>
      <c r="N2241" s="30"/>
      <c r="O2241" s="30"/>
      <c r="P2241" s="32"/>
      <c r="Q2241" s="32"/>
      <c r="R2241" s="32"/>
      <c r="S2241" s="32"/>
      <c r="T2241" s="32"/>
      <c r="U2241" s="30"/>
    </row>
    <row r="2242" spans="1:21">
      <c r="A2242" s="29"/>
      <c r="B2242" s="29"/>
      <c r="C2242" s="29"/>
      <c r="D2242" s="29"/>
      <c r="E2242" s="29"/>
      <c r="F2242" s="29"/>
      <c r="G2242" s="29"/>
      <c r="H2242" s="29"/>
      <c r="J2242" s="29"/>
      <c r="K2242" s="29"/>
      <c r="L2242" s="19"/>
      <c r="M2242" s="19"/>
      <c r="N2242" s="30"/>
      <c r="O2242" s="30"/>
      <c r="P2242" s="32"/>
      <c r="Q2242" s="32"/>
      <c r="R2242" s="32"/>
      <c r="S2242" s="32"/>
      <c r="T2242" s="32"/>
      <c r="U2242" s="30"/>
    </row>
    <row r="2243" spans="1:21">
      <c r="A2243" s="29"/>
      <c r="B2243" s="29"/>
      <c r="C2243" s="29"/>
      <c r="D2243" s="29"/>
      <c r="E2243" s="29"/>
      <c r="F2243" s="29"/>
      <c r="G2243" s="29"/>
      <c r="H2243" s="29"/>
      <c r="J2243" s="29"/>
      <c r="K2243" s="29"/>
      <c r="L2243" s="19"/>
      <c r="M2243" s="19"/>
      <c r="N2243" s="30"/>
      <c r="O2243" s="30"/>
      <c r="P2243" s="32"/>
      <c r="Q2243" s="32"/>
      <c r="R2243" s="32"/>
      <c r="S2243" s="32"/>
      <c r="T2243" s="32"/>
      <c r="U2243" s="30"/>
    </row>
    <row r="2244" spans="1:21">
      <c r="A2244" s="29"/>
      <c r="B2244" s="29"/>
      <c r="C2244" s="29"/>
      <c r="D2244" s="29"/>
      <c r="E2244" s="29"/>
      <c r="F2244" s="29"/>
      <c r="G2244" s="29"/>
      <c r="H2244" s="29"/>
      <c r="J2244" s="29"/>
      <c r="K2244" s="29"/>
      <c r="L2244" s="19"/>
      <c r="M2244" s="19"/>
      <c r="N2244" s="30"/>
      <c r="O2244" s="30"/>
      <c r="P2244" s="32"/>
      <c r="Q2244" s="32"/>
      <c r="R2244" s="32"/>
      <c r="S2244" s="32"/>
      <c r="T2244" s="32"/>
      <c r="U2244" s="30"/>
    </row>
    <row r="2245" spans="1:21">
      <c r="A2245" s="29"/>
      <c r="B2245" s="29"/>
      <c r="C2245" s="29"/>
      <c r="D2245" s="29"/>
      <c r="E2245" s="29"/>
      <c r="F2245" s="29"/>
      <c r="G2245" s="29"/>
      <c r="H2245" s="29"/>
      <c r="J2245" s="29"/>
      <c r="K2245" s="29"/>
      <c r="L2245" s="19"/>
      <c r="M2245" s="19"/>
      <c r="N2245" s="30"/>
      <c r="O2245" s="30"/>
      <c r="P2245" s="32"/>
      <c r="Q2245" s="32"/>
      <c r="R2245" s="32"/>
      <c r="S2245" s="32"/>
      <c r="T2245" s="32"/>
      <c r="U2245" s="30"/>
    </row>
    <row r="2246" spans="1:21">
      <c r="A2246" s="29"/>
      <c r="B2246" s="29"/>
      <c r="C2246" s="29"/>
      <c r="D2246" s="29"/>
      <c r="E2246" s="29"/>
      <c r="F2246" s="29"/>
      <c r="G2246" s="29"/>
      <c r="H2246" s="29"/>
      <c r="J2246" s="29"/>
      <c r="K2246" s="29"/>
      <c r="L2246" s="19"/>
      <c r="M2246" s="19"/>
      <c r="N2246" s="30"/>
      <c r="O2246" s="30"/>
      <c r="P2246" s="32"/>
      <c r="Q2246" s="32"/>
      <c r="R2246" s="32"/>
      <c r="S2246" s="32"/>
      <c r="T2246" s="32"/>
      <c r="U2246" s="30"/>
    </row>
    <row r="2247" spans="1:21">
      <c r="A2247" s="29"/>
      <c r="B2247" s="29"/>
      <c r="C2247" s="29"/>
      <c r="D2247" s="29"/>
      <c r="E2247" s="29"/>
      <c r="F2247" s="29"/>
      <c r="G2247" s="29"/>
      <c r="H2247" s="29"/>
      <c r="J2247" s="29"/>
      <c r="K2247" s="29"/>
      <c r="L2247" s="19"/>
      <c r="M2247" s="19"/>
      <c r="N2247" s="30"/>
      <c r="O2247" s="30"/>
      <c r="P2247" s="32"/>
      <c r="Q2247" s="32"/>
      <c r="R2247" s="32"/>
      <c r="S2247" s="32"/>
      <c r="T2247" s="32"/>
      <c r="U2247" s="30"/>
    </row>
    <row r="2248" spans="1:21">
      <c r="A2248" s="29"/>
      <c r="B2248" s="29"/>
      <c r="C2248" s="29"/>
      <c r="D2248" s="29"/>
      <c r="E2248" s="29"/>
      <c r="F2248" s="29"/>
      <c r="G2248" s="29"/>
      <c r="H2248" s="29"/>
      <c r="J2248" s="29"/>
      <c r="K2248" s="29"/>
      <c r="L2248" s="19"/>
      <c r="M2248" s="19"/>
      <c r="N2248" s="30"/>
      <c r="O2248" s="30"/>
      <c r="P2248" s="32"/>
      <c r="Q2248" s="32"/>
      <c r="R2248" s="32"/>
      <c r="S2248" s="32"/>
      <c r="T2248" s="32"/>
      <c r="U2248" s="30"/>
    </row>
    <row r="2249" spans="1:21">
      <c r="A2249" s="29"/>
      <c r="B2249" s="29"/>
      <c r="C2249" s="29"/>
      <c r="D2249" s="29"/>
      <c r="E2249" s="29"/>
      <c r="F2249" s="29"/>
      <c r="G2249" s="29"/>
      <c r="H2249" s="29"/>
      <c r="J2249" s="29"/>
      <c r="K2249" s="29"/>
      <c r="L2249" s="19"/>
      <c r="M2249" s="19"/>
      <c r="N2249" s="30"/>
      <c r="O2249" s="30"/>
      <c r="P2249" s="32"/>
      <c r="Q2249" s="32"/>
      <c r="R2249" s="32"/>
      <c r="S2249" s="32"/>
      <c r="T2249" s="32"/>
      <c r="U2249" s="30"/>
    </row>
    <row r="2250" spans="1:21">
      <c r="A2250" s="29"/>
      <c r="B2250" s="29"/>
      <c r="C2250" s="29"/>
      <c r="D2250" s="29"/>
      <c r="E2250" s="29"/>
      <c r="F2250" s="29"/>
      <c r="G2250" s="29"/>
      <c r="H2250" s="29"/>
      <c r="J2250" s="29"/>
      <c r="K2250" s="29"/>
      <c r="L2250" s="19"/>
      <c r="M2250" s="19"/>
      <c r="N2250" s="30"/>
      <c r="O2250" s="30"/>
      <c r="P2250" s="32"/>
      <c r="Q2250" s="32"/>
      <c r="R2250" s="32"/>
      <c r="S2250" s="32"/>
      <c r="T2250" s="32"/>
      <c r="U2250" s="30"/>
    </row>
    <row r="2251" spans="1:21">
      <c r="A2251" s="29"/>
      <c r="B2251" s="29"/>
      <c r="C2251" s="29"/>
      <c r="D2251" s="29"/>
      <c r="E2251" s="29"/>
      <c r="F2251" s="29"/>
      <c r="G2251" s="29"/>
      <c r="H2251" s="29"/>
      <c r="J2251" s="29"/>
      <c r="K2251" s="29"/>
      <c r="L2251" s="19"/>
      <c r="M2251" s="19"/>
      <c r="N2251" s="30"/>
      <c r="O2251" s="30"/>
      <c r="P2251" s="32"/>
      <c r="Q2251" s="32"/>
      <c r="R2251" s="32"/>
      <c r="S2251" s="32"/>
      <c r="T2251" s="32"/>
      <c r="U2251" s="30"/>
    </row>
    <row r="2252" spans="1:21">
      <c r="A2252" s="29"/>
      <c r="B2252" s="29"/>
      <c r="C2252" s="29"/>
      <c r="D2252" s="29"/>
      <c r="E2252" s="29"/>
      <c r="F2252" s="29"/>
      <c r="G2252" s="29"/>
      <c r="H2252" s="29"/>
      <c r="J2252" s="29"/>
      <c r="K2252" s="29"/>
      <c r="L2252" s="19"/>
      <c r="M2252" s="19"/>
      <c r="N2252" s="30"/>
      <c r="O2252" s="30"/>
      <c r="P2252" s="32"/>
      <c r="Q2252" s="32"/>
      <c r="R2252" s="32"/>
      <c r="S2252" s="32"/>
      <c r="T2252" s="32"/>
      <c r="U2252" s="30"/>
    </row>
    <row r="2253" spans="1:21">
      <c r="A2253" s="29"/>
      <c r="B2253" s="29"/>
      <c r="C2253" s="29"/>
      <c r="D2253" s="29"/>
      <c r="E2253" s="29"/>
      <c r="F2253" s="29"/>
      <c r="G2253" s="29"/>
      <c r="H2253" s="29"/>
      <c r="J2253" s="29"/>
      <c r="K2253" s="29"/>
      <c r="L2253" s="19"/>
      <c r="M2253" s="19"/>
      <c r="N2253" s="30"/>
      <c r="O2253" s="30"/>
      <c r="P2253" s="32"/>
      <c r="Q2253" s="32"/>
      <c r="R2253" s="32"/>
      <c r="S2253" s="32"/>
      <c r="T2253" s="32"/>
      <c r="U2253" s="30"/>
    </row>
    <row r="2254" spans="1:21">
      <c r="A2254" s="29"/>
      <c r="B2254" s="29"/>
      <c r="C2254" s="29"/>
      <c r="D2254" s="29"/>
      <c r="E2254" s="29"/>
      <c r="F2254" s="29"/>
      <c r="G2254" s="29"/>
      <c r="H2254" s="29"/>
      <c r="J2254" s="29"/>
      <c r="K2254" s="29"/>
      <c r="L2254" s="19"/>
      <c r="M2254" s="19"/>
      <c r="N2254" s="30"/>
      <c r="O2254" s="30"/>
      <c r="P2254" s="32"/>
      <c r="Q2254" s="32"/>
      <c r="R2254" s="32"/>
      <c r="S2254" s="32"/>
      <c r="T2254" s="32"/>
      <c r="U2254" s="30"/>
    </row>
    <row r="2255" spans="1:21">
      <c r="A2255" s="29"/>
      <c r="B2255" s="29"/>
      <c r="C2255" s="29"/>
      <c r="D2255" s="29"/>
      <c r="E2255" s="29"/>
      <c r="F2255" s="29"/>
      <c r="G2255" s="29"/>
      <c r="H2255" s="29"/>
      <c r="J2255" s="29"/>
      <c r="K2255" s="29"/>
      <c r="L2255" s="19"/>
      <c r="M2255" s="19"/>
      <c r="N2255" s="30"/>
      <c r="O2255" s="30"/>
      <c r="P2255" s="32"/>
      <c r="Q2255" s="32"/>
      <c r="R2255" s="32"/>
      <c r="S2255" s="32"/>
      <c r="T2255" s="32"/>
      <c r="U2255" s="30"/>
    </row>
    <row r="2256" spans="1:21">
      <c r="A2256" s="29"/>
      <c r="B2256" s="29"/>
      <c r="C2256" s="29"/>
      <c r="D2256" s="29"/>
      <c r="E2256" s="29"/>
      <c r="F2256" s="29"/>
      <c r="G2256" s="29"/>
      <c r="H2256" s="29"/>
      <c r="J2256" s="29"/>
      <c r="K2256" s="29"/>
      <c r="L2256" s="19"/>
      <c r="M2256" s="19"/>
      <c r="N2256" s="30"/>
      <c r="O2256" s="30"/>
      <c r="P2256" s="32"/>
      <c r="Q2256" s="32"/>
      <c r="R2256" s="32"/>
      <c r="S2256" s="32"/>
      <c r="T2256" s="32"/>
      <c r="U2256" s="30"/>
    </row>
    <row r="2257" spans="1:21">
      <c r="A2257" s="29"/>
      <c r="B2257" s="29"/>
      <c r="C2257" s="29"/>
      <c r="D2257" s="29"/>
      <c r="E2257" s="29"/>
      <c r="F2257" s="29"/>
      <c r="G2257" s="29"/>
      <c r="H2257" s="29"/>
      <c r="J2257" s="29"/>
      <c r="K2257" s="29"/>
      <c r="L2257" s="19"/>
      <c r="M2257" s="19"/>
      <c r="N2257" s="30"/>
      <c r="O2257" s="30"/>
      <c r="P2257" s="32"/>
      <c r="Q2257" s="32"/>
      <c r="R2257" s="32"/>
      <c r="S2257" s="32"/>
      <c r="T2257" s="32"/>
      <c r="U2257" s="30"/>
    </row>
    <row r="2258" spans="1:21">
      <c r="A2258" s="29"/>
      <c r="B2258" s="29"/>
      <c r="C2258" s="29"/>
      <c r="D2258" s="29"/>
      <c r="E2258" s="29"/>
      <c r="F2258" s="29"/>
      <c r="G2258" s="29"/>
      <c r="H2258" s="29"/>
      <c r="J2258" s="29"/>
      <c r="K2258" s="29"/>
      <c r="L2258" s="19"/>
      <c r="M2258" s="19"/>
      <c r="N2258" s="30"/>
      <c r="O2258" s="30"/>
      <c r="P2258" s="32"/>
      <c r="Q2258" s="32"/>
      <c r="R2258" s="32"/>
      <c r="S2258" s="32"/>
      <c r="T2258" s="32"/>
      <c r="U2258" s="30"/>
    </row>
    <row r="2259" spans="1:21">
      <c r="A2259" s="29"/>
      <c r="B2259" s="29"/>
      <c r="C2259" s="29"/>
      <c r="D2259" s="29"/>
      <c r="E2259" s="29"/>
      <c r="F2259" s="29"/>
      <c r="G2259" s="29"/>
      <c r="H2259" s="29"/>
      <c r="J2259" s="29"/>
      <c r="K2259" s="29"/>
      <c r="L2259" s="19"/>
      <c r="M2259" s="19"/>
      <c r="N2259" s="30"/>
      <c r="O2259" s="30"/>
      <c r="P2259" s="32"/>
      <c r="Q2259" s="32"/>
      <c r="R2259" s="32"/>
      <c r="S2259" s="32"/>
      <c r="T2259" s="32"/>
      <c r="U2259" s="30"/>
    </row>
    <row r="2260" spans="1:21">
      <c r="A2260" s="29"/>
      <c r="B2260" s="29"/>
      <c r="C2260" s="29"/>
      <c r="D2260" s="29"/>
      <c r="E2260" s="29"/>
      <c r="F2260" s="29"/>
      <c r="G2260" s="29"/>
      <c r="H2260" s="29"/>
      <c r="J2260" s="29"/>
      <c r="K2260" s="29"/>
      <c r="L2260" s="19"/>
      <c r="M2260" s="19"/>
      <c r="N2260" s="30"/>
      <c r="O2260" s="30"/>
      <c r="P2260" s="32"/>
      <c r="Q2260" s="32"/>
      <c r="R2260" s="32"/>
      <c r="S2260" s="32"/>
      <c r="T2260" s="32"/>
      <c r="U2260" s="30"/>
    </row>
    <row r="2261" spans="1:21">
      <c r="A2261" s="29"/>
      <c r="B2261" s="29"/>
      <c r="C2261" s="29"/>
      <c r="D2261" s="29"/>
      <c r="E2261" s="29"/>
      <c r="F2261" s="29"/>
      <c r="G2261" s="29"/>
      <c r="H2261" s="29"/>
      <c r="J2261" s="29"/>
      <c r="K2261" s="29"/>
      <c r="L2261" s="19"/>
      <c r="M2261" s="19"/>
      <c r="N2261" s="30"/>
      <c r="O2261" s="30"/>
      <c r="P2261" s="32"/>
      <c r="Q2261" s="32"/>
      <c r="R2261" s="32"/>
      <c r="S2261" s="32"/>
      <c r="T2261" s="32"/>
      <c r="U2261" s="30"/>
    </row>
    <row r="2262" spans="1:21">
      <c r="A2262" s="29"/>
      <c r="B2262" s="29"/>
      <c r="C2262" s="29"/>
      <c r="D2262" s="29"/>
      <c r="E2262" s="29"/>
      <c r="F2262" s="29"/>
      <c r="G2262" s="29"/>
      <c r="H2262" s="29"/>
      <c r="J2262" s="29"/>
      <c r="K2262" s="29"/>
      <c r="L2262" s="19"/>
      <c r="M2262" s="19"/>
      <c r="N2262" s="30"/>
      <c r="O2262" s="30"/>
      <c r="P2262" s="32"/>
      <c r="Q2262" s="32"/>
      <c r="R2262" s="32"/>
      <c r="S2262" s="32"/>
      <c r="T2262" s="32"/>
      <c r="U2262" s="30"/>
    </row>
    <row r="2263" spans="1:21">
      <c r="A2263" s="29"/>
      <c r="B2263" s="29"/>
      <c r="C2263" s="29"/>
      <c r="D2263" s="29"/>
      <c r="E2263" s="29"/>
      <c r="F2263" s="29"/>
      <c r="G2263" s="29"/>
      <c r="H2263" s="29"/>
      <c r="J2263" s="29"/>
      <c r="K2263" s="29"/>
      <c r="L2263" s="19"/>
      <c r="M2263" s="19"/>
      <c r="N2263" s="30"/>
      <c r="O2263" s="30"/>
      <c r="P2263" s="32"/>
      <c r="Q2263" s="32"/>
      <c r="R2263" s="32"/>
      <c r="S2263" s="32"/>
      <c r="T2263" s="32"/>
      <c r="U2263" s="30"/>
    </row>
    <row r="2264" spans="1:21">
      <c r="A2264" s="29"/>
      <c r="B2264" s="29"/>
      <c r="C2264" s="29"/>
      <c r="D2264" s="29"/>
      <c r="E2264" s="29"/>
      <c r="F2264" s="29"/>
      <c r="G2264" s="29"/>
      <c r="H2264" s="29"/>
      <c r="J2264" s="29"/>
      <c r="K2264" s="29"/>
      <c r="L2264" s="19"/>
      <c r="M2264" s="19"/>
      <c r="N2264" s="30"/>
      <c r="O2264" s="30"/>
      <c r="P2264" s="32"/>
      <c r="Q2264" s="32"/>
      <c r="R2264" s="32"/>
      <c r="S2264" s="32"/>
      <c r="T2264" s="32"/>
      <c r="U2264" s="30"/>
    </row>
    <row r="2265" spans="1:21">
      <c r="A2265" s="29"/>
      <c r="B2265" s="29"/>
      <c r="C2265" s="29"/>
      <c r="D2265" s="29"/>
      <c r="E2265" s="29"/>
      <c r="F2265" s="29"/>
      <c r="G2265" s="29"/>
      <c r="H2265" s="29"/>
      <c r="J2265" s="29"/>
      <c r="K2265" s="29"/>
      <c r="L2265" s="19"/>
      <c r="M2265" s="19"/>
      <c r="N2265" s="30"/>
      <c r="O2265" s="30"/>
      <c r="P2265" s="32"/>
      <c r="Q2265" s="32"/>
      <c r="R2265" s="32"/>
      <c r="S2265" s="32"/>
      <c r="T2265" s="32"/>
      <c r="U2265" s="30"/>
    </row>
    <row r="2266" spans="1:21">
      <c r="A2266" s="29"/>
      <c r="B2266" s="29"/>
      <c r="C2266" s="29"/>
      <c r="D2266" s="29"/>
      <c r="E2266" s="29"/>
      <c r="F2266" s="29"/>
      <c r="G2266" s="29"/>
      <c r="H2266" s="29"/>
      <c r="J2266" s="29"/>
      <c r="K2266" s="29"/>
      <c r="L2266" s="19"/>
      <c r="M2266" s="19"/>
      <c r="N2266" s="30"/>
      <c r="O2266" s="30"/>
      <c r="P2266" s="32"/>
      <c r="Q2266" s="32"/>
      <c r="R2266" s="32"/>
      <c r="S2266" s="32"/>
      <c r="T2266" s="32"/>
      <c r="U2266" s="30"/>
    </row>
    <row r="2267" spans="1:21">
      <c r="A2267" s="29"/>
      <c r="B2267" s="29"/>
      <c r="C2267" s="29"/>
      <c r="D2267" s="29"/>
      <c r="E2267" s="29"/>
      <c r="F2267" s="29"/>
      <c r="G2267" s="29"/>
      <c r="H2267" s="29"/>
      <c r="J2267" s="29"/>
      <c r="K2267" s="29"/>
      <c r="L2267" s="19"/>
      <c r="M2267" s="19"/>
      <c r="N2267" s="30"/>
      <c r="O2267" s="30"/>
      <c r="P2267" s="32"/>
      <c r="Q2267" s="32"/>
      <c r="R2267" s="32"/>
      <c r="S2267" s="32"/>
      <c r="T2267" s="32"/>
      <c r="U2267" s="30"/>
    </row>
    <row r="2268" spans="1:21">
      <c r="A2268" s="29"/>
      <c r="B2268" s="29"/>
      <c r="C2268" s="29"/>
      <c r="D2268" s="29"/>
      <c r="E2268" s="29"/>
      <c r="F2268" s="29"/>
      <c r="G2268" s="29"/>
      <c r="H2268" s="29"/>
      <c r="J2268" s="29"/>
      <c r="K2268" s="29"/>
      <c r="L2268" s="19"/>
      <c r="M2268" s="19"/>
      <c r="N2268" s="30"/>
      <c r="O2268" s="30"/>
      <c r="P2268" s="32"/>
      <c r="Q2268" s="32"/>
      <c r="R2268" s="32"/>
      <c r="S2268" s="32"/>
      <c r="T2268" s="32"/>
      <c r="U2268" s="30"/>
    </row>
    <row r="2269" spans="1:21">
      <c r="A2269" s="29"/>
      <c r="B2269" s="29"/>
      <c r="C2269" s="29"/>
      <c r="D2269" s="29"/>
      <c r="E2269" s="29"/>
      <c r="F2269" s="29"/>
      <c r="G2269" s="29"/>
      <c r="H2269" s="29"/>
      <c r="J2269" s="29"/>
      <c r="K2269" s="29"/>
      <c r="L2269" s="19"/>
      <c r="M2269" s="19"/>
      <c r="N2269" s="30"/>
      <c r="O2269" s="30"/>
      <c r="P2269" s="32"/>
      <c r="Q2269" s="32"/>
      <c r="R2269" s="32"/>
      <c r="S2269" s="32"/>
      <c r="T2269" s="32"/>
      <c r="U2269" s="30"/>
    </row>
    <row r="2270" spans="1:21">
      <c r="A2270" s="29"/>
      <c r="B2270" s="29"/>
      <c r="C2270" s="29"/>
      <c r="D2270" s="29"/>
      <c r="E2270" s="29"/>
      <c r="F2270" s="29"/>
      <c r="G2270" s="29"/>
      <c r="H2270" s="29"/>
      <c r="J2270" s="29"/>
      <c r="K2270" s="29"/>
      <c r="L2270" s="19"/>
      <c r="M2270" s="19"/>
      <c r="N2270" s="30"/>
      <c r="O2270" s="30"/>
      <c r="P2270" s="32"/>
      <c r="Q2270" s="32"/>
      <c r="R2270" s="32"/>
      <c r="S2270" s="32"/>
      <c r="T2270" s="32"/>
      <c r="U2270" s="30"/>
    </row>
    <row r="2271" spans="1:21">
      <c r="A2271" s="29"/>
      <c r="B2271" s="29"/>
      <c r="C2271" s="29"/>
      <c r="D2271" s="29"/>
      <c r="E2271" s="29"/>
      <c r="F2271" s="29"/>
      <c r="G2271" s="29"/>
      <c r="H2271" s="29"/>
      <c r="J2271" s="29"/>
      <c r="K2271" s="29"/>
      <c r="L2271" s="19"/>
      <c r="M2271" s="19"/>
      <c r="N2271" s="30"/>
      <c r="O2271" s="30"/>
      <c r="P2271" s="32"/>
      <c r="Q2271" s="32"/>
      <c r="R2271" s="32"/>
      <c r="S2271" s="32"/>
      <c r="T2271" s="32"/>
      <c r="U2271" s="30"/>
    </row>
    <row r="2272" spans="1:21">
      <c r="A2272" s="29"/>
      <c r="B2272" s="29"/>
      <c r="C2272" s="29"/>
      <c r="D2272" s="29"/>
      <c r="E2272" s="29"/>
      <c r="F2272" s="29"/>
      <c r="G2272" s="29"/>
      <c r="H2272" s="29"/>
      <c r="J2272" s="29"/>
      <c r="K2272" s="29"/>
      <c r="L2272" s="19"/>
      <c r="M2272" s="19"/>
      <c r="N2272" s="30"/>
      <c r="O2272" s="30"/>
      <c r="P2272" s="32"/>
      <c r="Q2272" s="32"/>
      <c r="R2272" s="32"/>
      <c r="S2272" s="32"/>
      <c r="T2272" s="32"/>
      <c r="U2272" s="30"/>
    </row>
    <row r="2273" spans="1:21">
      <c r="A2273" s="29"/>
      <c r="B2273" s="29"/>
      <c r="C2273" s="29"/>
      <c r="D2273" s="29"/>
      <c r="E2273" s="29"/>
      <c r="F2273" s="29"/>
      <c r="G2273" s="29"/>
      <c r="H2273" s="29"/>
      <c r="J2273" s="29"/>
      <c r="K2273" s="29"/>
      <c r="L2273" s="19"/>
      <c r="M2273" s="19"/>
      <c r="N2273" s="30"/>
      <c r="O2273" s="30"/>
      <c r="P2273" s="32"/>
      <c r="Q2273" s="32"/>
      <c r="R2273" s="32"/>
      <c r="S2273" s="32"/>
      <c r="T2273" s="32"/>
      <c r="U2273" s="30"/>
    </row>
    <row r="2274" spans="1:21">
      <c r="A2274" s="29"/>
      <c r="B2274" s="29"/>
      <c r="C2274" s="29"/>
      <c r="D2274" s="29"/>
      <c r="E2274" s="29"/>
      <c r="F2274" s="29"/>
      <c r="G2274" s="29"/>
      <c r="H2274" s="29"/>
      <c r="J2274" s="29"/>
      <c r="K2274" s="29"/>
      <c r="L2274" s="19"/>
      <c r="M2274" s="19"/>
      <c r="N2274" s="30"/>
      <c r="O2274" s="30"/>
      <c r="P2274" s="32"/>
      <c r="Q2274" s="32"/>
      <c r="R2274" s="32"/>
      <c r="S2274" s="32"/>
      <c r="T2274" s="32"/>
      <c r="U2274" s="30"/>
    </row>
    <row r="2275" spans="1:21">
      <c r="A2275" s="29"/>
      <c r="B2275" s="29"/>
      <c r="C2275" s="29"/>
      <c r="D2275" s="29"/>
      <c r="E2275" s="29"/>
      <c r="F2275" s="29"/>
      <c r="G2275" s="29"/>
      <c r="H2275" s="29"/>
      <c r="J2275" s="29"/>
      <c r="K2275" s="29"/>
      <c r="L2275" s="19"/>
      <c r="M2275" s="19"/>
      <c r="N2275" s="30"/>
      <c r="O2275" s="30"/>
      <c r="P2275" s="32"/>
      <c r="Q2275" s="32"/>
      <c r="R2275" s="32"/>
      <c r="S2275" s="32"/>
      <c r="T2275" s="32"/>
      <c r="U2275" s="30"/>
    </row>
    <row r="2276" spans="1:21">
      <c r="A2276" s="29"/>
      <c r="B2276" s="29"/>
      <c r="C2276" s="29"/>
      <c r="D2276" s="29"/>
      <c r="E2276" s="29"/>
      <c r="F2276" s="29"/>
      <c r="G2276" s="29"/>
      <c r="H2276" s="29"/>
      <c r="J2276" s="29"/>
      <c r="K2276" s="29"/>
      <c r="L2276" s="19"/>
      <c r="M2276" s="19"/>
      <c r="N2276" s="30"/>
      <c r="O2276" s="30"/>
      <c r="P2276" s="32"/>
      <c r="Q2276" s="32"/>
      <c r="R2276" s="32"/>
      <c r="S2276" s="32"/>
      <c r="T2276" s="32"/>
      <c r="U2276" s="30"/>
    </row>
    <row r="2277" spans="1:21">
      <c r="A2277" s="29"/>
      <c r="B2277" s="29"/>
      <c r="C2277" s="29"/>
      <c r="D2277" s="29"/>
      <c r="E2277" s="29"/>
      <c r="F2277" s="29"/>
      <c r="G2277" s="29"/>
      <c r="H2277" s="29"/>
      <c r="J2277" s="29"/>
      <c r="K2277" s="29"/>
      <c r="L2277" s="19"/>
      <c r="M2277" s="19"/>
      <c r="N2277" s="30"/>
      <c r="O2277" s="30"/>
      <c r="P2277" s="32"/>
      <c r="Q2277" s="32"/>
      <c r="R2277" s="32"/>
      <c r="S2277" s="32"/>
      <c r="T2277" s="32"/>
      <c r="U2277" s="30"/>
    </row>
    <row r="2278" spans="1:21">
      <c r="A2278" s="29"/>
      <c r="B2278" s="29"/>
      <c r="C2278" s="29"/>
      <c r="D2278" s="29"/>
      <c r="E2278" s="29"/>
      <c r="F2278" s="29"/>
      <c r="G2278" s="29"/>
      <c r="H2278" s="29"/>
      <c r="J2278" s="29"/>
      <c r="K2278" s="29"/>
      <c r="L2278" s="19"/>
      <c r="M2278" s="19"/>
      <c r="N2278" s="30"/>
      <c r="O2278" s="30"/>
      <c r="P2278" s="32"/>
      <c r="Q2278" s="32"/>
      <c r="R2278" s="32"/>
      <c r="S2278" s="32"/>
      <c r="T2278" s="32"/>
      <c r="U2278" s="30"/>
    </row>
    <row r="2279" spans="1:21">
      <c r="A2279" s="29"/>
      <c r="B2279" s="29"/>
      <c r="C2279" s="29"/>
      <c r="D2279" s="29"/>
      <c r="E2279" s="29"/>
      <c r="F2279" s="29"/>
      <c r="G2279" s="29"/>
      <c r="H2279" s="29"/>
      <c r="J2279" s="29"/>
      <c r="K2279" s="29"/>
      <c r="L2279" s="19"/>
      <c r="M2279" s="19"/>
      <c r="N2279" s="30"/>
      <c r="O2279" s="30"/>
      <c r="P2279" s="32"/>
      <c r="Q2279" s="32"/>
      <c r="R2279" s="32"/>
      <c r="S2279" s="32"/>
      <c r="T2279" s="32"/>
      <c r="U2279" s="30"/>
    </row>
    <row r="2280" spans="1:21">
      <c r="A2280" s="29"/>
      <c r="B2280" s="29"/>
      <c r="C2280" s="29"/>
      <c r="D2280" s="29"/>
      <c r="E2280" s="29"/>
      <c r="F2280" s="29"/>
      <c r="G2280" s="29"/>
      <c r="H2280" s="29"/>
      <c r="J2280" s="29"/>
      <c r="K2280" s="29"/>
      <c r="L2280" s="19"/>
      <c r="M2280" s="19"/>
      <c r="N2280" s="30"/>
      <c r="O2280" s="30"/>
      <c r="P2280" s="32"/>
      <c r="Q2280" s="32"/>
      <c r="R2280" s="32"/>
      <c r="S2280" s="32"/>
      <c r="T2280" s="32"/>
      <c r="U2280" s="30"/>
    </row>
    <row r="2281" spans="1:21">
      <c r="A2281" s="29"/>
      <c r="B2281" s="29"/>
      <c r="C2281" s="29"/>
      <c r="D2281" s="29"/>
      <c r="E2281" s="29"/>
      <c r="F2281" s="29"/>
      <c r="G2281" s="29"/>
      <c r="H2281" s="29"/>
      <c r="J2281" s="29"/>
      <c r="K2281" s="29"/>
      <c r="L2281" s="19"/>
      <c r="M2281" s="19"/>
      <c r="N2281" s="30"/>
      <c r="O2281" s="30"/>
      <c r="P2281" s="32"/>
      <c r="Q2281" s="32"/>
      <c r="R2281" s="32"/>
      <c r="S2281" s="32"/>
      <c r="T2281" s="32"/>
      <c r="U2281" s="30"/>
    </row>
    <row r="2282" spans="1:21">
      <c r="A2282" s="29"/>
      <c r="B2282" s="29"/>
      <c r="C2282" s="29"/>
      <c r="D2282" s="29"/>
      <c r="E2282" s="29"/>
      <c r="F2282" s="29"/>
      <c r="G2282" s="29"/>
      <c r="H2282" s="29"/>
      <c r="J2282" s="29"/>
      <c r="K2282" s="29"/>
      <c r="L2282" s="19"/>
      <c r="M2282" s="19"/>
      <c r="N2282" s="30"/>
      <c r="O2282" s="30"/>
      <c r="P2282" s="32"/>
      <c r="Q2282" s="32"/>
      <c r="R2282" s="32"/>
      <c r="S2282" s="32"/>
      <c r="T2282" s="32"/>
      <c r="U2282" s="30"/>
    </row>
    <row r="2283" spans="1:21">
      <c r="A2283" s="29"/>
      <c r="B2283" s="29"/>
      <c r="C2283" s="29"/>
      <c r="D2283" s="29"/>
      <c r="E2283" s="29"/>
      <c r="F2283" s="29"/>
      <c r="G2283" s="29"/>
      <c r="H2283" s="29"/>
      <c r="J2283" s="29"/>
      <c r="K2283" s="29"/>
      <c r="L2283" s="19"/>
      <c r="M2283" s="19"/>
      <c r="N2283" s="30"/>
      <c r="O2283" s="30"/>
      <c r="P2283" s="32"/>
      <c r="Q2283" s="32"/>
      <c r="R2283" s="32"/>
      <c r="S2283" s="32"/>
      <c r="T2283" s="32"/>
      <c r="U2283" s="30"/>
    </row>
    <row r="2284" spans="1:21">
      <c r="A2284" s="29"/>
      <c r="B2284" s="29"/>
      <c r="C2284" s="29"/>
      <c r="D2284" s="29"/>
      <c r="E2284" s="29"/>
      <c r="F2284" s="29"/>
      <c r="G2284" s="29"/>
      <c r="H2284" s="29"/>
      <c r="J2284" s="29"/>
      <c r="K2284" s="29"/>
      <c r="L2284" s="19"/>
      <c r="M2284" s="19"/>
      <c r="N2284" s="30"/>
      <c r="O2284" s="30"/>
      <c r="P2284" s="32"/>
      <c r="Q2284" s="32"/>
      <c r="R2284" s="32"/>
      <c r="S2284" s="32"/>
      <c r="T2284" s="32"/>
      <c r="U2284" s="30"/>
    </row>
    <row r="2285" spans="1:21">
      <c r="A2285" s="29"/>
      <c r="B2285" s="29"/>
      <c r="C2285" s="29"/>
      <c r="D2285" s="29"/>
      <c r="E2285" s="29"/>
      <c r="F2285" s="29"/>
      <c r="G2285" s="29"/>
      <c r="H2285" s="29"/>
      <c r="J2285" s="29"/>
      <c r="K2285" s="29"/>
      <c r="L2285" s="19"/>
      <c r="M2285" s="19"/>
      <c r="N2285" s="30"/>
      <c r="O2285" s="30"/>
      <c r="P2285" s="32"/>
      <c r="Q2285" s="32"/>
      <c r="R2285" s="32"/>
      <c r="S2285" s="32"/>
      <c r="T2285" s="32"/>
      <c r="U2285" s="30"/>
    </row>
    <row r="2286" spans="1:21">
      <c r="A2286" s="29"/>
      <c r="B2286" s="29"/>
      <c r="C2286" s="29"/>
      <c r="D2286" s="29"/>
      <c r="E2286" s="29"/>
      <c r="F2286" s="29"/>
      <c r="G2286" s="29"/>
      <c r="H2286" s="29"/>
      <c r="J2286" s="29"/>
      <c r="K2286" s="29"/>
      <c r="L2286" s="19"/>
      <c r="M2286" s="19"/>
      <c r="N2286" s="30"/>
      <c r="O2286" s="30"/>
      <c r="P2286" s="32"/>
      <c r="Q2286" s="32"/>
      <c r="R2286" s="32"/>
      <c r="S2286" s="32"/>
      <c r="T2286" s="32"/>
      <c r="U2286" s="30"/>
    </row>
    <row r="2287" spans="1:21">
      <c r="A2287" s="29"/>
      <c r="B2287" s="29"/>
      <c r="C2287" s="29"/>
      <c r="D2287" s="29"/>
      <c r="E2287" s="29"/>
      <c r="F2287" s="29"/>
      <c r="G2287" s="29"/>
      <c r="H2287" s="29"/>
      <c r="J2287" s="29"/>
      <c r="K2287" s="29"/>
      <c r="L2287" s="19"/>
      <c r="M2287" s="19"/>
      <c r="N2287" s="30"/>
      <c r="O2287" s="30"/>
      <c r="P2287" s="32"/>
      <c r="Q2287" s="32"/>
      <c r="R2287" s="32"/>
      <c r="S2287" s="32"/>
      <c r="T2287" s="32"/>
      <c r="U2287" s="30"/>
    </row>
    <row r="2288" spans="1:21">
      <c r="A2288" s="29"/>
      <c r="B2288" s="29"/>
      <c r="C2288" s="29"/>
      <c r="D2288" s="29"/>
      <c r="E2288" s="29"/>
      <c r="F2288" s="29"/>
      <c r="G2288" s="29"/>
      <c r="H2288" s="29"/>
      <c r="J2288" s="29"/>
      <c r="K2288" s="29"/>
      <c r="L2288" s="19"/>
      <c r="M2288" s="19"/>
      <c r="N2288" s="30"/>
      <c r="O2288" s="30"/>
      <c r="P2288" s="32"/>
      <c r="Q2288" s="32"/>
      <c r="R2288" s="32"/>
      <c r="S2288" s="32"/>
      <c r="T2288" s="32"/>
      <c r="U2288" s="30"/>
    </row>
    <row r="2289" spans="1:21">
      <c r="A2289" s="29"/>
      <c r="B2289" s="29"/>
      <c r="C2289" s="29"/>
      <c r="D2289" s="29"/>
      <c r="E2289" s="29"/>
      <c r="F2289" s="29"/>
      <c r="G2289" s="29"/>
      <c r="H2289" s="29"/>
      <c r="J2289" s="29"/>
      <c r="K2289" s="29"/>
      <c r="L2289" s="19"/>
      <c r="M2289" s="19"/>
      <c r="N2289" s="30"/>
      <c r="O2289" s="30"/>
      <c r="P2289" s="32"/>
      <c r="Q2289" s="32"/>
      <c r="R2289" s="32"/>
      <c r="S2289" s="32"/>
      <c r="T2289" s="32"/>
      <c r="U2289" s="30"/>
    </row>
    <row r="2290" spans="1:21">
      <c r="A2290" s="29"/>
      <c r="B2290" s="29"/>
      <c r="C2290" s="29"/>
      <c r="D2290" s="29"/>
      <c r="E2290" s="29"/>
      <c r="F2290" s="29"/>
      <c r="G2290" s="29"/>
      <c r="H2290" s="29"/>
      <c r="J2290" s="29"/>
      <c r="K2290" s="29"/>
      <c r="L2290" s="19"/>
      <c r="M2290" s="19"/>
      <c r="N2290" s="30"/>
      <c r="O2290" s="30"/>
      <c r="P2290" s="32"/>
      <c r="Q2290" s="32"/>
      <c r="R2290" s="32"/>
      <c r="S2290" s="32"/>
      <c r="T2290" s="32"/>
      <c r="U2290" s="30"/>
    </row>
    <row r="2291" spans="1:21">
      <c r="A2291" s="29"/>
      <c r="B2291" s="29"/>
      <c r="C2291" s="29"/>
      <c r="D2291" s="29"/>
      <c r="E2291" s="29"/>
      <c r="F2291" s="29"/>
      <c r="G2291" s="29"/>
      <c r="H2291" s="29"/>
      <c r="J2291" s="29"/>
      <c r="K2291" s="29"/>
      <c r="L2291" s="19"/>
      <c r="M2291" s="19"/>
      <c r="N2291" s="30"/>
      <c r="O2291" s="30"/>
      <c r="P2291" s="32"/>
      <c r="Q2291" s="32"/>
      <c r="R2291" s="32"/>
      <c r="S2291" s="32"/>
      <c r="T2291" s="32"/>
      <c r="U2291" s="30"/>
    </row>
    <row r="2292" spans="1:21">
      <c r="A2292" s="29"/>
      <c r="B2292" s="29"/>
      <c r="C2292" s="29"/>
      <c r="D2292" s="29"/>
      <c r="E2292" s="29"/>
      <c r="F2292" s="29"/>
      <c r="G2292" s="29"/>
      <c r="H2292" s="29"/>
      <c r="J2292" s="29"/>
      <c r="K2292" s="29"/>
      <c r="L2292" s="19"/>
      <c r="M2292" s="19"/>
      <c r="N2292" s="30"/>
      <c r="O2292" s="30"/>
      <c r="P2292" s="32"/>
      <c r="Q2292" s="32"/>
      <c r="R2292" s="32"/>
      <c r="S2292" s="32"/>
      <c r="T2292" s="32"/>
      <c r="U2292" s="30"/>
    </row>
    <row r="2293" spans="1:21">
      <c r="A2293" s="29"/>
      <c r="B2293" s="29"/>
      <c r="C2293" s="29"/>
      <c r="D2293" s="29"/>
      <c r="E2293" s="29"/>
      <c r="F2293" s="29"/>
      <c r="G2293" s="29"/>
      <c r="H2293" s="29"/>
      <c r="J2293" s="29"/>
      <c r="K2293" s="29"/>
      <c r="L2293" s="19"/>
      <c r="M2293" s="19"/>
      <c r="N2293" s="30"/>
      <c r="O2293" s="30"/>
      <c r="P2293" s="32"/>
      <c r="Q2293" s="32"/>
      <c r="R2293" s="32"/>
      <c r="S2293" s="32"/>
      <c r="T2293" s="32"/>
      <c r="U2293" s="30"/>
    </row>
    <row r="2294" spans="1:21">
      <c r="A2294" s="29"/>
      <c r="B2294" s="29"/>
      <c r="C2294" s="29"/>
      <c r="D2294" s="29"/>
      <c r="E2294" s="29"/>
      <c r="F2294" s="29"/>
      <c r="G2294" s="29"/>
      <c r="H2294" s="29"/>
      <c r="J2294" s="29"/>
      <c r="K2294" s="29"/>
      <c r="L2294" s="19"/>
      <c r="M2294" s="19"/>
      <c r="N2294" s="30"/>
      <c r="O2294" s="30"/>
      <c r="P2294" s="32"/>
      <c r="Q2294" s="32"/>
      <c r="R2294" s="32"/>
      <c r="S2294" s="32"/>
      <c r="T2294" s="32"/>
      <c r="U2294" s="30"/>
    </row>
    <row r="2295" spans="1:21">
      <c r="A2295" s="29"/>
      <c r="B2295" s="29"/>
      <c r="C2295" s="29"/>
      <c r="D2295" s="29"/>
      <c r="E2295" s="29"/>
      <c r="F2295" s="29"/>
      <c r="G2295" s="29"/>
      <c r="H2295" s="29"/>
      <c r="J2295" s="29"/>
      <c r="K2295" s="29"/>
      <c r="L2295" s="19"/>
      <c r="M2295" s="19"/>
      <c r="N2295" s="30"/>
      <c r="O2295" s="30"/>
      <c r="P2295" s="32"/>
      <c r="Q2295" s="32"/>
      <c r="R2295" s="32"/>
      <c r="S2295" s="32"/>
      <c r="T2295" s="32"/>
      <c r="U2295" s="30"/>
    </row>
    <row r="2296" spans="1:21">
      <c r="A2296" s="29"/>
      <c r="B2296" s="29"/>
      <c r="C2296" s="29"/>
      <c r="D2296" s="29"/>
      <c r="E2296" s="29"/>
      <c r="F2296" s="29"/>
      <c r="G2296" s="29"/>
      <c r="H2296" s="29"/>
      <c r="J2296" s="29"/>
      <c r="K2296" s="29"/>
      <c r="L2296" s="19"/>
      <c r="M2296" s="19"/>
      <c r="N2296" s="30"/>
      <c r="O2296" s="30"/>
      <c r="P2296" s="32"/>
      <c r="Q2296" s="32"/>
      <c r="R2296" s="32"/>
      <c r="S2296" s="32"/>
      <c r="T2296" s="32"/>
      <c r="U2296" s="30"/>
    </row>
    <row r="2297" spans="1:21">
      <c r="A2297" s="29"/>
      <c r="B2297" s="29"/>
      <c r="C2297" s="29"/>
      <c r="D2297" s="29"/>
      <c r="E2297" s="29"/>
      <c r="F2297" s="29"/>
      <c r="G2297" s="29"/>
      <c r="H2297" s="29"/>
      <c r="J2297" s="29"/>
      <c r="K2297" s="29"/>
      <c r="L2297" s="19"/>
      <c r="M2297" s="19"/>
      <c r="N2297" s="30"/>
      <c r="O2297" s="30"/>
      <c r="P2297" s="32"/>
      <c r="Q2297" s="32"/>
      <c r="R2297" s="32"/>
      <c r="S2297" s="32"/>
      <c r="T2297" s="32"/>
      <c r="U2297" s="30"/>
    </row>
    <row r="2298" spans="1:21">
      <c r="A2298" s="29"/>
      <c r="B2298" s="29"/>
      <c r="C2298" s="29"/>
      <c r="D2298" s="29"/>
      <c r="E2298" s="29"/>
      <c r="F2298" s="29"/>
      <c r="G2298" s="29"/>
      <c r="H2298" s="29"/>
      <c r="J2298" s="29"/>
      <c r="K2298" s="29"/>
      <c r="L2298" s="19"/>
      <c r="M2298" s="19"/>
      <c r="N2298" s="30"/>
      <c r="O2298" s="30"/>
      <c r="P2298" s="32"/>
      <c r="Q2298" s="32"/>
      <c r="R2298" s="32"/>
      <c r="S2298" s="32"/>
      <c r="T2298" s="32"/>
      <c r="U2298" s="30"/>
    </row>
    <row r="2299" spans="1:21">
      <c r="A2299" s="29"/>
      <c r="B2299" s="29"/>
      <c r="C2299" s="29"/>
      <c r="D2299" s="29"/>
      <c r="E2299" s="29"/>
      <c r="F2299" s="29"/>
      <c r="G2299" s="29"/>
      <c r="H2299" s="29"/>
      <c r="J2299" s="29"/>
      <c r="K2299" s="29"/>
      <c r="L2299" s="19"/>
      <c r="M2299" s="19"/>
      <c r="N2299" s="30"/>
      <c r="O2299" s="30"/>
      <c r="P2299" s="32"/>
      <c r="Q2299" s="32"/>
      <c r="R2299" s="32"/>
      <c r="S2299" s="32"/>
      <c r="T2299" s="32"/>
      <c r="U2299" s="30"/>
    </row>
    <row r="2300" spans="1:21">
      <c r="A2300" s="29"/>
      <c r="B2300" s="29"/>
      <c r="C2300" s="29"/>
      <c r="D2300" s="29"/>
      <c r="E2300" s="29"/>
      <c r="F2300" s="29"/>
      <c r="G2300" s="29"/>
      <c r="H2300" s="29"/>
      <c r="J2300" s="29"/>
      <c r="K2300" s="29"/>
      <c r="L2300" s="19"/>
      <c r="M2300" s="19"/>
      <c r="N2300" s="30"/>
      <c r="O2300" s="30"/>
      <c r="P2300" s="32"/>
      <c r="Q2300" s="32"/>
      <c r="R2300" s="32"/>
      <c r="S2300" s="32"/>
      <c r="T2300" s="32"/>
      <c r="U2300" s="30"/>
    </row>
    <row r="2301" spans="1:21">
      <c r="A2301" s="29"/>
      <c r="B2301" s="29"/>
      <c r="C2301" s="29"/>
      <c r="D2301" s="29"/>
      <c r="E2301" s="29"/>
      <c r="F2301" s="29"/>
      <c r="G2301" s="29"/>
      <c r="H2301" s="29"/>
      <c r="J2301" s="29"/>
      <c r="K2301" s="29"/>
      <c r="L2301" s="19"/>
      <c r="M2301" s="19"/>
      <c r="N2301" s="30"/>
      <c r="O2301" s="30"/>
      <c r="P2301" s="32"/>
      <c r="Q2301" s="32"/>
      <c r="R2301" s="32"/>
      <c r="S2301" s="32"/>
      <c r="T2301" s="32"/>
      <c r="U2301" s="30"/>
    </row>
    <row r="2302" spans="1:21">
      <c r="A2302" s="29"/>
      <c r="B2302" s="29"/>
      <c r="C2302" s="29"/>
      <c r="D2302" s="29"/>
      <c r="E2302" s="29"/>
      <c r="F2302" s="29"/>
      <c r="G2302" s="29"/>
      <c r="H2302" s="29"/>
      <c r="J2302" s="29"/>
      <c r="K2302" s="29"/>
      <c r="L2302" s="19"/>
      <c r="M2302" s="19"/>
      <c r="N2302" s="30"/>
      <c r="O2302" s="30"/>
      <c r="P2302" s="32"/>
      <c r="Q2302" s="32"/>
      <c r="R2302" s="32"/>
      <c r="S2302" s="32"/>
      <c r="T2302" s="32"/>
      <c r="U2302" s="30"/>
    </row>
    <row r="2303" spans="1:21">
      <c r="A2303" s="29"/>
      <c r="B2303" s="29"/>
      <c r="C2303" s="29"/>
      <c r="D2303" s="29"/>
      <c r="E2303" s="29"/>
      <c r="F2303" s="29"/>
      <c r="G2303" s="29"/>
      <c r="H2303" s="29"/>
      <c r="J2303" s="29"/>
      <c r="K2303" s="29"/>
      <c r="L2303" s="19"/>
      <c r="M2303" s="19"/>
      <c r="N2303" s="30"/>
      <c r="O2303" s="30"/>
      <c r="P2303" s="32"/>
      <c r="Q2303" s="32"/>
      <c r="R2303" s="32"/>
      <c r="S2303" s="32"/>
      <c r="T2303" s="32"/>
      <c r="U2303" s="30"/>
    </row>
    <row r="2304" spans="1:21">
      <c r="A2304" s="29"/>
      <c r="B2304" s="29"/>
      <c r="C2304" s="29"/>
      <c r="D2304" s="29"/>
      <c r="E2304" s="29"/>
      <c r="F2304" s="29"/>
      <c r="G2304" s="29"/>
      <c r="H2304" s="29"/>
      <c r="J2304" s="29"/>
      <c r="K2304" s="29"/>
      <c r="L2304" s="19"/>
      <c r="M2304" s="19"/>
      <c r="N2304" s="30"/>
      <c r="O2304" s="30"/>
      <c r="P2304" s="32"/>
      <c r="Q2304" s="32"/>
      <c r="R2304" s="32"/>
      <c r="S2304" s="32"/>
      <c r="T2304" s="32"/>
      <c r="U2304" s="30"/>
    </row>
    <row r="2305" spans="1:21">
      <c r="A2305" s="29"/>
      <c r="B2305" s="29"/>
      <c r="C2305" s="29"/>
      <c r="D2305" s="29"/>
      <c r="E2305" s="29"/>
      <c r="F2305" s="29"/>
      <c r="G2305" s="29"/>
      <c r="H2305" s="29"/>
      <c r="J2305" s="29"/>
      <c r="K2305" s="29"/>
      <c r="L2305" s="19"/>
      <c r="M2305" s="19"/>
      <c r="N2305" s="30"/>
      <c r="O2305" s="30"/>
      <c r="P2305" s="32"/>
      <c r="Q2305" s="32"/>
      <c r="R2305" s="32"/>
      <c r="S2305" s="32"/>
      <c r="T2305" s="32"/>
      <c r="U2305" s="30"/>
    </row>
    <row r="2306" spans="1:21">
      <c r="A2306" s="29"/>
      <c r="B2306" s="29"/>
      <c r="C2306" s="29"/>
      <c r="D2306" s="29"/>
      <c r="E2306" s="29"/>
      <c r="F2306" s="29"/>
      <c r="G2306" s="29"/>
      <c r="H2306" s="29"/>
      <c r="J2306" s="29"/>
      <c r="K2306" s="29"/>
      <c r="L2306" s="19"/>
      <c r="M2306" s="19"/>
      <c r="N2306" s="30"/>
      <c r="O2306" s="30"/>
      <c r="P2306" s="32"/>
      <c r="Q2306" s="32"/>
      <c r="R2306" s="32"/>
      <c r="S2306" s="32"/>
      <c r="T2306" s="32"/>
      <c r="U2306" s="30"/>
    </row>
    <row r="2307" spans="1:21">
      <c r="A2307" s="29"/>
      <c r="B2307" s="29"/>
      <c r="C2307" s="29"/>
      <c r="D2307" s="29"/>
      <c r="E2307" s="29"/>
      <c r="F2307" s="29"/>
      <c r="G2307" s="29"/>
      <c r="H2307" s="29"/>
      <c r="J2307" s="29"/>
      <c r="K2307" s="29"/>
      <c r="L2307" s="19"/>
      <c r="M2307" s="19"/>
      <c r="N2307" s="30"/>
      <c r="O2307" s="30"/>
      <c r="P2307" s="32"/>
      <c r="Q2307" s="32"/>
      <c r="R2307" s="32"/>
      <c r="S2307" s="32"/>
      <c r="T2307" s="32"/>
      <c r="U2307" s="30"/>
    </row>
    <row r="2308" spans="1:21">
      <c r="A2308" s="29"/>
      <c r="B2308" s="29"/>
      <c r="C2308" s="29"/>
      <c r="D2308" s="29"/>
      <c r="E2308" s="29"/>
      <c r="F2308" s="29"/>
      <c r="G2308" s="29"/>
      <c r="H2308" s="29"/>
      <c r="J2308" s="29"/>
      <c r="K2308" s="29"/>
      <c r="L2308" s="19"/>
      <c r="M2308" s="19"/>
      <c r="N2308" s="30"/>
      <c r="O2308" s="30"/>
      <c r="P2308" s="32"/>
      <c r="Q2308" s="32"/>
      <c r="R2308" s="32"/>
      <c r="S2308" s="32"/>
      <c r="T2308" s="32"/>
      <c r="U2308" s="30"/>
    </row>
    <row r="2309" spans="1:21">
      <c r="A2309" s="29"/>
      <c r="B2309" s="29"/>
      <c r="C2309" s="29"/>
      <c r="D2309" s="29"/>
      <c r="E2309" s="29"/>
      <c r="F2309" s="29"/>
      <c r="G2309" s="29"/>
      <c r="H2309" s="29"/>
      <c r="J2309" s="29"/>
      <c r="K2309" s="29"/>
      <c r="L2309" s="19"/>
      <c r="M2309" s="19"/>
      <c r="N2309" s="30"/>
      <c r="O2309" s="30"/>
      <c r="P2309" s="32"/>
      <c r="Q2309" s="32"/>
      <c r="R2309" s="32"/>
      <c r="S2309" s="32"/>
      <c r="T2309" s="32"/>
      <c r="U2309" s="30"/>
    </row>
    <row r="2310" spans="1:21">
      <c r="A2310" s="29"/>
      <c r="B2310" s="29"/>
      <c r="C2310" s="29"/>
      <c r="D2310" s="29"/>
      <c r="E2310" s="29"/>
      <c r="F2310" s="29"/>
      <c r="G2310" s="29"/>
      <c r="H2310" s="29"/>
      <c r="J2310" s="29"/>
      <c r="K2310" s="29"/>
      <c r="L2310" s="19"/>
      <c r="M2310" s="19"/>
      <c r="N2310" s="30"/>
      <c r="O2310" s="30"/>
      <c r="P2310" s="32"/>
      <c r="Q2310" s="32"/>
      <c r="R2310" s="32"/>
      <c r="S2310" s="32"/>
      <c r="T2310" s="32"/>
      <c r="U2310" s="30"/>
    </row>
    <row r="2311" spans="1:21">
      <c r="A2311" s="29"/>
      <c r="B2311" s="29"/>
      <c r="C2311" s="29"/>
      <c r="D2311" s="29"/>
      <c r="E2311" s="29"/>
      <c r="F2311" s="29"/>
      <c r="G2311" s="29"/>
      <c r="H2311" s="29"/>
      <c r="J2311" s="29"/>
      <c r="K2311" s="29"/>
      <c r="L2311" s="19"/>
      <c r="M2311" s="19"/>
      <c r="N2311" s="30"/>
      <c r="O2311" s="30"/>
      <c r="P2311" s="32"/>
      <c r="Q2311" s="32"/>
      <c r="R2311" s="32"/>
      <c r="S2311" s="32"/>
      <c r="T2311" s="32"/>
      <c r="U2311" s="30"/>
    </row>
    <row r="2312" spans="1:21">
      <c r="A2312" s="29"/>
      <c r="B2312" s="29"/>
      <c r="C2312" s="29"/>
      <c r="D2312" s="29"/>
      <c r="E2312" s="29"/>
      <c r="F2312" s="29"/>
      <c r="G2312" s="29"/>
      <c r="H2312" s="29"/>
      <c r="J2312" s="29"/>
      <c r="K2312" s="29"/>
      <c r="L2312" s="19"/>
      <c r="M2312" s="19"/>
      <c r="N2312" s="30"/>
      <c r="O2312" s="30"/>
      <c r="P2312" s="32"/>
      <c r="Q2312" s="32"/>
      <c r="R2312" s="32"/>
      <c r="S2312" s="32"/>
      <c r="T2312" s="32"/>
      <c r="U2312" s="30"/>
    </row>
    <row r="2313" spans="1:21">
      <c r="A2313" s="29"/>
      <c r="B2313" s="29"/>
      <c r="C2313" s="29"/>
      <c r="D2313" s="29"/>
      <c r="E2313" s="29"/>
      <c r="F2313" s="29"/>
      <c r="G2313" s="29"/>
      <c r="H2313" s="29"/>
      <c r="J2313" s="29"/>
      <c r="K2313" s="29"/>
      <c r="L2313" s="19"/>
      <c r="M2313" s="19"/>
      <c r="N2313" s="30"/>
      <c r="O2313" s="30"/>
      <c r="P2313" s="32"/>
      <c r="Q2313" s="32"/>
      <c r="R2313" s="32"/>
      <c r="S2313" s="32"/>
      <c r="T2313" s="32"/>
      <c r="U2313" s="30"/>
    </row>
    <row r="2314" spans="1:21">
      <c r="A2314" s="29"/>
      <c r="B2314" s="29"/>
      <c r="C2314" s="29"/>
      <c r="D2314" s="29"/>
      <c r="E2314" s="29"/>
      <c r="F2314" s="29"/>
      <c r="G2314" s="29"/>
      <c r="H2314" s="29"/>
      <c r="J2314" s="29"/>
      <c r="K2314" s="29"/>
      <c r="L2314" s="19"/>
      <c r="M2314" s="19"/>
      <c r="N2314" s="30"/>
      <c r="O2314" s="30"/>
      <c r="P2314" s="32"/>
      <c r="Q2314" s="32"/>
      <c r="R2314" s="32"/>
      <c r="S2314" s="32"/>
      <c r="T2314" s="32"/>
      <c r="U2314" s="30"/>
    </row>
    <row r="2315" spans="1:21">
      <c r="A2315" s="29"/>
      <c r="B2315" s="29"/>
      <c r="C2315" s="29"/>
      <c r="D2315" s="29"/>
      <c r="E2315" s="29"/>
      <c r="F2315" s="29"/>
      <c r="G2315" s="29"/>
      <c r="H2315" s="29"/>
      <c r="J2315" s="29"/>
      <c r="K2315" s="29"/>
      <c r="L2315" s="19"/>
      <c r="M2315" s="19"/>
      <c r="N2315" s="30"/>
      <c r="O2315" s="30"/>
      <c r="P2315" s="32"/>
      <c r="Q2315" s="32"/>
      <c r="R2315" s="32"/>
      <c r="S2315" s="32"/>
      <c r="T2315" s="32"/>
      <c r="U2315" s="30"/>
    </row>
    <row r="2316" spans="1:21">
      <c r="A2316" s="29"/>
      <c r="B2316" s="29"/>
      <c r="C2316" s="29"/>
      <c r="D2316" s="29"/>
      <c r="E2316" s="29"/>
      <c r="F2316" s="29"/>
      <c r="G2316" s="29"/>
      <c r="H2316" s="29"/>
      <c r="J2316" s="29"/>
      <c r="K2316" s="29"/>
      <c r="L2316" s="19"/>
      <c r="M2316" s="19"/>
      <c r="N2316" s="30"/>
      <c r="O2316" s="30"/>
      <c r="P2316" s="32"/>
      <c r="Q2316" s="32"/>
      <c r="R2316" s="32"/>
      <c r="S2316" s="32"/>
      <c r="T2316" s="32"/>
      <c r="U2316" s="30"/>
    </row>
    <row r="2317" spans="1:21">
      <c r="A2317" s="29"/>
      <c r="B2317" s="29"/>
      <c r="C2317" s="29"/>
      <c r="D2317" s="29"/>
      <c r="E2317" s="29"/>
      <c r="F2317" s="29"/>
      <c r="G2317" s="29"/>
      <c r="H2317" s="29"/>
      <c r="J2317" s="29"/>
      <c r="K2317" s="29"/>
      <c r="L2317" s="19"/>
      <c r="M2317" s="19"/>
      <c r="N2317" s="30"/>
      <c r="O2317" s="30"/>
      <c r="P2317" s="32"/>
      <c r="Q2317" s="32"/>
      <c r="R2317" s="32"/>
      <c r="S2317" s="32"/>
      <c r="T2317" s="32"/>
      <c r="U2317" s="30"/>
    </row>
    <row r="2318" spans="1:21">
      <c r="A2318" s="29"/>
      <c r="B2318" s="29"/>
      <c r="C2318" s="29"/>
      <c r="D2318" s="29"/>
      <c r="E2318" s="29"/>
      <c r="F2318" s="29"/>
      <c r="G2318" s="29"/>
      <c r="H2318" s="29"/>
      <c r="J2318" s="29"/>
      <c r="K2318" s="29"/>
      <c r="L2318" s="19"/>
      <c r="M2318" s="19"/>
      <c r="N2318" s="30"/>
      <c r="O2318" s="30"/>
      <c r="P2318" s="32"/>
      <c r="Q2318" s="32"/>
      <c r="R2318" s="32"/>
      <c r="S2318" s="32"/>
      <c r="T2318" s="32"/>
      <c r="U2318" s="30"/>
    </row>
    <row r="2319" spans="1:21">
      <c r="A2319" s="29"/>
      <c r="B2319" s="29"/>
      <c r="C2319" s="29"/>
      <c r="D2319" s="29"/>
      <c r="E2319" s="29"/>
      <c r="F2319" s="29"/>
      <c r="G2319" s="29"/>
      <c r="H2319" s="29"/>
      <c r="J2319" s="29"/>
      <c r="K2319" s="29"/>
      <c r="L2319" s="19"/>
      <c r="M2319" s="19"/>
      <c r="N2319" s="30"/>
      <c r="O2319" s="30"/>
      <c r="P2319" s="32"/>
      <c r="Q2319" s="32"/>
      <c r="R2319" s="32"/>
      <c r="S2319" s="32"/>
      <c r="T2319" s="32"/>
      <c r="U2319" s="30"/>
    </row>
    <row r="2320" spans="1:21">
      <c r="A2320" s="29"/>
      <c r="B2320" s="29"/>
      <c r="C2320" s="29"/>
      <c r="D2320" s="29"/>
      <c r="E2320" s="29"/>
      <c r="F2320" s="29"/>
      <c r="G2320" s="29"/>
      <c r="H2320" s="29"/>
      <c r="J2320" s="29"/>
      <c r="K2320" s="29"/>
      <c r="L2320" s="19"/>
      <c r="M2320" s="19"/>
      <c r="N2320" s="30"/>
      <c r="O2320" s="30"/>
      <c r="P2320" s="32"/>
      <c r="Q2320" s="32"/>
      <c r="R2320" s="32"/>
      <c r="S2320" s="32"/>
      <c r="T2320" s="32"/>
      <c r="U2320" s="30"/>
    </row>
    <row r="2321" spans="1:21">
      <c r="A2321" s="29"/>
      <c r="B2321" s="29"/>
      <c r="C2321" s="29"/>
      <c r="D2321" s="29"/>
      <c r="E2321" s="29"/>
      <c r="F2321" s="29"/>
      <c r="G2321" s="29"/>
      <c r="H2321" s="29"/>
      <c r="J2321" s="29"/>
      <c r="K2321" s="29"/>
      <c r="L2321" s="19"/>
      <c r="M2321" s="19"/>
      <c r="N2321" s="30"/>
      <c r="O2321" s="30"/>
      <c r="P2321" s="32"/>
      <c r="Q2321" s="32"/>
      <c r="R2321" s="32"/>
      <c r="S2321" s="32"/>
      <c r="T2321" s="32"/>
      <c r="U2321" s="30"/>
    </row>
    <row r="2322" spans="1:21">
      <c r="A2322" s="29"/>
      <c r="B2322" s="29"/>
      <c r="C2322" s="29"/>
      <c r="D2322" s="29"/>
      <c r="E2322" s="29"/>
      <c r="F2322" s="29"/>
      <c r="G2322" s="29"/>
      <c r="H2322" s="29"/>
      <c r="J2322" s="29"/>
      <c r="K2322" s="29"/>
      <c r="L2322" s="19"/>
      <c r="M2322" s="19"/>
      <c r="N2322" s="30"/>
      <c r="O2322" s="30"/>
      <c r="P2322" s="32"/>
      <c r="Q2322" s="32"/>
      <c r="R2322" s="32"/>
      <c r="S2322" s="32"/>
      <c r="T2322" s="32"/>
      <c r="U2322" s="30"/>
    </row>
    <row r="2323" spans="1:21">
      <c r="A2323" s="29"/>
      <c r="B2323" s="29"/>
      <c r="C2323" s="29"/>
      <c r="D2323" s="29"/>
      <c r="E2323" s="29"/>
      <c r="F2323" s="29"/>
      <c r="G2323" s="29"/>
      <c r="H2323" s="29"/>
      <c r="J2323" s="29"/>
      <c r="K2323" s="29"/>
      <c r="L2323" s="19"/>
      <c r="M2323" s="19"/>
      <c r="N2323" s="30"/>
      <c r="O2323" s="30"/>
      <c r="P2323" s="32"/>
      <c r="Q2323" s="32"/>
      <c r="R2323" s="32"/>
      <c r="S2323" s="32"/>
      <c r="T2323" s="32"/>
      <c r="U2323" s="30"/>
    </row>
    <row r="2324" spans="1:21">
      <c r="A2324" s="29"/>
      <c r="B2324" s="29"/>
      <c r="C2324" s="29"/>
      <c r="D2324" s="29"/>
      <c r="E2324" s="29"/>
      <c r="F2324" s="29"/>
      <c r="G2324" s="29"/>
      <c r="H2324" s="29"/>
      <c r="J2324" s="29"/>
      <c r="K2324" s="29"/>
      <c r="L2324" s="19"/>
      <c r="M2324" s="19"/>
      <c r="N2324" s="30"/>
      <c r="O2324" s="30"/>
      <c r="P2324" s="32"/>
      <c r="Q2324" s="32"/>
      <c r="R2324" s="32"/>
      <c r="S2324" s="32"/>
      <c r="T2324" s="32"/>
      <c r="U2324" s="30"/>
    </row>
    <row r="2325" spans="1:21">
      <c r="A2325" s="29"/>
      <c r="B2325" s="29"/>
      <c r="C2325" s="29"/>
      <c r="D2325" s="29"/>
      <c r="E2325" s="29"/>
      <c r="F2325" s="29"/>
      <c r="G2325" s="29"/>
      <c r="H2325" s="29"/>
      <c r="J2325" s="29"/>
      <c r="K2325" s="29"/>
      <c r="L2325" s="19"/>
      <c r="M2325" s="19"/>
      <c r="N2325" s="30"/>
      <c r="O2325" s="30"/>
      <c r="P2325" s="32"/>
      <c r="Q2325" s="32"/>
      <c r="R2325" s="32"/>
      <c r="S2325" s="32"/>
      <c r="T2325" s="32"/>
      <c r="U2325" s="30"/>
    </row>
    <row r="2326" spans="1:21">
      <c r="A2326" s="29"/>
      <c r="B2326" s="29"/>
      <c r="C2326" s="29"/>
      <c r="D2326" s="29"/>
      <c r="E2326" s="29"/>
      <c r="F2326" s="29"/>
      <c r="G2326" s="29"/>
      <c r="H2326" s="29"/>
      <c r="J2326" s="29"/>
      <c r="K2326" s="29"/>
      <c r="L2326" s="19"/>
      <c r="M2326" s="19"/>
      <c r="N2326" s="30"/>
      <c r="O2326" s="30"/>
      <c r="P2326" s="32"/>
      <c r="Q2326" s="32"/>
      <c r="R2326" s="32"/>
      <c r="S2326" s="32"/>
      <c r="T2326" s="32"/>
      <c r="U2326" s="30"/>
    </row>
    <row r="2327" spans="1:21">
      <c r="A2327" s="29"/>
      <c r="B2327" s="29"/>
      <c r="C2327" s="29"/>
      <c r="D2327" s="29"/>
      <c r="E2327" s="29"/>
      <c r="F2327" s="29"/>
      <c r="G2327" s="29"/>
      <c r="H2327" s="29"/>
      <c r="J2327" s="29"/>
      <c r="K2327" s="29"/>
      <c r="L2327" s="19"/>
      <c r="M2327" s="19"/>
      <c r="N2327" s="30"/>
      <c r="O2327" s="30"/>
      <c r="P2327" s="32"/>
      <c r="Q2327" s="32"/>
      <c r="R2327" s="32"/>
      <c r="S2327" s="32"/>
      <c r="T2327" s="32"/>
      <c r="U2327" s="30"/>
    </row>
    <row r="2328" spans="1:21">
      <c r="A2328" s="29"/>
      <c r="B2328" s="29"/>
      <c r="C2328" s="29"/>
      <c r="D2328" s="29"/>
      <c r="E2328" s="29"/>
      <c r="F2328" s="29"/>
      <c r="G2328" s="29"/>
      <c r="H2328" s="29"/>
      <c r="J2328" s="29"/>
      <c r="K2328" s="29"/>
      <c r="L2328" s="19"/>
      <c r="M2328" s="19"/>
      <c r="N2328" s="30"/>
      <c r="O2328" s="30"/>
      <c r="P2328" s="32"/>
      <c r="Q2328" s="32"/>
      <c r="R2328" s="32"/>
      <c r="S2328" s="32"/>
      <c r="T2328" s="32"/>
      <c r="U2328" s="30"/>
    </row>
    <row r="2329" spans="1:21">
      <c r="A2329" s="29"/>
      <c r="B2329" s="29"/>
      <c r="C2329" s="29"/>
      <c r="D2329" s="29"/>
      <c r="E2329" s="29"/>
      <c r="F2329" s="29"/>
      <c r="G2329" s="29"/>
      <c r="H2329" s="29"/>
      <c r="J2329" s="29"/>
      <c r="K2329" s="29"/>
      <c r="L2329" s="19"/>
      <c r="M2329" s="19"/>
      <c r="N2329" s="30"/>
      <c r="O2329" s="30"/>
      <c r="P2329" s="32"/>
      <c r="Q2329" s="32"/>
      <c r="R2329" s="32"/>
      <c r="S2329" s="32"/>
      <c r="T2329" s="32"/>
      <c r="U2329" s="30"/>
    </row>
    <row r="2330" spans="1:21">
      <c r="A2330" s="29"/>
      <c r="B2330" s="29"/>
      <c r="C2330" s="29"/>
      <c r="D2330" s="29"/>
      <c r="E2330" s="29"/>
      <c r="F2330" s="29"/>
      <c r="G2330" s="29"/>
      <c r="H2330" s="29"/>
      <c r="J2330" s="29"/>
      <c r="K2330" s="29"/>
      <c r="L2330" s="19"/>
      <c r="M2330" s="19"/>
      <c r="N2330" s="30"/>
      <c r="O2330" s="30"/>
      <c r="P2330" s="32"/>
      <c r="Q2330" s="32"/>
      <c r="R2330" s="32"/>
      <c r="S2330" s="32"/>
      <c r="T2330" s="32"/>
      <c r="U2330" s="30"/>
    </row>
    <row r="2331" spans="1:21">
      <c r="A2331" s="29"/>
      <c r="B2331" s="29"/>
      <c r="C2331" s="29"/>
      <c r="D2331" s="29"/>
      <c r="E2331" s="29"/>
      <c r="F2331" s="29"/>
      <c r="G2331" s="29"/>
      <c r="H2331" s="29"/>
      <c r="J2331" s="29"/>
      <c r="K2331" s="29"/>
      <c r="L2331" s="19"/>
      <c r="M2331" s="19"/>
      <c r="N2331" s="30"/>
      <c r="O2331" s="30"/>
      <c r="P2331" s="32"/>
      <c r="Q2331" s="32"/>
      <c r="R2331" s="32"/>
      <c r="S2331" s="32"/>
      <c r="T2331" s="32"/>
      <c r="U2331" s="30"/>
    </row>
    <row r="2332" spans="1:21">
      <c r="A2332" s="29"/>
      <c r="B2332" s="29"/>
      <c r="C2332" s="29"/>
      <c r="D2332" s="29"/>
      <c r="E2332" s="29"/>
      <c r="F2332" s="29"/>
      <c r="G2332" s="29"/>
      <c r="H2332" s="29"/>
      <c r="J2332" s="29"/>
      <c r="K2332" s="29"/>
      <c r="L2332" s="19"/>
      <c r="M2332" s="19"/>
      <c r="N2332" s="30"/>
      <c r="O2332" s="30"/>
      <c r="P2332" s="32"/>
      <c r="Q2332" s="32"/>
      <c r="R2332" s="32"/>
      <c r="S2332" s="32"/>
      <c r="T2332" s="32"/>
      <c r="U2332" s="30"/>
    </row>
    <row r="2333" spans="1:21">
      <c r="A2333" s="29"/>
      <c r="B2333" s="29"/>
      <c r="C2333" s="29"/>
      <c r="D2333" s="29"/>
      <c r="E2333" s="29"/>
      <c r="F2333" s="29"/>
      <c r="G2333" s="29"/>
      <c r="H2333" s="29"/>
      <c r="J2333" s="29"/>
      <c r="K2333" s="29"/>
      <c r="L2333" s="19"/>
      <c r="M2333" s="19"/>
      <c r="N2333" s="30"/>
      <c r="O2333" s="30"/>
      <c r="P2333" s="32"/>
      <c r="Q2333" s="32"/>
      <c r="R2333" s="32"/>
      <c r="S2333" s="32"/>
      <c r="T2333" s="32"/>
      <c r="U2333" s="30"/>
    </row>
    <row r="2334" spans="1:21">
      <c r="A2334" s="29"/>
      <c r="B2334" s="29"/>
      <c r="C2334" s="29"/>
      <c r="D2334" s="29"/>
      <c r="E2334" s="29"/>
      <c r="F2334" s="29"/>
      <c r="G2334" s="29"/>
      <c r="H2334" s="29"/>
      <c r="J2334" s="29"/>
      <c r="K2334" s="29"/>
      <c r="L2334" s="19"/>
      <c r="M2334" s="19"/>
      <c r="N2334" s="30"/>
      <c r="O2334" s="30"/>
      <c r="P2334" s="32"/>
      <c r="Q2334" s="32"/>
      <c r="R2334" s="32"/>
      <c r="S2334" s="32"/>
      <c r="T2334" s="32"/>
      <c r="U2334" s="30"/>
    </row>
    <row r="2335" spans="1:21">
      <c r="A2335" s="29"/>
      <c r="B2335" s="29"/>
      <c r="C2335" s="29"/>
      <c r="D2335" s="29"/>
      <c r="E2335" s="29"/>
      <c r="F2335" s="29"/>
      <c r="G2335" s="29"/>
      <c r="H2335" s="29"/>
      <c r="J2335" s="29"/>
      <c r="K2335" s="29"/>
      <c r="L2335" s="19"/>
      <c r="M2335" s="19"/>
      <c r="N2335" s="30"/>
      <c r="O2335" s="30"/>
      <c r="P2335" s="32"/>
      <c r="Q2335" s="32"/>
      <c r="R2335" s="32"/>
      <c r="S2335" s="32"/>
      <c r="T2335" s="32"/>
      <c r="U2335" s="30"/>
    </row>
    <row r="2336" spans="1:21">
      <c r="A2336" s="29"/>
      <c r="B2336" s="29"/>
      <c r="C2336" s="29"/>
      <c r="D2336" s="29"/>
      <c r="E2336" s="29"/>
      <c r="F2336" s="29"/>
      <c r="G2336" s="29"/>
      <c r="H2336" s="29"/>
      <c r="J2336" s="29"/>
      <c r="K2336" s="29"/>
      <c r="L2336" s="19"/>
      <c r="M2336" s="19"/>
      <c r="N2336" s="30"/>
      <c r="O2336" s="30"/>
      <c r="P2336" s="32"/>
      <c r="Q2336" s="32"/>
      <c r="R2336" s="32"/>
      <c r="S2336" s="32"/>
      <c r="T2336" s="32"/>
      <c r="U2336" s="30"/>
    </row>
    <row r="2337" spans="1:21">
      <c r="A2337" s="29"/>
      <c r="B2337" s="29"/>
      <c r="C2337" s="29"/>
      <c r="D2337" s="29"/>
      <c r="E2337" s="29"/>
      <c r="F2337" s="29"/>
      <c r="G2337" s="29"/>
      <c r="H2337" s="29"/>
      <c r="J2337" s="29"/>
      <c r="K2337" s="29"/>
      <c r="L2337" s="19"/>
      <c r="M2337" s="19"/>
      <c r="N2337" s="30"/>
      <c r="O2337" s="30"/>
      <c r="P2337" s="32"/>
      <c r="Q2337" s="32"/>
      <c r="R2337" s="32"/>
      <c r="S2337" s="32"/>
      <c r="T2337" s="32"/>
      <c r="U2337" s="30"/>
    </row>
    <row r="2338" spans="1:21">
      <c r="A2338" s="29"/>
      <c r="B2338" s="29"/>
      <c r="C2338" s="29"/>
      <c r="D2338" s="29"/>
      <c r="E2338" s="29"/>
      <c r="F2338" s="29"/>
      <c r="G2338" s="29"/>
      <c r="H2338" s="29"/>
      <c r="J2338" s="29"/>
      <c r="K2338" s="29"/>
      <c r="L2338" s="19"/>
      <c r="M2338" s="19"/>
      <c r="N2338" s="30"/>
      <c r="O2338" s="30"/>
      <c r="P2338" s="32"/>
      <c r="Q2338" s="32"/>
      <c r="R2338" s="32"/>
      <c r="S2338" s="32"/>
      <c r="T2338" s="32"/>
      <c r="U2338" s="30"/>
    </row>
    <row r="2339" spans="1:21">
      <c r="A2339" s="29"/>
      <c r="B2339" s="29"/>
      <c r="C2339" s="29"/>
      <c r="D2339" s="29"/>
      <c r="E2339" s="29"/>
      <c r="F2339" s="29"/>
      <c r="G2339" s="29"/>
      <c r="H2339" s="29"/>
      <c r="J2339" s="29"/>
      <c r="K2339" s="29"/>
      <c r="L2339" s="19"/>
      <c r="M2339" s="19"/>
      <c r="N2339" s="30"/>
      <c r="O2339" s="30"/>
      <c r="P2339" s="32"/>
      <c r="Q2339" s="32"/>
      <c r="R2339" s="32"/>
      <c r="S2339" s="32"/>
      <c r="T2339" s="32"/>
      <c r="U2339" s="30"/>
    </row>
    <row r="2340" spans="1:21">
      <c r="A2340" s="29"/>
      <c r="B2340" s="29"/>
      <c r="C2340" s="29"/>
      <c r="D2340" s="29"/>
      <c r="E2340" s="29"/>
      <c r="F2340" s="29"/>
      <c r="G2340" s="29"/>
      <c r="H2340" s="29"/>
      <c r="J2340" s="29"/>
      <c r="K2340" s="29"/>
      <c r="L2340" s="19"/>
      <c r="M2340" s="19"/>
      <c r="N2340" s="30"/>
      <c r="O2340" s="30"/>
      <c r="P2340" s="32"/>
      <c r="Q2340" s="32"/>
      <c r="R2340" s="32"/>
      <c r="S2340" s="32"/>
      <c r="T2340" s="32"/>
      <c r="U2340" s="30"/>
    </row>
    <row r="2341" spans="1:21">
      <c r="A2341" s="29"/>
      <c r="B2341" s="29"/>
      <c r="C2341" s="29"/>
      <c r="D2341" s="29"/>
      <c r="E2341" s="29"/>
      <c r="F2341" s="29"/>
      <c r="G2341" s="29"/>
      <c r="H2341" s="29"/>
      <c r="J2341" s="29"/>
      <c r="K2341" s="29"/>
      <c r="L2341" s="19"/>
      <c r="M2341" s="19"/>
      <c r="N2341" s="30"/>
      <c r="O2341" s="30"/>
      <c r="P2341" s="32"/>
      <c r="Q2341" s="32"/>
      <c r="R2341" s="32"/>
      <c r="S2341" s="32"/>
      <c r="T2341" s="32"/>
      <c r="U2341" s="30"/>
    </row>
    <row r="2342" spans="1:21">
      <c r="A2342" s="29"/>
      <c r="B2342" s="29"/>
      <c r="C2342" s="29"/>
      <c r="D2342" s="29"/>
      <c r="E2342" s="29"/>
      <c r="F2342" s="29"/>
      <c r="G2342" s="29"/>
      <c r="H2342" s="29"/>
      <c r="J2342" s="29"/>
      <c r="K2342" s="29"/>
      <c r="L2342" s="19"/>
      <c r="M2342" s="19"/>
      <c r="N2342" s="30"/>
      <c r="O2342" s="30"/>
      <c r="P2342" s="32"/>
      <c r="Q2342" s="32"/>
      <c r="R2342" s="32"/>
      <c r="S2342" s="32"/>
      <c r="T2342" s="32"/>
      <c r="U2342" s="30"/>
    </row>
    <row r="2343" spans="1:21">
      <c r="A2343" s="29"/>
      <c r="B2343" s="29"/>
      <c r="C2343" s="29"/>
      <c r="D2343" s="29"/>
      <c r="E2343" s="29"/>
      <c r="F2343" s="29"/>
      <c r="G2343" s="29"/>
      <c r="H2343" s="29"/>
      <c r="J2343" s="29"/>
      <c r="K2343" s="29"/>
      <c r="L2343" s="19"/>
      <c r="M2343" s="19"/>
      <c r="N2343" s="30"/>
      <c r="O2343" s="30"/>
      <c r="P2343" s="32"/>
      <c r="Q2343" s="32"/>
      <c r="R2343" s="32"/>
      <c r="S2343" s="32"/>
      <c r="T2343" s="32"/>
      <c r="U2343" s="30"/>
    </row>
    <row r="2344" spans="1:21">
      <c r="A2344" s="29"/>
      <c r="B2344" s="29"/>
      <c r="C2344" s="29"/>
      <c r="D2344" s="29"/>
      <c r="E2344" s="29"/>
      <c r="F2344" s="29"/>
      <c r="G2344" s="29"/>
      <c r="H2344" s="29"/>
      <c r="J2344" s="29"/>
      <c r="K2344" s="29"/>
      <c r="L2344" s="19"/>
      <c r="M2344" s="19"/>
      <c r="N2344" s="30"/>
      <c r="O2344" s="30"/>
      <c r="P2344" s="32"/>
      <c r="Q2344" s="32"/>
      <c r="R2344" s="32"/>
      <c r="S2344" s="32"/>
      <c r="T2344" s="32"/>
      <c r="U2344" s="30"/>
    </row>
    <row r="2345" spans="1:21">
      <c r="A2345" s="29"/>
      <c r="B2345" s="29"/>
      <c r="C2345" s="29"/>
      <c r="D2345" s="29"/>
      <c r="E2345" s="29"/>
      <c r="F2345" s="29"/>
      <c r="G2345" s="29"/>
      <c r="H2345" s="29"/>
      <c r="J2345" s="29"/>
      <c r="K2345" s="29"/>
      <c r="L2345" s="19"/>
      <c r="M2345" s="19"/>
      <c r="N2345" s="30"/>
      <c r="O2345" s="30"/>
      <c r="P2345" s="32"/>
      <c r="Q2345" s="32"/>
      <c r="R2345" s="32"/>
      <c r="S2345" s="32"/>
      <c r="T2345" s="32"/>
      <c r="U2345" s="30"/>
    </row>
    <row r="2346" spans="1:21">
      <c r="A2346" s="29"/>
      <c r="B2346" s="29"/>
      <c r="C2346" s="29"/>
      <c r="D2346" s="29"/>
      <c r="E2346" s="29"/>
      <c r="F2346" s="29"/>
      <c r="G2346" s="29"/>
      <c r="H2346" s="29"/>
      <c r="J2346" s="29"/>
      <c r="K2346" s="29"/>
      <c r="L2346" s="19"/>
      <c r="M2346" s="19"/>
      <c r="N2346" s="30"/>
      <c r="O2346" s="30"/>
      <c r="P2346" s="32"/>
      <c r="Q2346" s="32"/>
      <c r="R2346" s="32"/>
      <c r="S2346" s="32"/>
      <c r="T2346" s="32"/>
      <c r="U2346" s="30"/>
    </row>
    <row r="2347" spans="1:21">
      <c r="A2347" s="29"/>
      <c r="B2347" s="29"/>
      <c r="C2347" s="29"/>
      <c r="D2347" s="29"/>
      <c r="E2347" s="29"/>
      <c r="F2347" s="29"/>
      <c r="G2347" s="29"/>
      <c r="H2347" s="29"/>
      <c r="J2347" s="29"/>
      <c r="K2347" s="29"/>
      <c r="L2347" s="19"/>
      <c r="M2347" s="19"/>
      <c r="N2347" s="30"/>
      <c r="O2347" s="30"/>
      <c r="P2347" s="32"/>
      <c r="Q2347" s="32"/>
      <c r="R2347" s="32"/>
      <c r="S2347" s="32"/>
      <c r="T2347" s="32"/>
      <c r="U2347" s="30"/>
    </row>
    <row r="2348" spans="1:21">
      <c r="A2348" s="29"/>
      <c r="B2348" s="29"/>
      <c r="C2348" s="29"/>
      <c r="D2348" s="29"/>
      <c r="E2348" s="29"/>
      <c r="F2348" s="29"/>
      <c r="G2348" s="29"/>
      <c r="H2348" s="29"/>
      <c r="J2348" s="29"/>
      <c r="K2348" s="29"/>
      <c r="L2348" s="19"/>
      <c r="M2348" s="19"/>
      <c r="N2348" s="30"/>
      <c r="O2348" s="30"/>
      <c r="P2348" s="32"/>
      <c r="Q2348" s="32"/>
      <c r="R2348" s="32"/>
      <c r="S2348" s="32"/>
      <c r="T2348" s="32"/>
      <c r="U2348" s="30"/>
    </row>
    <row r="2349" spans="1:21">
      <c r="A2349" s="29"/>
      <c r="B2349" s="29"/>
      <c r="C2349" s="29"/>
      <c r="D2349" s="29"/>
      <c r="E2349" s="29"/>
      <c r="F2349" s="29"/>
      <c r="G2349" s="29"/>
      <c r="H2349" s="29"/>
      <c r="J2349" s="29"/>
      <c r="K2349" s="29"/>
      <c r="L2349" s="19"/>
      <c r="M2349" s="19"/>
      <c r="N2349" s="30"/>
      <c r="O2349" s="30"/>
      <c r="P2349" s="32"/>
      <c r="Q2349" s="32"/>
      <c r="R2349" s="32"/>
      <c r="S2349" s="32"/>
      <c r="T2349" s="32"/>
      <c r="U2349" s="30"/>
    </row>
    <row r="2350" spans="1:21">
      <c r="A2350" s="29"/>
      <c r="B2350" s="29"/>
      <c r="C2350" s="29"/>
      <c r="D2350" s="29"/>
      <c r="E2350" s="29"/>
      <c r="F2350" s="29"/>
      <c r="G2350" s="29"/>
      <c r="H2350" s="29"/>
      <c r="J2350" s="29"/>
      <c r="K2350" s="29"/>
      <c r="L2350" s="19"/>
      <c r="M2350" s="19"/>
      <c r="N2350" s="30"/>
      <c r="O2350" s="30"/>
      <c r="P2350" s="32"/>
      <c r="Q2350" s="32"/>
      <c r="R2350" s="32"/>
      <c r="S2350" s="32"/>
      <c r="T2350" s="32"/>
      <c r="U2350" s="30"/>
    </row>
    <row r="2351" spans="1:21">
      <c r="A2351" s="29"/>
      <c r="B2351" s="29"/>
      <c r="C2351" s="29"/>
      <c r="D2351" s="29"/>
      <c r="E2351" s="29"/>
      <c r="F2351" s="29"/>
      <c r="G2351" s="29"/>
      <c r="H2351" s="29"/>
      <c r="J2351" s="29"/>
      <c r="K2351" s="29"/>
      <c r="L2351" s="19"/>
      <c r="M2351" s="19"/>
      <c r="N2351" s="30"/>
      <c r="O2351" s="30"/>
      <c r="P2351" s="32"/>
      <c r="Q2351" s="32"/>
      <c r="R2351" s="32"/>
      <c r="S2351" s="32"/>
      <c r="T2351" s="32"/>
      <c r="U2351" s="30"/>
    </row>
    <row r="2352" spans="1:21">
      <c r="A2352" s="29"/>
      <c r="B2352" s="29"/>
      <c r="C2352" s="29"/>
      <c r="D2352" s="29"/>
      <c r="E2352" s="29"/>
      <c r="F2352" s="29"/>
      <c r="G2352" s="29"/>
      <c r="H2352" s="29"/>
      <c r="J2352" s="29"/>
      <c r="K2352" s="29"/>
      <c r="L2352" s="19"/>
      <c r="M2352" s="19"/>
      <c r="N2352" s="30"/>
      <c r="O2352" s="30"/>
      <c r="P2352" s="32"/>
      <c r="Q2352" s="32"/>
      <c r="R2352" s="32"/>
      <c r="S2352" s="32"/>
      <c r="T2352" s="32"/>
      <c r="U2352" s="30"/>
    </row>
    <row r="2353" spans="1:21">
      <c r="A2353" s="29"/>
      <c r="B2353" s="29"/>
      <c r="C2353" s="29"/>
      <c r="D2353" s="29"/>
      <c r="E2353" s="29"/>
      <c r="F2353" s="29"/>
      <c r="G2353" s="29"/>
      <c r="H2353" s="29"/>
      <c r="J2353" s="29"/>
      <c r="K2353" s="29"/>
      <c r="L2353" s="19"/>
      <c r="M2353" s="19"/>
      <c r="N2353" s="30"/>
      <c r="O2353" s="30"/>
      <c r="P2353" s="32"/>
      <c r="Q2353" s="32"/>
      <c r="R2353" s="32"/>
      <c r="S2353" s="32"/>
      <c r="T2353" s="32"/>
      <c r="U2353" s="30"/>
    </row>
    <row r="2354" spans="1:21">
      <c r="A2354" s="29"/>
      <c r="B2354" s="29"/>
      <c r="C2354" s="29"/>
      <c r="D2354" s="29"/>
      <c r="E2354" s="29"/>
      <c r="F2354" s="29"/>
      <c r="G2354" s="29"/>
      <c r="H2354" s="29"/>
      <c r="J2354" s="29"/>
      <c r="K2354" s="29"/>
      <c r="L2354" s="19"/>
      <c r="M2354" s="19"/>
      <c r="N2354" s="30"/>
      <c r="O2354" s="30"/>
      <c r="P2354" s="32"/>
      <c r="Q2354" s="32"/>
      <c r="R2354" s="32"/>
      <c r="S2354" s="32"/>
      <c r="T2354" s="32"/>
      <c r="U2354" s="30"/>
    </row>
    <row r="2355" spans="1:21">
      <c r="A2355" s="29"/>
      <c r="B2355" s="29"/>
      <c r="C2355" s="29"/>
      <c r="D2355" s="29"/>
      <c r="E2355" s="29"/>
      <c r="F2355" s="29"/>
      <c r="G2355" s="29"/>
      <c r="H2355" s="29"/>
      <c r="J2355" s="29"/>
      <c r="K2355" s="29"/>
      <c r="L2355" s="19"/>
      <c r="M2355" s="19"/>
      <c r="N2355" s="30"/>
      <c r="O2355" s="30"/>
      <c r="P2355" s="32"/>
      <c r="Q2355" s="32"/>
      <c r="R2355" s="32"/>
      <c r="S2355" s="32"/>
      <c r="T2355" s="32"/>
      <c r="U2355" s="30"/>
    </row>
    <row r="2356" spans="1:21">
      <c r="A2356" s="29"/>
      <c r="B2356" s="29"/>
      <c r="C2356" s="29"/>
      <c r="D2356" s="29"/>
      <c r="E2356" s="29"/>
      <c r="F2356" s="29"/>
      <c r="G2356" s="29"/>
      <c r="H2356" s="29"/>
      <c r="J2356" s="29"/>
      <c r="K2356" s="29"/>
      <c r="L2356" s="19"/>
      <c r="M2356" s="19"/>
      <c r="N2356" s="30"/>
      <c r="O2356" s="30"/>
      <c r="P2356" s="32"/>
      <c r="Q2356" s="32"/>
      <c r="R2356" s="32"/>
      <c r="S2356" s="32"/>
      <c r="T2356" s="32"/>
      <c r="U2356" s="30"/>
    </row>
    <row r="2357" spans="1:21">
      <c r="A2357" s="29"/>
      <c r="B2357" s="29"/>
      <c r="C2357" s="29"/>
      <c r="D2357" s="29"/>
      <c r="E2357" s="29"/>
      <c r="F2357" s="29"/>
      <c r="G2357" s="29"/>
      <c r="H2357" s="29"/>
      <c r="J2357" s="29"/>
      <c r="K2357" s="29"/>
      <c r="L2357" s="19"/>
      <c r="M2357" s="19"/>
      <c r="N2357" s="30"/>
      <c r="O2357" s="30"/>
      <c r="P2357" s="32"/>
      <c r="Q2357" s="32"/>
      <c r="R2357" s="32"/>
      <c r="S2357" s="32"/>
      <c r="T2357" s="32"/>
      <c r="U2357" s="30"/>
    </row>
    <row r="2358" spans="1:21">
      <c r="A2358" s="29"/>
      <c r="B2358" s="29"/>
      <c r="C2358" s="29"/>
      <c r="D2358" s="29"/>
      <c r="E2358" s="29"/>
      <c r="F2358" s="29"/>
      <c r="G2358" s="29"/>
      <c r="H2358" s="29"/>
      <c r="J2358" s="29"/>
      <c r="K2358" s="29"/>
      <c r="L2358" s="19"/>
      <c r="M2358" s="19"/>
      <c r="N2358" s="30"/>
      <c r="O2358" s="30"/>
      <c r="P2358" s="32"/>
      <c r="Q2358" s="32"/>
      <c r="R2358" s="32"/>
      <c r="S2358" s="32"/>
      <c r="T2358" s="32"/>
      <c r="U2358" s="30"/>
    </row>
    <row r="2359" spans="1:21">
      <c r="A2359" s="29"/>
      <c r="B2359" s="29"/>
      <c r="C2359" s="29"/>
      <c r="D2359" s="29"/>
      <c r="E2359" s="29"/>
      <c r="F2359" s="29"/>
      <c r="G2359" s="29"/>
      <c r="H2359" s="29"/>
      <c r="J2359" s="29"/>
      <c r="K2359" s="29"/>
      <c r="L2359" s="19"/>
      <c r="M2359" s="19"/>
      <c r="N2359" s="30"/>
      <c r="O2359" s="30"/>
      <c r="P2359" s="32"/>
      <c r="Q2359" s="32"/>
      <c r="R2359" s="32"/>
      <c r="S2359" s="32"/>
      <c r="T2359" s="32"/>
      <c r="U2359" s="30"/>
    </row>
    <row r="2360" spans="1:21">
      <c r="A2360" s="29"/>
      <c r="B2360" s="29"/>
      <c r="C2360" s="29"/>
      <c r="D2360" s="29"/>
      <c r="E2360" s="29"/>
      <c r="F2360" s="29"/>
      <c r="G2360" s="29"/>
      <c r="H2360" s="29"/>
      <c r="J2360" s="29"/>
      <c r="K2360" s="29"/>
      <c r="L2360" s="19"/>
      <c r="M2360" s="19"/>
      <c r="N2360" s="30"/>
      <c r="O2360" s="30"/>
      <c r="P2360" s="32"/>
      <c r="Q2360" s="32"/>
      <c r="R2360" s="32"/>
      <c r="S2360" s="32"/>
      <c r="T2360" s="32"/>
      <c r="U2360" s="30"/>
    </row>
    <row r="2361" spans="1:21">
      <c r="A2361" s="29"/>
      <c r="B2361" s="29"/>
      <c r="C2361" s="29"/>
      <c r="D2361" s="29"/>
      <c r="E2361" s="29"/>
      <c r="F2361" s="29"/>
      <c r="G2361" s="29"/>
      <c r="H2361" s="29"/>
      <c r="J2361" s="29"/>
      <c r="K2361" s="29"/>
      <c r="L2361" s="19"/>
      <c r="M2361" s="19"/>
      <c r="N2361" s="30"/>
      <c r="O2361" s="30"/>
      <c r="P2361" s="32"/>
      <c r="Q2361" s="32"/>
      <c r="R2361" s="32"/>
      <c r="S2361" s="32"/>
      <c r="T2361" s="32"/>
      <c r="U2361" s="30"/>
    </row>
    <row r="2362" spans="1:21">
      <c r="A2362" s="29"/>
      <c r="B2362" s="29"/>
      <c r="C2362" s="29"/>
      <c r="D2362" s="29"/>
      <c r="E2362" s="29"/>
      <c r="F2362" s="29"/>
      <c r="G2362" s="29"/>
      <c r="H2362" s="29"/>
      <c r="J2362" s="29"/>
      <c r="K2362" s="29"/>
      <c r="L2362" s="19"/>
      <c r="M2362" s="19"/>
      <c r="N2362" s="30"/>
      <c r="O2362" s="30"/>
      <c r="P2362" s="32"/>
      <c r="Q2362" s="32"/>
      <c r="R2362" s="32"/>
      <c r="S2362" s="32"/>
      <c r="T2362" s="32"/>
      <c r="U2362" s="30"/>
    </row>
    <row r="2363" spans="1:21">
      <c r="A2363" s="29"/>
      <c r="B2363" s="29"/>
      <c r="C2363" s="29"/>
      <c r="D2363" s="29"/>
      <c r="E2363" s="29"/>
      <c r="F2363" s="29"/>
      <c r="G2363" s="29"/>
      <c r="H2363" s="29"/>
      <c r="J2363" s="29"/>
      <c r="K2363" s="29"/>
      <c r="L2363" s="19"/>
      <c r="M2363" s="19"/>
      <c r="N2363" s="30"/>
      <c r="O2363" s="30"/>
      <c r="P2363" s="32"/>
      <c r="Q2363" s="32"/>
      <c r="R2363" s="32"/>
      <c r="S2363" s="32"/>
      <c r="T2363" s="32"/>
      <c r="U2363" s="30"/>
    </row>
    <row r="2364" spans="1:21">
      <c r="A2364" s="29"/>
      <c r="B2364" s="29"/>
      <c r="C2364" s="29"/>
      <c r="D2364" s="29"/>
      <c r="E2364" s="29"/>
      <c r="F2364" s="29"/>
      <c r="G2364" s="29"/>
      <c r="H2364" s="29"/>
      <c r="J2364" s="29"/>
      <c r="K2364" s="29"/>
      <c r="L2364" s="19"/>
      <c r="M2364" s="19"/>
      <c r="N2364" s="30"/>
      <c r="O2364" s="30"/>
      <c r="P2364" s="32"/>
      <c r="Q2364" s="32"/>
      <c r="R2364" s="32"/>
      <c r="S2364" s="32"/>
      <c r="T2364" s="32"/>
      <c r="U2364" s="30"/>
    </row>
    <row r="2365" spans="1:21">
      <c r="A2365" s="29"/>
      <c r="B2365" s="29"/>
      <c r="C2365" s="29"/>
      <c r="D2365" s="29"/>
      <c r="E2365" s="29"/>
      <c r="F2365" s="29"/>
      <c r="G2365" s="29"/>
      <c r="H2365" s="29"/>
      <c r="J2365" s="29"/>
      <c r="K2365" s="29"/>
      <c r="L2365" s="19"/>
      <c r="M2365" s="19"/>
      <c r="N2365" s="30"/>
      <c r="O2365" s="30"/>
      <c r="P2365" s="32"/>
      <c r="Q2365" s="32"/>
      <c r="R2365" s="32"/>
      <c r="S2365" s="32"/>
      <c r="T2365" s="32"/>
      <c r="U2365" s="30"/>
    </row>
    <row r="2366" spans="1:21">
      <c r="A2366" s="29"/>
      <c r="B2366" s="29"/>
      <c r="C2366" s="29"/>
      <c r="D2366" s="29"/>
      <c r="E2366" s="29"/>
      <c r="F2366" s="29"/>
      <c r="G2366" s="29"/>
      <c r="H2366" s="29"/>
      <c r="J2366" s="29"/>
      <c r="K2366" s="29"/>
      <c r="L2366" s="19"/>
      <c r="M2366" s="19"/>
      <c r="N2366" s="30"/>
      <c r="O2366" s="30"/>
      <c r="P2366" s="32"/>
      <c r="Q2366" s="32"/>
      <c r="R2366" s="32"/>
      <c r="S2366" s="32"/>
      <c r="T2366" s="32"/>
      <c r="U2366" s="30"/>
    </row>
    <row r="2367" spans="1:21">
      <c r="A2367" s="29"/>
      <c r="B2367" s="29"/>
      <c r="C2367" s="29"/>
      <c r="D2367" s="29"/>
      <c r="E2367" s="29"/>
      <c r="F2367" s="29"/>
      <c r="G2367" s="29"/>
      <c r="H2367" s="29"/>
      <c r="J2367" s="29"/>
      <c r="K2367" s="29"/>
      <c r="L2367" s="19"/>
      <c r="M2367" s="19"/>
      <c r="N2367" s="30"/>
      <c r="O2367" s="30"/>
      <c r="P2367" s="32"/>
      <c r="Q2367" s="32"/>
      <c r="R2367" s="32"/>
      <c r="S2367" s="32"/>
      <c r="T2367" s="32"/>
      <c r="U2367" s="30"/>
    </row>
    <row r="2368" spans="1:21">
      <c r="A2368" s="29"/>
      <c r="B2368" s="29"/>
      <c r="C2368" s="29"/>
      <c r="D2368" s="29"/>
      <c r="E2368" s="29"/>
      <c r="F2368" s="29"/>
      <c r="G2368" s="29"/>
      <c r="H2368" s="29"/>
      <c r="J2368" s="29"/>
      <c r="K2368" s="29"/>
      <c r="L2368" s="19"/>
      <c r="M2368" s="19"/>
      <c r="N2368" s="30"/>
      <c r="O2368" s="30"/>
      <c r="P2368" s="32"/>
      <c r="Q2368" s="32"/>
      <c r="R2368" s="32"/>
      <c r="S2368" s="32"/>
      <c r="T2368" s="32"/>
      <c r="U2368" s="30"/>
    </row>
    <row r="2369" spans="1:21">
      <c r="A2369" s="29"/>
      <c r="B2369" s="29"/>
      <c r="C2369" s="29"/>
      <c r="D2369" s="29"/>
      <c r="E2369" s="29"/>
      <c r="F2369" s="29"/>
      <c r="G2369" s="29"/>
      <c r="H2369" s="29"/>
      <c r="J2369" s="29"/>
      <c r="K2369" s="29"/>
      <c r="L2369" s="19"/>
      <c r="M2369" s="19"/>
      <c r="N2369" s="30"/>
      <c r="O2369" s="30"/>
      <c r="P2369" s="32"/>
      <c r="Q2369" s="32"/>
      <c r="R2369" s="32"/>
      <c r="S2369" s="32"/>
      <c r="T2369" s="32"/>
      <c r="U2369" s="30"/>
    </row>
    <row r="2370" spans="1:21">
      <c r="A2370" s="29"/>
      <c r="B2370" s="29"/>
      <c r="C2370" s="29"/>
      <c r="D2370" s="29"/>
      <c r="E2370" s="29"/>
      <c r="F2370" s="29"/>
      <c r="G2370" s="29"/>
      <c r="H2370" s="29"/>
      <c r="J2370" s="29"/>
      <c r="K2370" s="29"/>
      <c r="L2370" s="19"/>
      <c r="M2370" s="19"/>
      <c r="N2370" s="30"/>
      <c r="O2370" s="30"/>
      <c r="P2370" s="32"/>
      <c r="Q2370" s="32"/>
      <c r="R2370" s="32"/>
      <c r="S2370" s="32"/>
      <c r="T2370" s="32"/>
      <c r="U2370" s="30"/>
    </row>
    <row r="2371" spans="1:21">
      <c r="A2371" s="29"/>
      <c r="B2371" s="29"/>
      <c r="C2371" s="29"/>
      <c r="D2371" s="29"/>
      <c r="E2371" s="29"/>
      <c r="F2371" s="29"/>
      <c r="G2371" s="29"/>
      <c r="H2371" s="29"/>
      <c r="J2371" s="29"/>
      <c r="K2371" s="29"/>
      <c r="L2371" s="19"/>
      <c r="M2371" s="19"/>
      <c r="N2371" s="30"/>
      <c r="O2371" s="30"/>
      <c r="P2371" s="32"/>
      <c r="Q2371" s="32"/>
      <c r="R2371" s="32"/>
      <c r="S2371" s="32"/>
      <c r="T2371" s="32"/>
      <c r="U2371" s="30"/>
    </row>
    <row r="2372" spans="1:21">
      <c r="A2372" s="29"/>
      <c r="B2372" s="29"/>
      <c r="C2372" s="29"/>
      <c r="D2372" s="29"/>
      <c r="E2372" s="29"/>
      <c r="F2372" s="29"/>
      <c r="G2372" s="29"/>
      <c r="H2372" s="29"/>
      <c r="J2372" s="29"/>
      <c r="K2372" s="29"/>
      <c r="L2372" s="19"/>
      <c r="M2372" s="19"/>
      <c r="N2372" s="30"/>
      <c r="O2372" s="30"/>
      <c r="P2372" s="32"/>
      <c r="Q2372" s="32"/>
      <c r="R2372" s="32"/>
      <c r="S2372" s="32"/>
      <c r="T2372" s="32"/>
      <c r="U2372" s="30"/>
    </row>
    <row r="2373" spans="1:21">
      <c r="A2373" s="29"/>
      <c r="B2373" s="29"/>
      <c r="C2373" s="29"/>
      <c r="D2373" s="29"/>
      <c r="E2373" s="29"/>
      <c r="F2373" s="29"/>
      <c r="G2373" s="29"/>
      <c r="H2373" s="29"/>
      <c r="J2373" s="29"/>
      <c r="K2373" s="29"/>
      <c r="L2373" s="19"/>
      <c r="M2373" s="19"/>
      <c r="N2373" s="30"/>
      <c r="O2373" s="30"/>
      <c r="P2373" s="32"/>
      <c r="Q2373" s="32"/>
      <c r="R2373" s="32"/>
      <c r="S2373" s="32"/>
      <c r="T2373" s="32"/>
      <c r="U2373" s="30"/>
    </row>
    <row r="2374" spans="1:21">
      <c r="A2374" s="29"/>
      <c r="B2374" s="29"/>
      <c r="C2374" s="29"/>
      <c r="D2374" s="29"/>
      <c r="E2374" s="29"/>
      <c r="F2374" s="29"/>
      <c r="G2374" s="29"/>
      <c r="H2374" s="29"/>
      <c r="J2374" s="29"/>
      <c r="K2374" s="29"/>
      <c r="L2374" s="19"/>
      <c r="M2374" s="19"/>
      <c r="N2374" s="30"/>
      <c r="O2374" s="30"/>
      <c r="P2374" s="32"/>
      <c r="Q2374" s="32"/>
      <c r="R2374" s="32"/>
      <c r="S2374" s="32"/>
      <c r="T2374" s="32"/>
      <c r="U2374" s="30"/>
    </row>
    <row r="2375" spans="1:21">
      <c r="A2375" s="29"/>
      <c r="B2375" s="29"/>
      <c r="C2375" s="29"/>
      <c r="D2375" s="29"/>
      <c r="E2375" s="29"/>
      <c r="F2375" s="29"/>
      <c r="G2375" s="29"/>
      <c r="H2375" s="29"/>
      <c r="J2375" s="29"/>
      <c r="K2375" s="29"/>
      <c r="L2375" s="19"/>
      <c r="M2375" s="19"/>
      <c r="N2375" s="30"/>
      <c r="O2375" s="30"/>
      <c r="P2375" s="32"/>
      <c r="Q2375" s="32"/>
      <c r="R2375" s="32"/>
      <c r="S2375" s="32"/>
      <c r="T2375" s="32"/>
      <c r="U2375" s="30"/>
    </row>
    <row r="2376" spans="1:21">
      <c r="A2376" s="29"/>
      <c r="B2376" s="29"/>
      <c r="C2376" s="29"/>
      <c r="D2376" s="29"/>
      <c r="E2376" s="29"/>
      <c r="F2376" s="29"/>
      <c r="G2376" s="29"/>
      <c r="H2376" s="29"/>
      <c r="J2376" s="29"/>
      <c r="K2376" s="29"/>
      <c r="L2376" s="19"/>
      <c r="M2376" s="19"/>
      <c r="N2376" s="30"/>
      <c r="O2376" s="30"/>
      <c r="P2376" s="32"/>
      <c r="Q2376" s="32"/>
      <c r="R2376" s="32"/>
      <c r="S2376" s="32"/>
      <c r="T2376" s="32"/>
      <c r="U2376" s="30"/>
    </row>
    <row r="2377" spans="1:21">
      <c r="A2377" s="29"/>
      <c r="B2377" s="29"/>
      <c r="C2377" s="29"/>
      <c r="D2377" s="29"/>
      <c r="E2377" s="29"/>
      <c r="F2377" s="29"/>
      <c r="G2377" s="29"/>
      <c r="H2377" s="29"/>
      <c r="J2377" s="29"/>
      <c r="K2377" s="29"/>
      <c r="L2377" s="19"/>
      <c r="M2377" s="19"/>
      <c r="N2377" s="30"/>
      <c r="O2377" s="30"/>
      <c r="P2377" s="32"/>
      <c r="Q2377" s="32"/>
      <c r="R2377" s="32"/>
      <c r="S2377" s="32"/>
      <c r="T2377" s="32"/>
      <c r="U2377" s="30"/>
    </row>
    <row r="2378" spans="1:21">
      <c r="A2378" s="29"/>
      <c r="B2378" s="29"/>
      <c r="C2378" s="29"/>
      <c r="D2378" s="29"/>
      <c r="E2378" s="29"/>
      <c r="F2378" s="29"/>
      <c r="G2378" s="29"/>
      <c r="H2378" s="29"/>
      <c r="J2378" s="29"/>
      <c r="K2378" s="29"/>
      <c r="L2378" s="19"/>
      <c r="M2378" s="19"/>
      <c r="N2378" s="30"/>
      <c r="O2378" s="30"/>
      <c r="P2378" s="32"/>
      <c r="Q2378" s="32"/>
      <c r="R2378" s="32"/>
      <c r="S2378" s="32"/>
      <c r="T2378" s="32"/>
      <c r="U2378" s="30"/>
    </row>
    <row r="2379" spans="1:21">
      <c r="A2379" s="29"/>
      <c r="B2379" s="29"/>
      <c r="C2379" s="29"/>
      <c r="D2379" s="29"/>
      <c r="E2379" s="29"/>
      <c r="F2379" s="29"/>
      <c r="G2379" s="29"/>
      <c r="H2379" s="29"/>
      <c r="J2379" s="29"/>
      <c r="K2379" s="29"/>
      <c r="L2379" s="19"/>
      <c r="M2379" s="19"/>
      <c r="N2379" s="30"/>
      <c r="O2379" s="30"/>
      <c r="P2379" s="32"/>
      <c r="Q2379" s="32"/>
      <c r="R2379" s="32"/>
      <c r="S2379" s="32"/>
      <c r="T2379" s="32"/>
      <c r="U2379" s="30"/>
    </row>
    <row r="2380" spans="1:21">
      <c r="A2380" s="29"/>
      <c r="B2380" s="29"/>
      <c r="C2380" s="29"/>
      <c r="D2380" s="29"/>
      <c r="E2380" s="29"/>
      <c r="F2380" s="29"/>
      <c r="G2380" s="29"/>
      <c r="H2380" s="29"/>
      <c r="J2380" s="29"/>
      <c r="K2380" s="29"/>
      <c r="L2380" s="19"/>
      <c r="M2380" s="19"/>
      <c r="N2380" s="30"/>
      <c r="O2380" s="30"/>
      <c r="P2380" s="32"/>
      <c r="Q2380" s="32"/>
      <c r="R2380" s="32"/>
      <c r="S2380" s="32"/>
      <c r="T2380" s="32"/>
      <c r="U2380" s="30"/>
    </row>
    <row r="2381" spans="1:21">
      <c r="A2381" s="29"/>
      <c r="B2381" s="29"/>
      <c r="C2381" s="29"/>
      <c r="D2381" s="29"/>
      <c r="E2381" s="29"/>
      <c r="F2381" s="29"/>
      <c r="G2381" s="29"/>
      <c r="H2381" s="29"/>
      <c r="J2381" s="29"/>
      <c r="K2381" s="29"/>
      <c r="L2381" s="19"/>
      <c r="M2381" s="19"/>
      <c r="N2381" s="30"/>
      <c r="O2381" s="30"/>
      <c r="P2381" s="32"/>
      <c r="Q2381" s="32"/>
      <c r="R2381" s="32"/>
      <c r="S2381" s="32"/>
      <c r="T2381" s="32"/>
      <c r="U2381" s="30"/>
    </row>
    <row r="2382" spans="1:21">
      <c r="A2382" s="29"/>
      <c r="B2382" s="29"/>
      <c r="C2382" s="29"/>
      <c r="D2382" s="29"/>
      <c r="E2382" s="29"/>
      <c r="F2382" s="29"/>
      <c r="G2382" s="29"/>
      <c r="H2382" s="29"/>
      <c r="J2382" s="29"/>
      <c r="K2382" s="29"/>
      <c r="L2382" s="19"/>
      <c r="M2382" s="19"/>
      <c r="N2382" s="30"/>
      <c r="O2382" s="30"/>
      <c r="P2382" s="32"/>
      <c r="Q2382" s="32"/>
      <c r="R2382" s="32"/>
      <c r="S2382" s="32"/>
      <c r="T2382" s="32"/>
      <c r="U2382" s="30"/>
    </row>
    <row r="2383" spans="1:21">
      <c r="A2383" s="29"/>
      <c r="B2383" s="29"/>
      <c r="C2383" s="29"/>
      <c r="D2383" s="29"/>
      <c r="E2383" s="29"/>
      <c r="F2383" s="29"/>
      <c r="G2383" s="29"/>
      <c r="H2383" s="29"/>
      <c r="J2383" s="29"/>
      <c r="K2383" s="29"/>
      <c r="L2383" s="19"/>
      <c r="M2383" s="19"/>
      <c r="N2383" s="30"/>
      <c r="O2383" s="30"/>
      <c r="P2383" s="32"/>
      <c r="Q2383" s="32"/>
      <c r="R2383" s="32"/>
      <c r="S2383" s="32"/>
      <c r="T2383" s="32"/>
      <c r="U2383" s="30"/>
    </row>
    <row r="2384" spans="1:21">
      <c r="A2384" s="29"/>
      <c r="B2384" s="29"/>
      <c r="C2384" s="29"/>
      <c r="D2384" s="29"/>
      <c r="E2384" s="29"/>
      <c r="F2384" s="29"/>
      <c r="G2384" s="29"/>
      <c r="H2384" s="29"/>
      <c r="J2384" s="29"/>
      <c r="K2384" s="29"/>
      <c r="L2384" s="19"/>
      <c r="M2384" s="19"/>
      <c r="N2384" s="30"/>
      <c r="O2384" s="30"/>
      <c r="P2384" s="32"/>
      <c r="Q2384" s="32"/>
      <c r="R2384" s="32"/>
      <c r="S2384" s="32"/>
      <c r="T2384" s="32"/>
      <c r="U2384" s="30"/>
    </row>
    <row r="2385" spans="1:21">
      <c r="A2385" s="29"/>
      <c r="B2385" s="29"/>
      <c r="C2385" s="29"/>
      <c r="D2385" s="29"/>
      <c r="E2385" s="29"/>
      <c r="F2385" s="29"/>
      <c r="G2385" s="29"/>
      <c r="H2385" s="29"/>
      <c r="J2385" s="29"/>
      <c r="K2385" s="29"/>
      <c r="L2385" s="19"/>
      <c r="M2385" s="19"/>
      <c r="N2385" s="30"/>
      <c r="O2385" s="30"/>
      <c r="P2385" s="32"/>
      <c r="Q2385" s="32"/>
      <c r="R2385" s="32"/>
      <c r="S2385" s="32"/>
      <c r="T2385" s="32"/>
      <c r="U2385" s="30"/>
    </row>
    <row r="2386" spans="1:21">
      <c r="A2386" s="29"/>
      <c r="B2386" s="29"/>
      <c r="C2386" s="29"/>
      <c r="D2386" s="29"/>
      <c r="E2386" s="29"/>
      <c r="F2386" s="29"/>
      <c r="G2386" s="29"/>
      <c r="H2386" s="29"/>
      <c r="J2386" s="29"/>
      <c r="K2386" s="29"/>
      <c r="L2386" s="19"/>
      <c r="M2386" s="19"/>
      <c r="N2386" s="30"/>
      <c r="O2386" s="30"/>
      <c r="P2386" s="32"/>
      <c r="Q2386" s="32"/>
      <c r="R2386" s="32"/>
      <c r="S2386" s="32"/>
      <c r="T2386" s="32"/>
      <c r="U2386" s="30"/>
    </row>
    <row r="2387" spans="1:21">
      <c r="A2387" s="29"/>
      <c r="B2387" s="29"/>
      <c r="C2387" s="29"/>
      <c r="D2387" s="29"/>
      <c r="E2387" s="29"/>
      <c r="F2387" s="29"/>
      <c r="G2387" s="29"/>
      <c r="H2387" s="29"/>
      <c r="J2387" s="29"/>
      <c r="K2387" s="29"/>
      <c r="L2387" s="19"/>
      <c r="M2387" s="19"/>
      <c r="N2387" s="30"/>
      <c r="O2387" s="30"/>
      <c r="P2387" s="32"/>
      <c r="Q2387" s="32"/>
      <c r="R2387" s="32"/>
      <c r="S2387" s="32"/>
      <c r="T2387" s="32"/>
      <c r="U2387" s="30"/>
    </row>
    <row r="2388" spans="1:21">
      <c r="A2388" s="29"/>
      <c r="B2388" s="29"/>
      <c r="C2388" s="29"/>
      <c r="D2388" s="29"/>
      <c r="E2388" s="29"/>
      <c r="F2388" s="29"/>
      <c r="G2388" s="29"/>
      <c r="H2388" s="29"/>
      <c r="J2388" s="29"/>
      <c r="K2388" s="29"/>
      <c r="L2388" s="19"/>
      <c r="M2388" s="19"/>
      <c r="N2388" s="30"/>
      <c r="O2388" s="30"/>
      <c r="P2388" s="32"/>
      <c r="Q2388" s="32"/>
      <c r="R2388" s="32"/>
      <c r="S2388" s="32"/>
      <c r="T2388" s="32"/>
      <c r="U2388" s="30"/>
    </row>
    <row r="2389" spans="1:21">
      <c r="A2389" s="29"/>
      <c r="B2389" s="29"/>
      <c r="C2389" s="29"/>
      <c r="D2389" s="29"/>
      <c r="E2389" s="29"/>
      <c r="F2389" s="29"/>
      <c r="G2389" s="29"/>
      <c r="H2389" s="29"/>
      <c r="J2389" s="29"/>
      <c r="K2389" s="29"/>
      <c r="L2389" s="19"/>
      <c r="M2389" s="19"/>
      <c r="N2389" s="30"/>
      <c r="O2389" s="30"/>
      <c r="P2389" s="32"/>
      <c r="Q2389" s="32"/>
      <c r="R2389" s="32"/>
      <c r="S2389" s="32"/>
      <c r="T2389" s="32"/>
      <c r="U2389" s="30"/>
    </row>
    <row r="2390" spans="1:21">
      <c r="A2390" s="29"/>
      <c r="B2390" s="29"/>
      <c r="C2390" s="29"/>
      <c r="D2390" s="29"/>
      <c r="E2390" s="29"/>
      <c r="F2390" s="29"/>
      <c r="G2390" s="29"/>
      <c r="H2390" s="29"/>
      <c r="J2390" s="29"/>
      <c r="K2390" s="29"/>
      <c r="L2390" s="19"/>
      <c r="M2390" s="19"/>
      <c r="N2390" s="30"/>
      <c r="O2390" s="30"/>
      <c r="P2390" s="32"/>
      <c r="Q2390" s="32"/>
      <c r="R2390" s="32"/>
      <c r="S2390" s="32"/>
      <c r="T2390" s="32"/>
      <c r="U2390" s="30"/>
    </row>
    <row r="2391" spans="1:21">
      <c r="A2391" s="29"/>
      <c r="B2391" s="29"/>
      <c r="C2391" s="29"/>
      <c r="D2391" s="29"/>
      <c r="E2391" s="29"/>
      <c r="F2391" s="29"/>
      <c r="G2391" s="29"/>
      <c r="H2391" s="29"/>
      <c r="J2391" s="29"/>
      <c r="K2391" s="29"/>
      <c r="L2391" s="19"/>
      <c r="M2391" s="19"/>
      <c r="N2391" s="30"/>
      <c r="O2391" s="30"/>
      <c r="P2391" s="32"/>
      <c r="Q2391" s="32"/>
      <c r="R2391" s="32"/>
      <c r="S2391" s="32"/>
      <c r="T2391" s="32"/>
      <c r="U2391" s="30"/>
    </row>
    <row r="2392" spans="1:21">
      <c r="A2392" s="29"/>
      <c r="B2392" s="29"/>
      <c r="C2392" s="29"/>
      <c r="D2392" s="29"/>
      <c r="E2392" s="29"/>
      <c r="F2392" s="29"/>
      <c r="G2392" s="29"/>
      <c r="H2392" s="29"/>
      <c r="J2392" s="29"/>
      <c r="K2392" s="29"/>
      <c r="L2392" s="19"/>
      <c r="M2392" s="19"/>
      <c r="N2392" s="30"/>
      <c r="O2392" s="30"/>
      <c r="P2392" s="32"/>
      <c r="Q2392" s="32"/>
      <c r="R2392" s="32"/>
      <c r="S2392" s="32"/>
      <c r="T2392" s="32"/>
      <c r="U2392" s="30"/>
    </row>
    <row r="2393" spans="1:21">
      <c r="A2393" s="29"/>
      <c r="B2393" s="29"/>
      <c r="C2393" s="29"/>
      <c r="D2393" s="29"/>
      <c r="E2393" s="29"/>
      <c r="F2393" s="29"/>
      <c r="G2393" s="29"/>
      <c r="H2393" s="29"/>
      <c r="J2393" s="29"/>
      <c r="K2393" s="29"/>
      <c r="L2393" s="19"/>
      <c r="M2393" s="19"/>
      <c r="N2393" s="30"/>
      <c r="O2393" s="30"/>
      <c r="P2393" s="32"/>
      <c r="Q2393" s="32"/>
      <c r="R2393" s="32"/>
      <c r="S2393" s="32"/>
      <c r="T2393" s="32"/>
      <c r="U2393" s="30"/>
    </row>
    <row r="2394" spans="1:21">
      <c r="A2394" s="29"/>
      <c r="B2394" s="29"/>
      <c r="C2394" s="29"/>
      <c r="D2394" s="29"/>
      <c r="E2394" s="29"/>
      <c r="F2394" s="29"/>
      <c r="G2394" s="29"/>
      <c r="H2394" s="29"/>
      <c r="J2394" s="29"/>
      <c r="K2394" s="29"/>
      <c r="L2394" s="19"/>
      <c r="M2394" s="19"/>
      <c r="N2394" s="30"/>
      <c r="O2394" s="30"/>
      <c r="P2394" s="32"/>
      <c r="Q2394" s="32"/>
      <c r="R2394" s="32"/>
      <c r="S2394" s="32"/>
      <c r="T2394" s="32"/>
      <c r="U2394" s="30"/>
    </row>
    <row r="2395" spans="1:21">
      <c r="A2395" s="29"/>
      <c r="B2395" s="29"/>
      <c r="C2395" s="29"/>
      <c r="D2395" s="29"/>
      <c r="E2395" s="29"/>
      <c r="F2395" s="29"/>
      <c r="G2395" s="29"/>
      <c r="H2395" s="29"/>
      <c r="J2395" s="29"/>
      <c r="K2395" s="29"/>
      <c r="L2395" s="19"/>
      <c r="M2395" s="19"/>
      <c r="N2395" s="30"/>
      <c r="O2395" s="30"/>
      <c r="P2395" s="32"/>
      <c r="Q2395" s="32"/>
      <c r="R2395" s="32"/>
      <c r="S2395" s="32"/>
      <c r="T2395" s="32"/>
      <c r="U2395" s="30"/>
    </row>
    <row r="2396" spans="1:21">
      <c r="A2396" s="29"/>
      <c r="B2396" s="29"/>
      <c r="C2396" s="29"/>
      <c r="D2396" s="29"/>
      <c r="E2396" s="29"/>
      <c r="F2396" s="29"/>
      <c r="G2396" s="29"/>
      <c r="H2396" s="29"/>
      <c r="J2396" s="29"/>
      <c r="K2396" s="29"/>
      <c r="L2396" s="19"/>
      <c r="M2396" s="19"/>
      <c r="N2396" s="30"/>
      <c r="O2396" s="30"/>
      <c r="P2396" s="32"/>
      <c r="Q2396" s="32"/>
      <c r="R2396" s="32"/>
      <c r="S2396" s="32"/>
      <c r="T2396" s="32"/>
      <c r="U2396" s="30"/>
    </row>
    <row r="2397" spans="1:21">
      <c r="A2397" s="29"/>
      <c r="B2397" s="29"/>
      <c r="C2397" s="29"/>
      <c r="D2397" s="29"/>
      <c r="E2397" s="29"/>
      <c r="F2397" s="29"/>
      <c r="G2397" s="29"/>
      <c r="H2397" s="29"/>
      <c r="J2397" s="29"/>
      <c r="K2397" s="29"/>
      <c r="L2397" s="19"/>
      <c r="M2397" s="19"/>
      <c r="N2397" s="30"/>
      <c r="O2397" s="30"/>
      <c r="P2397" s="32"/>
      <c r="Q2397" s="32"/>
      <c r="R2397" s="32"/>
      <c r="S2397" s="32"/>
      <c r="T2397" s="32"/>
      <c r="U2397" s="30"/>
    </row>
    <row r="2398" spans="1:21">
      <c r="A2398" s="29"/>
      <c r="B2398" s="29"/>
      <c r="C2398" s="29"/>
      <c r="D2398" s="29"/>
      <c r="E2398" s="29"/>
      <c r="F2398" s="29"/>
      <c r="G2398" s="29"/>
      <c r="H2398" s="29"/>
      <c r="J2398" s="29"/>
      <c r="K2398" s="29"/>
      <c r="L2398" s="19"/>
      <c r="M2398" s="19"/>
      <c r="N2398" s="30"/>
      <c r="O2398" s="30"/>
      <c r="P2398" s="32"/>
      <c r="Q2398" s="32"/>
      <c r="R2398" s="32"/>
      <c r="S2398" s="32"/>
      <c r="T2398" s="32"/>
      <c r="U2398" s="30"/>
    </row>
    <row r="2399" spans="1:21">
      <c r="A2399" s="29"/>
      <c r="B2399" s="29"/>
      <c r="C2399" s="29"/>
      <c r="D2399" s="29"/>
      <c r="E2399" s="29"/>
      <c r="F2399" s="29"/>
      <c r="G2399" s="29"/>
      <c r="H2399" s="29"/>
      <c r="J2399" s="29"/>
      <c r="K2399" s="29"/>
      <c r="L2399" s="19"/>
      <c r="M2399" s="19"/>
      <c r="N2399" s="30"/>
      <c r="O2399" s="30"/>
      <c r="P2399" s="32"/>
      <c r="Q2399" s="32"/>
      <c r="R2399" s="32"/>
      <c r="S2399" s="32"/>
      <c r="T2399" s="32"/>
      <c r="U2399" s="30"/>
    </row>
    <row r="2400" spans="1:21">
      <c r="A2400" s="29"/>
      <c r="B2400" s="29"/>
      <c r="C2400" s="29"/>
      <c r="D2400" s="29"/>
      <c r="E2400" s="29"/>
      <c r="F2400" s="29"/>
      <c r="G2400" s="29"/>
      <c r="H2400" s="29"/>
      <c r="J2400" s="29"/>
      <c r="K2400" s="29"/>
      <c r="L2400" s="19"/>
      <c r="M2400" s="19"/>
      <c r="N2400" s="30"/>
      <c r="O2400" s="30"/>
      <c r="P2400" s="32"/>
      <c r="Q2400" s="32"/>
      <c r="R2400" s="32"/>
      <c r="S2400" s="32"/>
      <c r="T2400" s="32"/>
      <c r="U2400" s="30"/>
    </row>
    <row r="2401" spans="1:21">
      <c r="A2401" s="29"/>
      <c r="B2401" s="29"/>
      <c r="C2401" s="29"/>
      <c r="D2401" s="29"/>
      <c r="E2401" s="29"/>
      <c r="F2401" s="29"/>
      <c r="G2401" s="29"/>
      <c r="H2401" s="29"/>
      <c r="J2401" s="29"/>
      <c r="K2401" s="29"/>
      <c r="L2401" s="19"/>
      <c r="M2401" s="19"/>
      <c r="N2401" s="30"/>
      <c r="O2401" s="30"/>
      <c r="P2401" s="32"/>
      <c r="Q2401" s="32"/>
      <c r="R2401" s="32"/>
      <c r="S2401" s="32"/>
      <c r="T2401" s="32"/>
      <c r="U2401" s="30"/>
    </row>
    <row r="2402" spans="1:21">
      <c r="A2402" s="29"/>
      <c r="B2402" s="29"/>
      <c r="C2402" s="29"/>
      <c r="D2402" s="29"/>
      <c r="E2402" s="29"/>
      <c r="F2402" s="29"/>
      <c r="G2402" s="29"/>
      <c r="H2402" s="29"/>
      <c r="J2402" s="29"/>
      <c r="K2402" s="29"/>
      <c r="L2402" s="19"/>
      <c r="M2402" s="19"/>
      <c r="N2402" s="30"/>
      <c r="O2402" s="30"/>
      <c r="P2402" s="32"/>
      <c r="Q2402" s="32"/>
      <c r="R2402" s="32"/>
      <c r="S2402" s="32"/>
      <c r="T2402" s="32"/>
      <c r="U2402" s="30"/>
    </row>
    <row r="2403" spans="1:21">
      <c r="A2403" s="29"/>
      <c r="B2403" s="29"/>
      <c r="C2403" s="29"/>
      <c r="D2403" s="29"/>
      <c r="E2403" s="29"/>
      <c r="F2403" s="29"/>
      <c r="G2403" s="29"/>
      <c r="H2403" s="29"/>
      <c r="J2403" s="29"/>
      <c r="K2403" s="29"/>
      <c r="L2403" s="19"/>
      <c r="M2403" s="19"/>
      <c r="N2403" s="30"/>
      <c r="O2403" s="30"/>
      <c r="P2403" s="32"/>
      <c r="Q2403" s="32"/>
      <c r="R2403" s="32"/>
      <c r="S2403" s="32"/>
      <c r="T2403" s="32"/>
      <c r="U2403" s="30"/>
    </row>
    <row r="2404" spans="1:21">
      <c r="A2404" s="29"/>
      <c r="B2404" s="29"/>
      <c r="C2404" s="29"/>
      <c r="D2404" s="29"/>
      <c r="E2404" s="29"/>
      <c r="F2404" s="29"/>
      <c r="G2404" s="29"/>
      <c r="H2404" s="29"/>
      <c r="J2404" s="29"/>
      <c r="K2404" s="29"/>
      <c r="L2404" s="19"/>
      <c r="M2404" s="19"/>
      <c r="N2404" s="30"/>
      <c r="O2404" s="30"/>
      <c r="P2404" s="32"/>
      <c r="Q2404" s="32"/>
      <c r="R2404" s="32"/>
      <c r="S2404" s="32"/>
      <c r="T2404" s="32"/>
      <c r="U2404" s="30"/>
    </row>
    <row r="2405" spans="1:21">
      <c r="A2405" s="29"/>
      <c r="B2405" s="29"/>
      <c r="C2405" s="29"/>
      <c r="D2405" s="29"/>
      <c r="E2405" s="29"/>
      <c r="F2405" s="29"/>
      <c r="G2405" s="29"/>
      <c r="H2405" s="29"/>
      <c r="J2405" s="29"/>
      <c r="K2405" s="29"/>
      <c r="L2405" s="19"/>
      <c r="M2405" s="19"/>
      <c r="N2405" s="30"/>
      <c r="O2405" s="30"/>
      <c r="P2405" s="32"/>
      <c r="Q2405" s="32"/>
      <c r="R2405" s="32"/>
      <c r="S2405" s="32"/>
      <c r="T2405" s="32"/>
      <c r="U2405" s="30"/>
    </row>
    <row r="2406" spans="1:21">
      <c r="A2406" s="29"/>
      <c r="B2406" s="29"/>
      <c r="C2406" s="29"/>
      <c r="D2406" s="29"/>
      <c r="E2406" s="29"/>
      <c r="F2406" s="29"/>
      <c r="G2406" s="29"/>
      <c r="H2406" s="29"/>
      <c r="J2406" s="29"/>
      <c r="K2406" s="29"/>
      <c r="L2406" s="19"/>
      <c r="M2406" s="19"/>
      <c r="N2406" s="30"/>
      <c r="O2406" s="30"/>
      <c r="P2406" s="32"/>
      <c r="Q2406" s="32"/>
      <c r="R2406" s="32"/>
      <c r="S2406" s="32"/>
      <c r="T2406" s="32"/>
      <c r="U2406" s="30"/>
    </row>
    <row r="2407" spans="1:21">
      <c r="A2407" s="29"/>
      <c r="B2407" s="29"/>
      <c r="C2407" s="29"/>
      <c r="D2407" s="29"/>
      <c r="E2407" s="29"/>
      <c r="F2407" s="29"/>
      <c r="G2407" s="29"/>
      <c r="H2407" s="29"/>
      <c r="J2407" s="29"/>
      <c r="K2407" s="29"/>
      <c r="L2407" s="19"/>
      <c r="M2407" s="19"/>
      <c r="N2407" s="30"/>
      <c r="O2407" s="30"/>
      <c r="P2407" s="32"/>
      <c r="Q2407" s="32"/>
      <c r="R2407" s="32"/>
      <c r="S2407" s="32"/>
      <c r="T2407" s="32"/>
      <c r="U2407" s="30"/>
    </row>
    <row r="2408" spans="1:21">
      <c r="A2408" s="29"/>
      <c r="B2408" s="29"/>
      <c r="C2408" s="29"/>
      <c r="D2408" s="29"/>
      <c r="E2408" s="29"/>
      <c r="F2408" s="29"/>
      <c r="G2408" s="29"/>
      <c r="H2408" s="29"/>
      <c r="J2408" s="29"/>
      <c r="K2408" s="29"/>
      <c r="L2408" s="19"/>
      <c r="M2408" s="19"/>
      <c r="N2408" s="30"/>
      <c r="O2408" s="30"/>
      <c r="P2408" s="32"/>
      <c r="Q2408" s="32"/>
      <c r="R2408" s="32"/>
      <c r="S2408" s="32"/>
      <c r="T2408" s="32"/>
      <c r="U2408" s="30"/>
    </row>
    <row r="2409" spans="1:21">
      <c r="A2409" s="29"/>
      <c r="B2409" s="29"/>
      <c r="C2409" s="29"/>
      <c r="D2409" s="29"/>
      <c r="E2409" s="29"/>
      <c r="F2409" s="29"/>
      <c r="G2409" s="29"/>
      <c r="H2409" s="29"/>
      <c r="J2409" s="29"/>
      <c r="K2409" s="29"/>
      <c r="L2409" s="19"/>
      <c r="M2409" s="19"/>
      <c r="N2409" s="30"/>
      <c r="O2409" s="30"/>
      <c r="P2409" s="32"/>
      <c r="Q2409" s="32"/>
      <c r="R2409" s="32"/>
      <c r="S2409" s="32"/>
      <c r="T2409" s="32"/>
      <c r="U2409" s="30"/>
    </row>
    <row r="2410" spans="1:21">
      <c r="A2410" s="29"/>
      <c r="B2410" s="29"/>
      <c r="C2410" s="29"/>
      <c r="D2410" s="29"/>
      <c r="E2410" s="29"/>
      <c r="F2410" s="29"/>
      <c r="G2410" s="29"/>
      <c r="H2410" s="29"/>
      <c r="J2410" s="29"/>
      <c r="K2410" s="29"/>
      <c r="L2410" s="19"/>
      <c r="M2410" s="19"/>
      <c r="N2410" s="30"/>
      <c r="O2410" s="30"/>
      <c r="P2410" s="32"/>
      <c r="Q2410" s="32"/>
      <c r="R2410" s="32"/>
      <c r="S2410" s="32"/>
      <c r="T2410" s="32"/>
      <c r="U2410" s="30"/>
    </row>
    <row r="2411" spans="1:21">
      <c r="A2411" s="29"/>
      <c r="B2411" s="29"/>
      <c r="C2411" s="29"/>
      <c r="D2411" s="29"/>
      <c r="E2411" s="29"/>
      <c r="F2411" s="29"/>
      <c r="G2411" s="29"/>
      <c r="H2411" s="29"/>
      <c r="J2411" s="29"/>
      <c r="K2411" s="29"/>
      <c r="L2411" s="19"/>
      <c r="M2411" s="19"/>
      <c r="N2411" s="30"/>
      <c r="O2411" s="30"/>
      <c r="P2411" s="32"/>
      <c r="Q2411" s="32"/>
      <c r="R2411" s="32"/>
      <c r="S2411" s="32"/>
      <c r="T2411" s="32"/>
      <c r="U2411" s="30"/>
    </row>
    <row r="2412" spans="1:21">
      <c r="A2412" s="29"/>
      <c r="B2412" s="29"/>
      <c r="C2412" s="29"/>
      <c r="D2412" s="29"/>
      <c r="E2412" s="29"/>
      <c r="F2412" s="29"/>
      <c r="G2412" s="29"/>
      <c r="H2412" s="29"/>
      <c r="J2412" s="29"/>
      <c r="K2412" s="29"/>
      <c r="L2412" s="19"/>
      <c r="M2412" s="19"/>
      <c r="N2412" s="30"/>
      <c r="O2412" s="30"/>
      <c r="P2412" s="32"/>
      <c r="Q2412" s="32"/>
      <c r="R2412" s="32"/>
      <c r="S2412" s="32"/>
      <c r="T2412" s="32"/>
      <c r="U2412" s="30"/>
    </row>
    <row r="2413" spans="1:21">
      <c r="A2413" s="29"/>
      <c r="B2413" s="29"/>
      <c r="C2413" s="29"/>
      <c r="D2413" s="29"/>
      <c r="E2413" s="29"/>
      <c r="F2413" s="29"/>
      <c r="G2413" s="29"/>
      <c r="H2413" s="29"/>
      <c r="J2413" s="29"/>
      <c r="K2413" s="29"/>
      <c r="L2413" s="19"/>
      <c r="M2413" s="19"/>
      <c r="N2413" s="30"/>
      <c r="O2413" s="30"/>
      <c r="P2413" s="32"/>
      <c r="Q2413" s="32"/>
      <c r="R2413" s="32"/>
      <c r="S2413" s="32"/>
      <c r="T2413" s="32"/>
      <c r="U2413" s="30"/>
    </row>
    <row r="2414" spans="1:21">
      <c r="A2414" s="29"/>
      <c r="B2414" s="29"/>
      <c r="C2414" s="29"/>
      <c r="D2414" s="29"/>
      <c r="E2414" s="29"/>
      <c r="F2414" s="29"/>
      <c r="G2414" s="29"/>
      <c r="H2414" s="29"/>
      <c r="J2414" s="29"/>
      <c r="K2414" s="29"/>
      <c r="L2414" s="19"/>
      <c r="M2414" s="19"/>
      <c r="N2414" s="30"/>
      <c r="O2414" s="30"/>
      <c r="P2414" s="32"/>
      <c r="Q2414" s="32"/>
      <c r="R2414" s="32"/>
      <c r="S2414" s="32"/>
      <c r="T2414" s="32"/>
      <c r="U2414" s="30"/>
    </row>
    <row r="2415" spans="1:21">
      <c r="A2415" s="29"/>
      <c r="B2415" s="29"/>
      <c r="C2415" s="29"/>
      <c r="D2415" s="29"/>
      <c r="E2415" s="29"/>
      <c r="F2415" s="29"/>
      <c r="G2415" s="29"/>
      <c r="H2415" s="29"/>
      <c r="J2415" s="29"/>
      <c r="K2415" s="29"/>
      <c r="L2415" s="19"/>
      <c r="M2415" s="19"/>
      <c r="N2415" s="30"/>
      <c r="O2415" s="30"/>
      <c r="P2415" s="32"/>
      <c r="Q2415" s="32"/>
      <c r="R2415" s="32"/>
      <c r="S2415" s="32"/>
      <c r="T2415" s="32"/>
      <c r="U2415" s="30"/>
    </row>
    <row r="2416" spans="1:21">
      <c r="A2416" s="29"/>
      <c r="B2416" s="29"/>
      <c r="C2416" s="29"/>
      <c r="D2416" s="29"/>
      <c r="E2416" s="29"/>
      <c r="F2416" s="29"/>
      <c r="G2416" s="29"/>
      <c r="H2416" s="29"/>
      <c r="J2416" s="29"/>
      <c r="K2416" s="29"/>
      <c r="L2416" s="19"/>
      <c r="M2416" s="19"/>
      <c r="N2416" s="30"/>
      <c r="O2416" s="30"/>
      <c r="P2416" s="32"/>
      <c r="Q2416" s="32"/>
      <c r="R2416" s="32"/>
      <c r="S2416" s="32"/>
      <c r="T2416" s="32"/>
      <c r="U2416" s="30"/>
    </row>
    <row r="2417" spans="1:21">
      <c r="A2417" s="29"/>
      <c r="B2417" s="29"/>
      <c r="C2417" s="29"/>
      <c r="D2417" s="29"/>
      <c r="E2417" s="29"/>
      <c r="F2417" s="29"/>
      <c r="G2417" s="29"/>
      <c r="H2417" s="29"/>
      <c r="J2417" s="29"/>
      <c r="K2417" s="29"/>
      <c r="L2417" s="19"/>
      <c r="M2417" s="19"/>
      <c r="N2417" s="30"/>
      <c r="O2417" s="30"/>
      <c r="P2417" s="32"/>
      <c r="Q2417" s="32"/>
      <c r="R2417" s="32"/>
      <c r="S2417" s="32"/>
      <c r="T2417" s="32"/>
      <c r="U2417" s="30"/>
    </row>
    <row r="2418" spans="1:21">
      <c r="A2418" s="29"/>
      <c r="B2418" s="29"/>
      <c r="C2418" s="29"/>
      <c r="D2418" s="29"/>
      <c r="E2418" s="29"/>
      <c r="F2418" s="29"/>
      <c r="G2418" s="29"/>
      <c r="H2418" s="29"/>
      <c r="J2418" s="29"/>
      <c r="K2418" s="29"/>
      <c r="L2418" s="19"/>
      <c r="M2418" s="19"/>
      <c r="N2418" s="30"/>
      <c r="O2418" s="30"/>
      <c r="P2418" s="32"/>
      <c r="Q2418" s="32"/>
      <c r="R2418" s="32"/>
      <c r="S2418" s="32"/>
      <c r="T2418" s="32"/>
      <c r="U2418" s="30"/>
    </row>
    <row r="2419" spans="1:21">
      <c r="A2419" s="29"/>
      <c r="B2419" s="29"/>
      <c r="C2419" s="29"/>
      <c r="D2419" s="29"/>
      <c r="E2419" s="29"/>
      <c r="F2419" s="29"/>
      <c r="G2419" s="29"/>
      <c r="H2419" s="29"/>
      <c r="J2419" s="29"/>
      <c r="K2419" s="29"/>
      <c r="L2419" s="19"/>
      <c r="M2419" s="19"/>
      <c r="N2419" s="30"/>
      <c r="O2419" s="30"/>
      <c r="P2419" s="32"/>
      <c r="Q2419" s="32"/>
      <c r="R2419" s="32"/>
      <c r="S2419" s="32"/>
      <c r="T2419" s="32"/>
      <c r="U2419" s="30"/>
    </row>
    <row r="2420" spans="1:21">
      <c r="A2420" s="29"/>
      <c r="B2420" s="29"/>
      <c r="C2420" s="29"/>
      <c r="D2420" s="29"/>
      <c r="E2420" s="29"/>
      <c r="F2420" s="29"/>
      <c r="G2420" s="29"/>
      <c r="H2420" s="29"/>
      <c r="J2420" s="29"/>
      <c r="K2420" s="29"/>
      <c r="L2420" s="19"/>
      <c r="M2420" s="19"/>
      <c r="N2420" s="30"/>
      <c r="O2420" s="30"/>
      <c r="P2420" s="32"/>
      <c r="Q2420" s="32"/>
      <c r="R2420" s="32"/>
      <c r="S2420" s="32"/>
      <c r="T2420" s="32"/>
      <c r="U2420" s="30"/>
    </row>
    <row r="2421" spans="1:21">
      <c r="A2421" s="29"/>
      <c r="B2421" s="29"/>
      <c r="C2421" s="29"/>
      <c r="D2421" s="29"/>
      <c r="E2421" s="29"/>
      <c r="F2421" s="29"/>
      <c r="G2421" s="29"/>
      <c r="H2421" s="29"/>
      <c r="J2421" s="29"/>
      <c r="K2421" s="29"/>
      <c r="L2421" s="19"/>
      <c r="M2421" s="19"/>
      <c r="N2421" s="30"/>
      <c r="O2421" s="30"/>
      <c r="P2421" s="32"/>
      <c r="Q2421" s="32"/>
      <c r="R2421" s="32"/>
      <c r="S2421" s="32"/>
      <c r="T2421" s="32"/>
      <c r="U2421" s="30"/>
    </row>
    <row r="2422" spans="1:21">
      <c r="A2422" s="29"/>
      <c r="B2422" s="29"/>
      <c r="C2422" s="29"/>
      <c r="D2422" s="29"/>
      <c r="E2422" s="29"/>
      <c r="F2422" s="29"/>
      <c r="G2422" s="29"/>
      <c r="H2422" s="29"/>
      <c r="J2422" s="29"/>
      <c r="K2422" s="29"/>
      <c r="L2422" s="19"/>
      <c r="M2422" s="19"/>
      <c r="N2422" s="30"/>
      <c r="O2422" s="30"/>
      <c r="P2422" s="32"/>
      <c r="Q2422" s="32"/>
      <c r="R2422" s="32"/>
      <c r="S2422" s="32"/>
      <c r="T2422" s="32"/>
      <c r="U2422" s="30"/>
    </row>
    <row r="2423" spans="1:21">
      <c r="A2423" s="29"/>
      <c r="B2423" s="29"/>
      <c r="C2423" s="29"/>
      <c r="D2423" s="29"/>
      <c r="E2423" s="29"/>
      <c r="F2423" s="29"/>
      <c r="G2423" s="29"/>
      <c r="H2423" s="29"/>
      <c r="J2423" s="29"/>
      <c r="K2423" s="29"/>
      <c r="L2423" s="19"/>
      <c r="M2423" s="19"/>
      <c r="N2423" s="30"/>
      <c r="O2423" s="30"/>
      <c r="P2423" s="32"/>
      <c r="Q2423" s="32"/>
      <c r="R2423" s="32"/>
      <c r="S2423" s="32"/>
      <c r="T2423" s="32"/>
      <c r="U2423" s="30"/>
    </row>
    <row r="2424" spans="1:21">
      <c r="A2424" s="29"/>
      <c r="B2424" s="29"/>
      <c r="C2424" s="29"/>
      <c r="D2424" s="29"/>
      <c r="E2424" s="29"/>
      <c r="F2424" s="29"/>
      <c r="G2424" s="29"/>
      <c r="H2424" s="29"/>
      <c r="J2424" s="29"/>
      <c r="K2424" s="29"/>
      <c r="L2424" s="19"/>
      <c r="M2424" s="19"/>
      <c r="N2424" s="30"/>
      <c r="O2424" s="30"/>
      <c r="P2424" s="32"/>
      <c r="Q2424" s="32"/>
      <c r="R2424" s="32"/>
      <c r="S2424" s="32"/>
      <c r="T2424" s="32"/>
      <c r="U2424" s="30"/>
    </row>
    <row r="2425" spans="1:21">
      <c r="A2425" s="29"/>
      <c r="B2425" s="29"/>
      <c r="C2425" s="29"/>
      <c r="D2425" s="29"/>
      <c r="E2425" s="29"/>
      <c r="F2425" s="29"/>
      <c r="G2425" s="29"/>
      <c r="H2425" s="29"/>
      <c r="J2425" s="29"/>
      <c r="K2425" s="29"/>
      <c r="L2425" s="19"/>
      <c r="M2425" s="19"/>
      <c r="N2425" s="30"/>
      <c r="O2425" s="30"/>
      <c r="P2425" s="32"/>
      <c r="Q2425" s="32"/>
      <c r="R2425" s="32"/>
      <c r="S2425" s="32"/>
      <c r="T2425" s="32"/>
      <c r="U2425" s="30"/>
    </row>
    <row r="2426" spans="1:21">
      <c r="A2426" s="29"/>
      <c r="B2426" s="29"/>
      <c r="C2426" s="29"/>
      <c r="D2426" s="29"/>
      <c r="E2426" s="29"/>
      <c r="F2426" s="29"/>
      <c r="G2426" s="29"/>
      <c r="H2426" s="29"/>
      <c r="J2426" s="29"/>
      <c r="K2426" s="29"/>
      <c r="L2426" s="19"/>
      <c r="M2426" s="19"/>
      <c r="N2426" s="30"/>
      <c r="O2426" s="30"/>
      <c r="P2426" s="32"/>
      <c r="Q2426" s="32"/>
      <c r="R2426" s="32"/>
      <c r="S2426" s="32"/>
      <c r="T2426" s="32"/>
      <c r="U2426" s="30"/>
    </row>
    <row r="2427" spans="1:21">
      <c r="A2427" s="29"/>
      <c r="B2427" s="29"/>
      <c r="C2427" s="29"/>
      <c r="D2427" s="29"/>
      <c r="E2427" s="29"/>
      <c r="F2427" s="29"/>
      <c r="G2427" s="29"/>
      <c r="H2427" s="29"/>
      <c r="J2427" s="29"/>
      <c r="K2427" s="29"/>
      <c r="L2427" s="19"/>
      <c r="M2427" s="19"/>
      <c r="N2427" s="30"/>
      <c r="O2427" s="30"/>
      <c r="P2427" s="32"/>
      <c r="Q2427" s="32"/>
      <c r="R2427" s="32"/>
      <c r="S2427" s="32"/>
      <c r="T2427" s="32"/>
      <c r="U2427" s="30"/>
    </row>
    <row r="2428" spans="1:21">
      <c r="A2428" s="29"/>
      <c r="B2428" s="29"/>
      <c r="C2428" s="29"/>
      <c r="D2428" s="29"/>
      <c r="E2428" s="29"/>
      <c r="F2428" s="29"/>
      <c r="G2428" s="29"/>
      <c r="H2428" s="29"/>
      <c r="J2428" s="29"/>
      <c r="K2428" s="29"/>
      <c r="L2428" s="19"/>
      <c r="M2428" s="19"/>
      <c r="N2428" s="30"/>
      <c r="O2428" s="30"/>
      <c r="P2428" s="32"/>
      <c r="Q2428" s="32"/>
      <c r="R2428" s="32"/>
      <c r="S2428" s="32"/>
      <c r="T2428" s="32"/>
      <c r="U2428" s="30"/>
    </row>
    <row r="2429" spans="1:21">
      <c r="A2429" s="29"/>
      <c r="B2429" s="29"/>
      <c r="C2429" s="29"/>
      <c r="D2429" s="29"/>
      <c r="E2429" s="29"/>
      <c r="F2429" s="29"/>
      <c r="G2429" s="29"/>
      <c r="H2429" s="29"/>
      <c r="J2429" s="29"/>
      <c r="K2429" s="29"/>
      <c r="L2429" s="19"/>
      <c r="M2429" s="19"/>
      <c r="N2429" s="30"/>
      <c r="O2429" s="30"/>
      <c r="P2429" s="32"/>
      <c r="Q2429" s="32"/>
      <c r="R2429" s="32"/>
      <c r="S2429" s="32"/>
      <c r="T2429" s="32"/>
      <c r="U2429" s="30"/>
    </row>
    <row r="2430" spans="1:21">
      <c r="A2430" s="29"/>
      <c r="B2430" s="29"/>
      <c r="C2430" s="29"/>
      <c r="D2430" s="29"/>
      <c r="E2430" s="29"/>
      <c r="F2430" s="29"/>
      <c r="G2430" s="29"/>
      <c r="H2430" s="29"/>
      <c r="J2430" s="29"/>
      <c r="K2430" s="29"/>
      <c r="L2430" s="19"/>
      <c r="M2430" s="19"/>
      <c r="N2430" s="30"/>
      <c r="O2430" s="30"/>
      <c r="P2430" s="32"/>
      <c r="Q2430" s="32"/>
      <c r="R2430" s="32"/>
      <c r="S2430" s="32"/>
      <c r="T2430" s="32"/>
      <c r="U2430" s="30"/>
    </row>
    <row r="2431" spans="1:21">
      <c r="A2431" s="29"/>
      <c r="B2431" s="29"/>
      <c r="C2431" s="29"/>
      <c r="D2431" s="29"/>
      <c r="E2431" s="29"/>
      <c r="F2431" s="29"/>
      <c r="G2431" s="29"/>
      <c r="H2431" s="29"/>
      <c r="J2431" s="29"/>
      <c r="K2431" s="29"/>
      <c r="L2431" s="19"/>
      <c r="M2431" s="19"/>
      <c r="N2431" s="30"/>
      <c r="O2431" s="30"/>
      <c r="P2431" s="32"/>
      <c r="Q2431" s="32"/>
      <c r="R2431" s="32"/>
      <c r="S2431" s="32"/>
      <c r="T2431" s="32"/>
      <c r="U2431" s="30"/>
    </row>
    <row r="2432" spans="1:21">
      <c r="A2432" s="29"/>
      <c r="B2432" s="29"/>
      <c r="C2432" s="29"/>
      <c r="D2432" s="29"/>
      <c r="E2432" s="29"/>
      <c r="F2432" s="29"/>
      <c r="G2432" s="29"/>
      <c r="H2432" s="29"/>
      <c r="J2432" s="29"/>
      <c r="K2432" s="29"/>
      <c r="L2432" s="19"/>
      <c r="M2432" s="19"/>
      <c r="N2432" s="30"/>
      <c r="O2432" s="30"/>
      <c r="P2432" s="32"/>
      <c r="Q2432" s="32"/>
      <c r="R2432" s="32"/>
      <c r="S2432" s="32"/>
      <c r="T2432" s="32"/>
      <c r="U2432" s="30"/>
    </row>
    <row r="2433" spans="1:21">
      <c r="A2433" s="29"/>
      <c r="B2433" s="29"/>
      <c r="C2433" s="29"/>
      <c r="D2433" s="29"/>
      <c r="E2433" s="29"/>
      <c r="F2433" s="29"/>
      <c r="G2433" s="29"/>
      <c r="H2433" s="29"/>
      <c r="J2433" s="29"/>
      <c r="K2433" s="29"/>
      <c r="L2433" s="19"/>
      <c r="M2433" s="19"/>
      <c r="N2433" s="30"/>
      <c r="O2433" s="30"/>
      <c r="P2433" s="32"/>
      <c r="Q2433" s="32"/>
      <c r="R2433" s="32"/>
      <c r="S2433" s="32"/>
      <c r="T2433" s="32"/>
      <c r="U2433" s="30"/>
    </row>
    <row r="2434" spans="1:21">
      <c r="A2434" s="29"/>
      <c r="B2434" s="29"/>
      <c r="C2434" s="29"/>
      <c r="D2434" s="29"/>
      <c r="E2434" s="29"/>
      <c r="F2434" s="29"/>
      <c r="G2434" s="29"/>
      <c r="H2434" s="29"/>
      <c r="J2434" s="29"/>
      <c r="K2434" s="29"/>
      <c r="L2434" s="19"/>
      <c r="M2434" s="19"/>
      <c r="N2434" s="30"/>
      <c r="O2434" s="30"/>
      <c r="P2434" s="32"/>
      <c r="Q2434" s="32"/>
      <c r="R2434" s="32"/>
      <c r="S2434" s="32"/>
      <c r="T2434" s="32"/>
      <c r="U2434" s="30"/>
    </row>
    <row r="2435" spans="1:21">
      <c r="A2435" s="29"/>
      <c r="B2435" s="29"/>
      <c r="C2435" s="29"/>
      <c r="D2435" s="29"/>
      <c r="E2435" s="29"/>
      <c r="F2435" s="29"/>
      <c r="G2435" s="29"/>
      <c r="H2435" s="29"/>
      <c r="J2435" s="29"/>
      <c r="K2435" s="29"/>
      <c r="L2435" s="19"/>
      <c r="M2435" s="19"/>
      <c r="N2435" s="30"/>
      <c r="O2435" s="30"/>
      <c r="P2435" s="32"/>
      <c r="Q2435" s="32"/>
      <c r="R2435" s="32"/>
      <c r="S2435" s="32"/>
      <c r="T2435" s="32"/>
      <c r="U2435" s="30"/>
    </row>
    <row r="2436" spans="1:21">
      <c r="A2436" s="29"/>
      <c r="B2436" s="29"/>
      <c r="C2436" s="29"/>
      <c r="D2436" s="29"/>
      <c r="E2436" s="29"/>
      <c r="F2436" s="29"/>
      <c r="G2436" s="29"/>
      <c r="H2436" s="29"/>
      <c r="J2436" s="29"/>
      <c r="K2436" s="29"/>
      <c r="L2436" s="19"/>
      <c r="M2436" s="19"/>
      <c r="N2436" s="30"/>
      <c r="O2436" s="30"/>
      <c r="P2436" s="32"/>
      <c r="Q2436" s="32"/>
      <c r="R2436" s="32"/>
      <c r="S2436" s="32"/>
      <c r="T2436" s="32"/>
      <c r="U2436" s="30"/>
    </row>
    <row r="2437" spans="1:21">
      <c r="A2437" s="29"/>
      <c r="B2437" s="29"/>
      <c r="C2437" s="29"/>
      <c r="D2437" s="29"/>
      <c r="E2437" s="29"/>
      <c r="F2437" s="29"/>
      <c r="G2437" s="29"/>
      <c r="H2437" s="29"/>
      <c r="J2437" s="29"/>
      <c r="K2437" s="29"/>
      <c r="L2437" s="19"/>
      <c r="M2437" s="19"/>
      <c r="N2437" s="30"/>
      <c r="O2437" s="30"/>
      <c r="P2437" s="32"/>
      <c r="Q2437" s="32"/>
      <c r="R2437" s="32"/>
      <c r="S2437" s="32"/>
      <c r="T2437" s="32"/>
      <c r="U2437" s="30"/>
    </row>
    <row r="2438" spans="1:21">
      <c r="A2438" s="29"/>
      <c r="B2438" s="29"/>
      <c r="C2438" s="29"/>
      <c r="D2438" s="29"/>
      <c r="E2438" s="29"/>
      <c r="F2438" s="29"/>
      <c r="G2438" s="29"/>
      <c r="H2438" s="29"/>
      <c r="J2438" s="29"/>
      <c r="K2438" s="29"/>
      <c r="L2438" s="19"/>
      <c r="M2438" s="19"/>
      <c r="N2438" s="30"/>
      <c r="O2438" s="30"/>
      <c r="P2438" s="32"/>
      <c r="Q2438" s="32"/>
      <c r="R2438" s="32"/>
      <c r="S2438" s="32"/>
      <c r="T2438" s="32"/>
      <c r="U2438" s="30"/>
    </row>
    <row r="2439" spans="1:21">
      <c r="A2439" s="29"/>
      <c r="B2439" s="29"/>
      <c r="C2439" s="29"/>
      <c r="D2439" s="29"/>
      <c r="E2439" s="29"/>
      <c r="F2439" s="29"/>
      <c r="G2439" s="29"/>
      <c r="H2439" s="29"/>
      <c r="J2439" s="29"/>
      <c r="K2439" s="29"/>
      <c r="L2439" s="19"/>
      <c r="M2439" s="19"/>
      <c r="N2439" s="30"/>
      <c r="O2439" s="30"/>
      <c r="P2439" s="32"/>
      <c r="Q2439" s="32"/>
      <c r="R2439" s="32"/>
      <c r="S2439" s="32"/>
      <c r="T2439" s="32"/>
      <c r="U2439" s="30"/>
    </row>
    <row r="2440" spans="1:21">
      <c r="A2440" s="29"/>
      <c r="B2440" s="29"/>
      <c r="C2440" s="29"/>
      <c r="D2440" s="29"/>
      <c r="E2440" s="29"/>
      <c r="F2440" s="29"/>
      <c r="G2440" s="29"/>
      <c r="H2440" s="29"/>
      <c r="J2440" s="29"/>
      <c r="K2440" s="29"/>
      <c r="L2440" s="19"/>
      <c r="M2440" s="19"/>
      <c r="N2440" s="30"/>
      <c r="O2440" s="30"/>
      <c r="P2440" s="32"/>
      <c r="Q2440" s="32"/>
      <c r="R2440" s="32"/>
      <c r="S2440" s="32"/>
      <c r="T2440" s="32"/>
      <c r="U2440" s="30"/>
    </row>
    <row r="2441" spans="1:21">
      <c r="A2441" s="29"/>
      <c r="B2441" s="29"/>
      <c r="C2441" s="29"/>
      <c r="D2441" s="29"/>
      <c r="E2441" s="29"/>
      <c r="F2441" s="29"/>
      <c r="G2441" s="29"/>
      <c r="H2441" s="29"/>
      <c r="J2441" s="29"/>
      <c r="K2441" s="29"/>
      <c r="L2441" s="19"/>
      <c r="M2441" s="19"/>
      <c r="N2441" s="30"/>
      <c r="O2441" s="30"/>
      <c r="P2441" s="32"/>
      <c r="Q2441" s="32"/>
      <c r="R2441" s="32"/>
      <c r="S2441" s="32"/>
      <c r="T2441" s="32"/>
      <c r="U2441" s="30"/>
    </row>
    <row r="2442" spans="1:21">
      <c r="A2442" s="29"/>
      <c r="B2442" s="29"/>
      <c r="C2442" s="29"/>
      <c r="D2442" s="29"/>
      <c r="E2442" s="29"/>
      <c r="F2442" s="29"/>
      <c r="G2442" s="29"/>
      <c r="H2442" s="29"/>
      <c r="J2442" s="29"/>
      <c r="K2442" s="29"/>
      <c r="L2442" s="19"/>
      <c r="M2442" s="19"/>
      <c r="N2442" s="30"/>
      <c r="O2442" s="30"/>
      <c r="P2442" s="32"/>
      <c r="Q2442" s="32"/>
      <c r="R2442" s="32"/>
      <c r="S2442" s="32"/>
      <c r="T2442" s="32"/>
      <c r="U2442" s="30"/>
    </row>
    <row r="2443" spans="1:21">
      <c r="A2443" s="29"/>
      <c r="B2443" s="29"/>
      <c r="C2443" s="29"/>
      <c r="D2443" s="29"/>
      <c r="E2443" s="29"/>
      <c r="F2443" s="29"/>
      <c r="G2443" s="29"/>
      <c r="H2443" s="29"/>
      <c r="J2443" s="29"/>
      <c r="K2443" s="29"/>
      <c r="L2443" s="19"/>
      <c r="M2443" s="19"/>
      <c r="N2443" s="30"/>
      <c r="O2443" s="30"/>
      <c r="P2443" s="32"/>
      <c r="Q2443" s="32"/>
      <c r="R2443" s="32"/>
      <c r="S2443" s="32"/>
      <c r="T2443" s="32"/>
      <c r="U2443" s="30"/>
    </row>
    <row r="2444" spans="1:21">
      <c r="A2444" s="29"/>
      <c r="B2444" s="29"/>
      <c r="C2444" s="29"/>
      <c r="D2444" s="29"/>
      <c r="E2444" s="29"/>
      <c r="F2444" s="29"/>
      <c r="G2444" s="29"/>
      <c r="H2444" s="29"/>
      <c r="J2444" s="29"/>
      <c r="K2444" s="29"/>
      <c r="L2444" s="19"/>
      <c r="M2444" s="19"/>
      <c r="N2444" s="30"/>
      <c r="O2444" s="30"/>
      <c r="P2444" s="32"/>
      <c r="Q2444" s="32"/>
      <c r="R2444" s="32"/>
      <c r="S2444" s="32"/>
      <c r="T2444" s="32"/>
      <c r="U2444" s="30"/>
    </row>
    <row r="2445" spans="1:21">
      <c r="A2445" s="29"/>
      <c r="B2445" s="29"/>
      <c r="C2445" s="29"/>
      <c r="D2445" s="29"/>
      <c r="E2445" s="29"/>
      <c r="F2445" s="29"/>
      <c r="G2445" s="29"/>
      <c r="H2445" s="29"/>
      <c r="J2445" s="29"/>
      <c r="K2445" s="29"/>
      <c r="L2445" s="19"/>
      <c r="M2445" s="19"/>
      <c r="N2445" s="30"/>
      <c r="O2445" s="30"/>
      <c r="P2445" s="32"/>
      <c r="Q2445" s="32"/>
      <c r="R2445" s="32"/>
      <c r="S2445" s="32"/>
      <c r="T2445" s="32"/>
      <c r="U2445" s="30"/>
    </row>
    <row r="2446" spans="1:21">
      <c r="A2446" s="29"/>
      <c r="B2446" s="29"/>
      <c r="C2446" s="29"/>
      <c r="D2446" s="29"/>
      <c r="E2446" s="29"/>
      <c r="F2446" s="29"/>
      <c r="G2446" s="29"/>
      <c r="H2446" s="29"/>
      <c r="J2446" s="29"/>
      <c r="K2446" s="29"/>
      <c r="L2446" s="19"/>
      <c r="M2446" s="19"/>
      <c r="N2446" s="30"/>
      <c r="O2446" s="30"/>
      <c r="P2446" s="32"/>
      <c r="Q2446" s="32"/>
      <c r="R2446" s="32"/>
      <c r="S2446" s="32"/>
      <c r="T2446" s="32"/>
      <c r="U2446" s="30"/>
    </row>
    <row r="2447" spans="1:21">
      <c r="A2447" s="29"/>
      <c r="B2447" s="29"/>
      <c r="C2447" s="29"/>
      <c r="D2447" s="29"/>
      <c r="E2447" s="29"/>
      <c r="F2447" s="29"/>
      <c r="G2447" s="29"/>
      <c r="H2447" s="29"/>
      <c r="J2447" s="29"/>
      <c r="K2447" s="29"/>
      <c r="L2447" s="19"/>
      <c r="M2447" s="19"/>
      <c r="N2447" s="30"/>
      <c r="O2447" s="30"/>
      <c r="P2447" s="32"/>
      <c r="Q2447" s="32"/>
      <c r="R2447" s="32"/>
      <c r="S2447" s="32"/>
      <c r="T2447" s="32"/>
      <c r="U2447" s="30"/>
    </row>
    <row r="2448" spans="1:21">
      <c r="A2448" s="29"/>
      <c r="B2448" s="29"/>
      <c r="C2448" s="29"/>
      <c r="D2448" s="29"/>
      <c r="E2448" s="29"/>
      <c r="F2448" s="29"/>
      <c r="G2448" s="29"/>
      <c r="H2448" s="29"/>
      <c r="J2448" s="29"/>
      <c r="K2448" s="29"/>
      <c r="L2448" s="19"/>
      <c r="M2448" s="19"/>
      <c r="N2448" s="30"/>
      <c r="O2448" s="30"/>
      <c r="P2448" s="32"/>
      <c r="Q2448" s="32"/>
      <c r="R2448" s="32"/>
      <c r="S2448" s="32"/>
      <c r="T2448" s="32"/>
      <c r="U2448" s="30"/>
    </row>
    <row r="2449" spans="1:21">
      <c r="A2449" s="29"/>
      <c r="B2449" s="29"/>
      <c r="C2449" s="29"/>
      <c r="D2449" s="29"/>
      <c r="E2449" s="29"/>
      <c r="F2449" s="29"/>
      <c r="G2449" s="29"/>
      <c r="H2449" s="29"/>
      <c r="J2449" s="29"/>
      <c r="K2449" s="29"/>
      <c r="L2449" s="19"/>
      <c r="M2449" s="19"/>
      <c r="N2449" s="30"/>
      <c r="O2449" s="30"/>
      <c r="P2449" s="32"/>
      <c r="Q2449" s="32"/>
      <c r="R2449" s="32"/>
      <c r="S2449" s="32"/>
      <c r="T2449" s="32"/>
      <c r="U2449" s="30"/>
    </row>
    <row r="2450" spans="1:21">
      <c r="A2450" s="29"/>
      <c r="B2450" s="29"/>
      <c r="C2450" s="29"/>
      <c r="D2450" s="29"/>
      <c r="E2450" s="29"/>
      <c r="F2450" s="29"/>
      <c r="G2450" s="29"/>
      <c r="H2450" s="29"/>
      <c r="J2450" s="29"/>
      <c r="K2450" s="29"/>
      <c r="L2450" s="19"/>
      <c r="M2450" s="19"/>
      <c r="N2450" s="30"/>
      <c r="O2450" s="30"/>
      <c r="P2450" s="32"/>
      <c r="Q2450" s="32"/>
      <c r="R2450" s="32"/>
      <c r="S2450" s="32"/>
      <c r="T2450" s="32"/>
      <c r="U2450" s="30"/>
    </row>
    <row r="2451" spans="1:21">
      <c r="A2451" s="29"/>
      <c r="B2451" s="29"/>
      <c r="C2451" s="29"/>
      <c r="D2451" s="29"/>
      <c r="E2451" s="29"/>
      <c r="F2451" s="29"/>
      <c r="G2451" s="29"/>
      <c r="H2451" s="29"/>
      <c r="J2451" s="29"/>
      <c r="K2451" s="29"/>
      <c r="L2451" s="19"/>
      <c r="M2451" s="19"/>
      <c r="N2451" s="30"/>
      <c r="O2451" s="30"/>
      <c r="P2451" s="32"/>
      <c r="Q2451" s="32"/>
      <c r="R2451" s="32"/>
      <c r="S2451" s="32"/>
      <c r="T2451" s="32"/>
      <c r="U2451" s="30"/>
    </row>
    <row r="2452" spans="1:21">
      <c r="A2452" s="29"/>
      <c r="B2452" s="29"/>
      <c r="C2452" s="29"/>
      <c r="D2452" s="29"/>
      <c r="E2452" s="29"/>
      <c r="F2452" s="29"/>
      <c r="G2452" s="29"/>
      <c r="H2452" s="29"/>
      <c r="J2452" s="29"/>
      <c r="K2452" s="29"/>
      <c r="L2452" s="19"/>
      <c r="M2452" s="19"/>
      <c r="N2452" s="30"/>
      <c r="O2452" s="30"/>
      <c r="P2452" s="32"/>
      <c r="Q2452" s="32"/>
      <c r="R2452" s="32"/>
      <c r="S2452" s="32"/>
      <c r="T2452" s="32"/>
      <c r="U2452" s="30"/>
    </row>
    <row r="2453" spans="1:21">
      <c r="A2453" s="29"/>
      <c r="B2453" s="29"/>
      <c r="C2453" s="29"/>
      <c r="D2453" s="29"/>
      <c r="E2453" s="29"/>
      <c r="F2453" s="29"/>
      <c r="G2453" s="29"/>
      <c r="H2453" s="29"/>
      <c r="J2453" s="29"/>
      <c r="K2453" s="29"/>
      <c r="L2453" s="19"/>
      <c r="M2453" s="19"/>
      <c r="N2453" s="30"/>
      <c r="O2453" s="30"/>
      <c r="P2453" s="32"/>
      <c r="Q2453" s="32"/>
      <c r="R2453" s="32"/>
      <c r="S2453" s="32"/>
      <c r="T2453" s="32"/>
      <c r="U2453" s="30"/>
    </row>
    <row r="2454" spans="1:21">
      <c r="A2454" s="29"/>
      <c r="B2454" s="29"/>
      <c r="C2454" s="29"/>
      <c r="D2454" s="29"/>
      <c r="E2454" s="29"/>
      <c r="F2454" s="29"/>
      <c r="G2454" s="29"/>
      <c r="H2454" s="29"/>
      <c r="J2454" s="29"/>
      <c r="K2454" s="29"/>
      <c r="L2454" s="19"/>
      <c r="M2454" s="19"/>
      <c r="N2454" s="30"/>
      <c r="O2454" s="30"/>
      <c r="P2454" s="32"/>
      <c r="Q2454" s="32"/>
      <c r="R2454" s="32"/>
      <c r="S2454" s="32"/>
      <c r="T2454" s="32"/>
      <c r="U2454" s="30"/>
    </row>
    <row r="2455" spans="1:21">
      <c r="A2455" s="29"/>
      <c r="B2455" s="29"/>
      <c r="C2455" s="29"/>
      <c r="D2455" s="29"/>
      <c r="E2455" s="29"/>
      <c r="F2455" s="29"/>
      <c r="G2455" s="29"/>
      <c r="H2455" s="29"/>
      <c r="J2455" s="29"/>
      <c r="K2455" s="29"/>
      <c r="L2455" s="19"/>
      <c r="M2455" s="19"/>
      <c r="N2455" s="30"/>
      <c r="O2455" s="30"/>
      <c r="P2455" s="32"/>
      <c r="Q2455" s="32"/>
      <c r="R2455" s="32"/>
      <c r="S2455" s="32"/>
      <c r="T2455" s="32"/>
      <c r="U2455" s="30"/>
    </row>
    <row r="2456" spans="1:21">
      <c r="A2456" s="29"/>
      <c r="B2456" s="29"/>
      <c r="C2456" s="29"/>
      <c r="D2456" s="29"/>
      <c r="E2456" s="29"/>
      <c r="F2456" s="29"/>
      <c r="G2456" s="29"/>
      <c r="H2456" s="29"/>
      <c r="J2456" s="29"/>
      <c r="K2456" s="29"/>
      <c r="L2456" s="19"/>
      <c r="M2456" s="19"/>
      <c r="N2456" s="30"/>
      <c r="O2456" s="30"/>
      <c r="P2456" s="32"/>
      <c r="Q2456" s="32"/>
      <c r="R2456" s="32"/>
      <c r="S2456" s="32"/>
      <c r="T2456" s="32"/>
      <c r="U2456" s="30"/>
    </row>
    <row r="2457" spans="1:21">
      <c r="A2457" s="29"/>
      <c r="B2457" s="29"/>
      <c r="C2457" s="29"/>
      <c r="D2457" s="29"/>
      <c r="E2457" s="29"/>
      <c r="F2457" s="29"/>
      <c r="G2457" s="29"/>
      <c r="H2457" s="29"/>
      <c r="J2457" s="29"/>
      <c r="K2457" s="29"/>
      <c r="L2457" s="19"/>
      <c r="M2457" s="19"/>
      <c r="N2457" s="30"/>
      <c r="O2457" s="30"/>
      <c r="P2457" s="32"/>
      <c r="Q2457" s="32"/>
      <c r="R2457" s="32"/>
      <c r="S2457" s="32"/>
      <c r="T2457" s="32"/>
      <c r="U2457" s="30"/>
    </row>
    <row r="2458" spans="1:21">
      <c r="A2458" s="29"/>
      <c r="B2458" s="29"/>
      <c r="C2458" s="29"/>
      <c r="D2458" s="29"/>
      <c r="E2458" s="29"/>
      <c r="F2458" s="29"/>
      <c r="G2458" s="29"/>
      <c r="H2458" s="29"/>
      <c r="J2458" s="29"/>
      <c r="K2458" s="29"/>
      <c r="L2458" s="19"/>
      <c r="M2458" s="19"/>
      <c r="N2458" s="30"/>
      <c r="O2458" s="30"/>
      <c r="P2458" s="32"/>
      <c r="Q2458" s="32"/>
      <c r="R2458" s="32"/>
      <c r="S2458" s="32"/>
      <c r="T2458" s="32"/>
      <c r="U2458" s="30"/>
    </row>
    <row r="2459" spans="1:21">
      <c r="A2459" s="29"/>
      <c r="B2459" s="29"/>
      <c r="C2459" s="29"/>
      <c r="D2459" s="29"/>
      <c r="E2459" s="29"/>
      <c r="F2459" s="29"/>
      <c r="G2459" s="29"/>
      <c r="H2459" s="29"/>
      <c r="J2459" s="29"/>
      <c r="K2459" s="29"/>
      <c r="L2459" s="19"/>
      <c r="M2459" s="19"/>
      <c r="N2459" s="30"/>
      <c r="O2459" s="30"/>
      <c r="P2459" s="32"/>
      <c r="Q2459" s="32"/>
      <c r="R2459" s="32"/>
      <c r="S2459" s="32"/>
      <c r="T2459" s="32"/>
      <c r="U2459" s="30"/>
    </row>
    <row r="2460" spans="1:21">
      <c r="A2460" s="29"/>
      <c r="B2460" s="29"/>
      <c r="C2460" s="29"/>
      <c r="D2460" s="29"/>
      <c r="E2460" s="29"/>
      <c r="F2460" s="29"/>
      <c r="G2460" s="29"/>
      <c r="H2460" s="29"/>
      <c r="J2460" s="29"/>
      <c r="K2460" s="29"/>
      <c r="L2460" s="19"/>
      <c r="M2460" s="19"/>
      <c r="N2460" s="30"/>
      <c r="O2460" s="30"/>
      <c r="P2460" s="32"/>
      <c r="Q2460" s="32"/>
      <c r="R2460" s="32"/>
      <c r="S2460" s="32"/>
      <c r="T2460" s="32"/>
      <c r="U2460" s="30"/>
    </row>
    <row r="2461" spans="1:21">
      <c r="A2461" s="29"/>
      <c r="B2461" s="29"/>
      <c r="C2461" s="29"/>
      <c r="D2461" s="29"/>
      <c r="E2461" s="29"/>
      <c r="F2461" s="29"/>
      <c r="G2461" s="29"/>
      <c r="H2461" s="29"/>
      <c r="J2461" s="29"/>
      <c r="K2461" s="29"/>
      <c r="L2461" s="19"/>
      <c r="M2461" s="19"/>
      <c r="N2461" s="30"/>
      <c r="O2461" s="30"/>
      <c r="P2461" s="32"/>
      <c r="Q2461" s="32"/>
      <c r="R2461" s="32"/>
      <c r="S2461" s="32"/>
      <c r="T2461" s="32"/>
      <c r="U2461" s="30"/>
    </row>
    <row r="2462" spans="1:21">
      <c r="A2462" s="29"/>
      <c r="B2462" s="29"/>
      <c r="C2462" s="29"/>
      <c r="D2462" s="29"/>
      <c r="E2462" s="29"/>
      <c r="F2462" s="29"/>
      <c r="G2462" s="29"/>
      <c r="H2462" s="29"/>
      <c r="J2462" s="29"/>
      <c r="K2462" s="29"/>
      <c r="L2462" s="19"/>
      <c r="M2462" s="19"/>
      <c r="N2462" s="30"/>
      <c r="O2462" s="30"/>
      <c r="P2462" s="32"/>
      <c r="Q2462" s="32"/>
      <c r="R2462" s="32"/>
      <c r="S2462" s="32"/>
      <c r="T2462" s="32"/>
      <c r="U2462" s="30"/>
    </row>
    <row r="2463" spans="1:21">
      <c r="A2463" s="29"/>
      <c r="B2463" s="29"/>
      <c r="C2463" s="29"/>
      <c r="D2463" s="29"/>
      <c r="E2463" s="29"/>
      <c r="F2463" s="29"/>
      <c r="G2463" s="29"/>
      <c r="H2463" s="29"/>
      <c r="J2463" s="29"/>
      <c r="K2463" s="29"/>
      <c r="L2463" s="19"/>
      <c r="M2463" s="19"/>
      <c r="N2463" s="30"/>
      <c r="O2463" s="30"/>
      <c r="P2463" s="32"/>
      <c r="Q2463" s="32"/>
      <c r="R2463" s="32"/>
      <c r="S2463" s="32"/>
      <c r="T2463" s="32"/>
      <c r="U2463" s="30"/>
    </row>
    <row r="2464" spans="1:21">
      <c r="A2464" s="29"/>
      <c r="B2464" s="29"/>
      <c r="C2464" s="29"/>
      <c r="D2464" s="29"/>
      <c r="E2464" s="29"/>
      <c r="F2464" s="29"/>
      <c r="G2464" s="29"/>
      <c r="H2464" s="29"/>
      <c r="J2464" s="29"/>
      <c r="K2464" s="29"/>
      <c r="L2464" s="19"/>
      <c r="M2464" s="19"/>
      <c r="N2464" s="30"/>
      <c r="O2464" s="30"/>
      <c r="P2464" s="32"/>
      <c r="Q2464" s="32"/>
      <c r="R2464" s="32"/>
      <c r="S2464" s="32"/>
      <c r="T2464" s="32"/>
      <c r="U2464" s="30"/>
    </row>
    <row r="2465" spans="1:21">
      <c r="A2465" s="29"/>
      <c r="B2465" s="29"/>
      <c r="C2465" s="29"/>
      <c r="D2465" s="29"/>
      <c r="E2465" s="29"/>
      <c r="F2465" s="29"/>
      <c r="G2465" s="29"/>
      <c r="H2465" s="29"/>
      <c r="J2465" s="29"/>
      <c r="K2465" s="29"/>
      <c r="L2465" s="19"/>
      <c r="M2465" s="19"/>
      <c r="N2465" s="30"/>
      <c r="O2465" s="30"/>
      <c r="P2465" s="32"/>
      <c r="Q2465" s="32"/>
      <c r="R2465" s="32"/>
      <c r="S2465" s="32"/>
      <c r="T2465" s="32"/>
      <c r="U2465" s="30"/>
    </row>
    <row r="2466" spans="1:21">
      <c r="A2466" s="29"/>
      <c r="B2466" s="29"/>
      <c r="C2466" s="29"/>
      <c r="D2466" s="29"/>
      <c r="E2466" s="29"/>
      <c r="F2466" s="29"/>
      <c r="G2466" s="29"/>
      <c r="H2466" s="29"/>
      <c r="J2466" s="29"/>
      <c r="K2466" s="29"/>
      <c r="L2466" s="19"/>
      <c r="M2466" s="19"/>
      <c r="N2466" s="30"/>
      <c r="O2466" s="30"/>
      <c r="P2466" s="32"/>
      <c r="Q2466" s="32"/>
      <c r="R2466" s="32"/>
      <c r="S2466" s="32"/>
      <c r="T2466" s="32"/>
      <c r="U2466" s="30"/>
    </row>
    <row r="2467" spans="1:21">
      <c r="A2467" s="29"/>
      <c r="B2467" s="29"/>
      <c r="C2467" s="29"/>
      <c r="D2467" s="29"/>
      <c r="E2467" s="29"/>
      <c r="F2467" s="29"/>
      <c r="G2467" s="29"/>
      <c r="H2467" s="29"/>
      <c r="J2467" s="29"/>
      <c r="K2467" s="29"/>
      <c r="L2467" s="19"/>
      <c r="M2467" s="19"/>
      <c r="N2467" s="30"/>
      <c r="O2467" s="30"/>
      <c r="P2467" s="32"/>
      <c r="Q2467" s="32"/>
      <c r="R2467" s="32"/>
      <c r="S2467" s="32"/>
      <c r="T2467" s="32"/>
      <c r="U2467" s="30"/>
    </row>
    <row r="2468" spans="1:21">
      <c r="A2468" s="29"/>
      <c r="B2468" s="29"/>
      <c r="C2468" s="29"/>
      <c r="D2468" s="29"/>
      <c r="E2468" s="29"/>
      <c r="F2468" s="29"/>
      <c r="G2468" s="29"/>
      <c r="H2468" s="29"/>
      <c r="J2468" s="29"/>
      <c r="K2468" s="29"/>
      <c r="L2468" s="19"/>
      <c r="M2468" s="19"/>
      <c r="N2468" s="30"/>
      <c r="O2468" s="30"/>
      <c r="P2468" s="32"/>
      <c r="Q2468" s="32"/>
      <c r="R2468" s="32"/>
      <c r="S2468" s="32"/>
      <c r="T2468" s="32"/>
      <c r="U2468" s="30"/>
    </row>
    <row r="2469" spans="1:21">
      <c r="A2469" s="29"/>
      <c r="B2469" s="29"/>
      <c r="C2469" s="29"/>
      <c r="D2469" s="29"/>
      <c r="E2469" s="29"/>
      <c r="F2469" s="29"/>
      <c r="G2469" s="29"/>
      <c r="H2469" s="29"/>
      <c r="J2469" s="29"/>
      <c r="K2469" s="29"/>
      <c r="L2469" s="19"/>
      <c r="M2469" s="19"/>
      <c r="N2469" s="30"/>
      <c r="O2469" s="30"/>
      <c r="P2469" s="32"/>
      <c r="Q2469" s="32"/>
      <c r="R2469" s="32"/>
      <c r="S2469" s="32"/>
      <c r="T2469" s="32"/>
      <c r="U2469" s="30"/>
    </row>
    <row r="2470" spans="1:21">
      <c r="A2470" s="29"/>
      <c r="B2470" s="29"/>
      <c r="C2470" s="29"/>
      <c r="D2470" s="29"/>
      <c r="E2470" s="29"/>
      <c r="F2470" s="29"/>
      <c r="G2470" s="29"/>
      <c r="H2470" s="29"/>
      <c r="J2470" s="29"/>
      <c r="K2470" s="29"/>
      <c r="L2470" s="19"/>
      <c r="M2470" s="19"/>
      <c r="N2470" s="30"/>
      <c r="O2470" s="30"/>
      <c r="P2470" s="32"/>
      <c r="Q2470" s="32"/>
      <c r="R2470" s="32"/>
      <c r="S2470" s="32"/>
      <c r="T2470" s="32"/>
      <c r="U2470" s="30"/>
    </row>
    <row r="2471" spans="1:21">
      <c r="A2471" s="29"/>
      <c r="B2471" s="29"/>
      <c r="C2471" s="29"/>
      <c r="D2471" s="29"/>
      <c r="E2471" s="29"/>
      <c r="F2471" s="29"/>
      <c r="G2471" s="29"/>
      <c r="H2471" s="29"/>
      <c r="J2471" s="29"/>
      <c r="K2471" s="29"/>
      <c r="L2471" s="19"/>
      <c r="M2471" s="19"/>
      <c r="N2471" s="30"/>
      <c r="O2471" s="30"/>
      <c r="P2471" s="32"/>
      <c r="Q2471" s="32"/>
      <c r="R2471" s="32"/>
      <c r="S2471" s="32"/>
      <c r="T2471" s="32"/>
      <c r="U2471" s="30"/>
    </row>
    <row r="2472" spans="1:21">
      <c r="A2472" s="29"/>
      <c r="B2472" s="29"/>
      <c r="C2472" s="29"/>
      <c r="D2472" s="29"/>
      <c r="E2472" s="29"/>
      <c r="F2472" s="29"/>
      <c r="G2472" s="29"/>
      <c r="H2472" s="29"/>
      <c r="J2472" s="29"/>
      <c r="K2472" s="29"/>
      <c r="L2472" s="19"/>
      <c r="M2472" s="19"/>
      <c r="N2472" s="30"/>
      <c r="O2472" s="30"/>
      <c r="P2472" s="32"/>
      <c r="Q2472" s="32"/>
      <c r="R2472" s="32"/>
      <c r="S2472" s="32"/>
      <c r="T2472" s="32"/>
      <c r="U2472" s="30"/>
    </row>
    <row r="2473" spans="1:21">
      <c r="A2473" s="29"/>
      <c r="B2473" s="29"/>
      <c r="C2473" s="29"/>
      <c r="D2473" s="29"/>
      <c r="E2473" s="29"/>
      <c r="F2473" s="29"/>
      <c r="G2473" s="29"/>
      <c r="H2473" s="29"/>
      <c r="J2473" s="29"/>
      <c r="K2473" s="29"/>
      <c r="L2473" s="19"/>
      <c r="M2473" s="19"/>
      <c r="N2473" s="30"/>
      <c r="O2473" s="30"/>
      <c r="P2473" s="32"/>
      <c r="Q2473" s="32"/>
      <c r="R2473" s="32"/>
      <c r="S2473" s="32"/>
      <c r="T2473" s="32"/>
      <c r="U2473" s="30"/>
    </row>
    <row r="2474" spans="1:21">
      <c r="A2474" s="29"/>
      <c r="B2474" s="29"/>
      <c r="C2474" s="29"/>
      <c r="D2474" s="29"/>
      <c r="E2474" s="29"/>
      <c r="F2474" s="29"/>
      <c r="G2474" s="29"/>
      <c r="H2474" s="29"/>
      <c r="J2474" s="29"/>
      <c r="K2474" s="29"/>
      <c r="L2474" s="19"/>
      <c r="M2474" s="19"/>
      <c r="N2474" s="30"/>
      <c r="O2474" s="30"/>
      <c r="P2474" s="32"/>
      <c r="Q2474" s="32"/>
      <c r="R2474" s="32"/>
      <c r="S2474" s="32"/>
      <c r="T2474" s="32"/>
      <c r="U2474" s="30"/>
    </row>
    <row r="2475" spans="1:21">
      <c r="A2475" s="29"/>
      <c r="B2475" s="29"/>
      <c r="C2475" s="29"/>
      <c r="D2475" s="29"/>
      <c r="E2475" s="29"/>
      <c r="F2475" s="29"/>
      <c r="G2475" s="29"/>
      <c r="H2475" s="29"/>
      <c r="J2475" s="29"/>
      <c r="K2475" s="29"/>
      <c r="L2475" s="19"/>
      <c r="M2475" s="19"/>
      <c r="N2475" s="30"/>
      <c r="O2475" s="30"/>
      <c r="P2475" s="32"/>
      <c r="Q2475" s="32"/>
      <c r="R2475" s="32"/>
      <c r="S2475" s="32"/>
      <c r="T2475" s="32"/>
      <c r="U2475" s="30"/>
    </row>
    <row r="2476" spans="1:21">
      <c r="A2476" s="29"/>
      <c r="B2476" s="29"/>
      <c r="C2476" s="29"/>
      <c r="D2476" s="29"/>
      <c r="E2476" s="29"/>
      <c r="F2476" s="29"/>
      <c r="G2476" s="29"/>
      <c r="H2476" s="29"/>
      <c r="J2476" s="29"/>
      <c r="K2476" s="29"/>
      <c r="L2476" s="19"/>
      <c r="M2476" s="19"/>
      <c r="N2476" s="30"/>
      <c r="O2476" s="30"/>
      <c r="P2476" s="32"/>
      <c r="Q2476" s="32"/>
      <c r="R2476" s="32"/>
      <c r="S2476" s="32"/>
      <c r="T2476" s="32"/>
      <c r="U2476" s="30"/>
    </row>
    <row r="2477" spans="1:21">
      <c r="A2477" s="29"/>
      <c r="B2477" s="29"/>
      <c r="C2477" s="29"/>
      <c r="D2477" s="29"/>
      <c r="E2477" s="29"/>
      <c r="F2477" s="29"/>
      <c r="G2477" s="29"/>
      <c r="H2477" s="29"/>
      <c r="J2477" s="29"/>
      <c r="K2477" s="29"/>
      <c r="L2477" s="19"/>
      <c r="M2477" s="19"/>
      <c r="N2477" s="30"/>
      <c r="O2477" s="30"/>
      <c r="P2477" s="32"/>
      <c r="Q2477" s="32"/>
      <c r="R2477" s="32"/>
      <c r="S2477" s="32"/>
      <c r="T2477" s="32"/>
      <c r="U2477" s="30"/>
    </row>
    <row r="2478" spans="1:21">
      <c r="A2478" s="29"/>
      <c r="B2478" s="29"/>
      <c r="C2478" s="29"/>
      <c r="D2478" s="29"/>
      <c r="E2478" s="29"/>
      <c r="F2478" s="29"/>
      <c r="G2478" s="29"/>
      <c r="H2478" s="29"/>
      <c r="J2478" s="29"/>
      <c r="K2478" s="29"/>
      <c r="L2478" s="19"/>
      <c r="M2478" s="19"/>
      <c r="N2478" s="30"/>
      <c r="O2478" s="30"/>
      <c r="P2478" s="32"/>
      <c r="Q2478" s="32"/>
      <c r="R2478" s="32"/>
      <c r="S2478" s="32"/>
      <c r="T2478" s="32"/>
      <c r="U2478" s="30"/>
    </row>
    <row r="2479" spans="1:21">
      <c r="A2479" s="29"/>
      <c r="B2479" s="29"/>
      <c r="C2479" s="29"/>
      <c r="D2479" s="29"/>
      <c r="E2479" s="29"/>
      <c r="F2479" s="29"/>
      <c r="G2479" s="29"/>
      <c r="H2479" s="29"/>
      <c r="J2479" s="29"/>
      <c r="K2479" s="29"/>
      <c r="L2479" s="19"/>
      <c r="M2479" s="19"/>
      <c r="N2479" s="30"/>
      <c r="O2479" s="30"/>
      <c r="P2479" s="32"/>
      <c r="Q2479" s="32"/>
      <c r="R2479" s="32"/>
      <c r="S2479" s="32"/>
      <c r="T2479" s="32"/>
      <c r="U2479" s="30"/>
    </row>
    <row r="2480" spans="1:21">
      <c r="A2480" s="29"/>
      <c r="B2480" s="29"/>
      <c r="C2480" s="29"/>
      <c r="D2480" s="29"/>
      <c r="E2480" s="29"/>
      <c r="F2480" s="29"/>
      <c r="G2480" s="29"/>
      <c r="H2480" s="29"/>
      <c r="J2480" s="29"/>
      <c r="K2480" s="29"/>
      <c r="L2480" s="19"/>
      <c r="M2480" s="19"/>
      <c r="N2480" s="30"/>
      <c r="O2480" s="30"/>
      <c r="P2480" s="32"/>
      <c r="Q2480" s="32"/>
      <c r="R2480" s="32"/>
      <c r="S2480" s="32"/>
      <c r="T2480" s="32"/>
      <c r="U2480" s="30"/>
    </row>
    <row r="2481" spans="1:21">
      <c r="A2481" s="29"/>
      <c r="B2481" s="29"/>
      <c r="C2481" s="29"/>
      <c r="D2481" s="29"/>
      <c r="E2481" s="29"/>
      <c r="F2481" s="29"/>
      <c r="G2481" s="29"/>
      <c r="H2481" s="29"/>
      <c r="J2481" s="29"/>
      <c r="K2481" s="29"/>
      <c r="L2481" s="19"/>
      <c r="M2481" s="19"/>
      <c r="N2481" s="30"/>
      <c r="O2481" s="30"/>
      <c r="P2481" s="32"/>
      <c r="Q2481" s="32"/>
      <c r="R2481" s="32"/>
      <c r="S2481" s="32"/>
      <c r="T2481" s="32"/>
      <c r="U2481" s="30"/>
    </row>
    <row r="2482" spans="1:21">
      <c r="A2482" s="29"/>
      <c r="B2482" s="29"/>
      <c r="C2482" s="29"/>
      <c r="D2482" s="29"/>
      <c r="E2482" s="29"/>
      <c r="F2482" s="29"/>
      <c r="G2482" s="29"/>
      <c r="H2482" s="29"/>
      <c r="J2482" s="29"/>
      <c r="K2482" s="29"/>
      <c r="L2482" s="19"/>
      <c r="M2482" s="19"/>
      <c r="N2482" s="30"/>
      <c r="O2482" s="30"/>
      <c r="P2482" s="32"/>
      <c r="Q2482" s="32"/>
      <c r="R2482" s="32"/>
      <c r="S2482" s="32"/>
      <c r="T2482" s="32"/>
      <c r="U2482" s="30"/>
    </row>
    <row r="2483" spans="1:21">
      <c r="A2483" s="29"/>
      <c r="B2483" s="29"/>
      <c r="C2483" s="29"/>
      <c r="D2483" s="29"/>
      <c r="E2483" s="29"/>
      <c r="F2483" s="29"/>
      <c r="G2483" s="29"/>
      <c r="H2483" s="29"/>
      <c r="J2483" s="29"/>
      <c r="K2483" s="29"/>
      <c r="L2483" s="19"/>
      <c r="M2483" s="19"/>
      <c r="N2483" s="30"/>
      <c r="O2483" s="30"/>
      <c r="P2483" s="32"/>
      <c r="Q2483" s="32"/>
      <c r="R2483" s="32"/>
      <c r="S2483" s="32"/>
      <c r="T2483" s="32"/>
      <c r="U2483" s="30"/>
    </row>
    <row r="2484" spans="1:21">
      <c r="A2484" s="29"/>
      <c r="B2484" s="29"/>
      <c r="C2484" s="29"/>
      <c r="D2484" s="29"/>
      <c r="E2484" s="29"/>
      <c r="F2484" s="29"/>
      <c r="G2484" s="29"/>
      <c r="H2484" s="29"/>
      <c r="J2484" s="29"/>
      <c r="K2484" s="29"/>
      <c r="L2484" s="19"/>
      <c r="M2484" s="19"/>
      <c r="N2484" s="30"/>
      <c r="O2484" s="30"/>
      <c r="P2484" s="32"/>
      <c r="Q2484" s="32"/>
      <c r="R2484" s="32"/>
      <c r="S2484" s="32"/>
      <c r="T2484" s="32"/>
      <c r="U2484" s="30"/>
    </row>
    <row r="2485" spans="1:21">
      <c r="A2485" s="29"/>
      <c r="B2485" s="29"/>
      <c r="C2485" s="29"/>
      <c r="D2485" s="29"/>
      <c r="E2485" s="29"/>
      <c r="F2485" s="29"/>
      <c r="G2485" s="29"/>
      <c r="H2485" s="29"/>
      <c r="J2485" s="29"/>
      <c r="K2485" s="29"/>
      <c r="L2485" s="19"/>
      <c r="M2485" s="19"/>
      <c r="N2485" s="30"/>
      <c r="O2485" s="30"/>
      <c r="P2485" s="32"/>
      <c r="Q2485" s="32"/>
      <c r="R2485" s="32"/>
      <c r="S2485" s="32"/>
      <c r="T2485" s="32"/>
      <c r="U2485" s="30"/>
    </row>
    <row r="2486" spans="1:21">
      <c r="A2486" s="29"/>
      <c r="B2486" s="29"/>
      <c r="C2486" s="29"/>
      <c r="D2486" s="29"/>
      <c r="E2486" s="29"/>
      <c r="F2486" s="29"/>
      <c r="G2486" s="29"/>
      <c r="H2486" s="29"/>
      <c r="J2486" s="29"/>
      <c r="K2486" s="29"/>
      <c r="L2486" s="19"/>
      <c r="M2486" s="19"/>
      <c r="N2486" s="30"/>
      <c r="O2486" s="30"/>
      <c r="P2486" s="32"/>
      <c r="Q2486" s="32"/>
      <c r="R2486" s="32"/>
      <c r="S2486" s="32"/>
      <c r="T2486" s="32"/>
      <c r="U2486" s="30"/>
    </row>
    <row r="2487" spans="1:21">
      <c r="A2487" s="29"/>
      <c r="B2487" s="29"/>
      <c r="C2487" s="29"/>
      <c r="D2487" s="29"/>
      <c r="E2487" s="29"/>
      <c r="F2487" s="29"/>
      <c r="G2487" s="29"/>
      <c r="H2487" s="29"/>
      <c r="J2487" s="29"/>
      <c r="K2487" s="29"/>
      <c r="L2487" s="19"/>
      <c r="M2487" s="19"/>
      <c r="N2487" s="30"/>
      <c r="O2487" s="30"/>
      <c r="P2487" s="32"/>
      <c r="Q2487" s="32"/>
      <c r="R2487" s="32"/>
      <c r="S2487" s="32"/>
      <c r="T2487" s="32"/>
      <c r="U2487" s="30"/>
    </row>
    <row r="2488" spans="1:21">
      <c r="A2488" s="29"/>
      <c r="B2488" s="29"/>
      <c r="C2488" s="29"/>
      <c r="D2488" s="29"/>
      <c r="E2488" s="29"/>
      <c r="F2488" s="29"/>
      <c r="G2488" s="29"/>
      <c r="H2488" s="29"/>
      <c r="J2488" s="29"/>
      <c r="K2488" s="29"/>
      <c r="L2488" s="19"/>
      <c r="M2488" s="19"/>
      <c r="N2488" s="30"/>
      <c r="O2488" s="30"/>
      <c r="P2488" s="32"/>
      <c r="Q2488" s="32"/>
      <c r="R2488" s="32"/>
      <c r="S2488" s="32"/>
      <c r="T2488" s="32"/>
      <c r="U2488" s="30"/>
    </row>
    <row r="2489" spans="1:21">
      <c r="A2489" s="29"/>
      <c r="B2489" s="29"/>
      <c r="C2489" s="29"/>
      <c r="D2489" s="29"/>
      <c r="E2489" s="29"/>
      <c r="F2489" s="29"/>
      <c r="G2489" s="29"/>
      <c r="H2489" s="29"/>
      <c r="J2489" s="29"/>
      <c r="K2489" s="29"/>
      <c r="L2489" s="19"/>
      <c r="M2489" s="19"/>
      <c r="N2489" s="30"/>
      <c r="O2489" s="30"/>
      <c r="P2489" s="32"/>
      <c r="Q2489" s="32"/>
      <c r="R2489" s="32"/>
      <c r="S2489" s="32"/>
      <c r="T2489" s="32"/>
      <c r="U2489" s="30"/>
    </row>
    <row r="2490" spans="1:21">
      <c r="A2490" s="29"/>
      <c r="B2490" s="29"/>
      <c r="C2490" s="29"/>
      <c r="D2490" s="29"/>
      <c r="E2490" s="29"/>
      <c r="F2490" s="29"/>
      <c r="G2490" s="29"/>
      <c r="H2490" s="29"/>
      <c r="J2490" s="29"/>
      <c r="K2490" s="29"/>
      <c r="L2490" s="19"/>
      <c r="M2490" s="19"/>
      <c r="N2490" s="30"/>
      <c r="O2490" s="30"/>
      <c r="P2490" s="32"/>
      <c r="Q2490" s="32"/>
      <c r="R2490" s="32"/>
      <c r="S2490" s="32"/>
      <c r="T2490" s="32"/>
      <c r="U2490" s="30"/>
    </row>
    <row r="2491" spans="1:21">
      <c r="A2491" s="29"/>
      <c r="B2491" s="29"/>
      <c r="C2491" s="29"/>
      <c r="D2491" s="29"/>
      <c r="E2491" s="29"/>
      <c r="F2491" s="29"/>
      <c r="G2491" s="29"/>
      <c r="H2491" s="29"/>
      <c r="J2491" s="29"/>
      <c r="K2491" s="29"/>
      <c r="L2491" s="19"/>
      <c r="M2491" s="19"/>
      <c r="N2491" s="30"/>
      <c r="O2491" s="30"/>
      <c r="P2491" s="32"/>
      <c r="Q2491" s="32"/>
      <c r="R2491" s="32"/>
      <c r="S2491" s="32"/>
      <c r="T2491" s="32"/>
      <c r="U2491" s="30"/>
    </row>
    <row r="2492" spans="1:21">
      <c r="A2492" s="29"/>
      <c r="B2492" s="29"/>
      <c r="C2492" s="29"/>
      <c r="D2492" s="29"/>
      <c r="E2492" s="29"/>
      <c r="F2492" s="29"/>
      <c r="G2492" s="29"/>
      <c r="H2492" s="29"/>
      <c r="J2492" s="29"/>
      <c r="K2492" s="29"/>
      <c r="L2492" s="19"/>
      <c r="M2492" s="19"/>
      <c r="N2492" s="30"/>
      <c r="O2492" s="30"/>
      <c r="P2492" s="32"/>
      <c r="Q2492" s="32"/>
      <c r="R2492" s="32"/>
      <c r="S2492" s="32"/>
      <c r="T2492" s="32"/>
      <c r="U2492" s="30"/>
    </row>
    <row r="2493" spans="1:21">
      <c r="A2493" s="29"/>
      <c r="B2493" s="29"/>
      <c r="C2493" s="29"/>
      <c r="D2493" s="29"/>
      <c r="E2493" s="29"/>
      <c r="F2493" s="29"/>
      <c r="G2493" s="29"/>
      <c r="H2493" s="29"/>
      <c r="J2493" s="29"/>
      <c r="K2493" s="29"/>
      <c r="L2493" s="19"/>
      <c r="M2493" s="19"/>
      <c r="N2493" s="30"/>
      <c r="O2493" s="30"/>
      <c r="P2493" s="32"/>
      <c r="Q2493" s="32"/>
      <c r="R2493" s="32"/>
      <c r="S2493" s="32"/>
      <c r="T2493" s="32"/>
      <c r="U2493" s="30"/>
    </row>
    <row r="2494" spans="1:21">
      <c r="A2494" s="29"/>
      <c r="B2494" s="29"/>
      <c r="C2494" s="29"/>
      <c r="D2494" s="29"/>
      <c r="E2494" s="29"/>
      <c r="F2494" s="29"/>
      <c r="G2494" s="29"/>
      <c r="H2494" s="29"/>
      <c r="J2494" s="29"/>
      <c r="K2494" s="29"/>
      <c r="L2494" s="19"/>
      <c r="M2494" s="19"/>
      <c r="N2494" s="30"/>
      <c r="O2494" s="30"/>
      <c r="P2494" s="32"/>
      <c r="Q2494" s="32"/>
      <c r="R2494" s="32"/>
      <c r="S2494" s="32"/>
      <c r="T2494" s="32"/>
      <c r="U2494" s="30"/>
    </row>
    <row r="2495" spans="1:21">
      <c r="A2495" s="29"/>
      <c r="B2495" s="29"/>
      <c r="C2495" s="29"/>
      <c r="D2495" s="29"/>
      <c r="E2495" s="29"/>
      <c r="F2495" s="29"/>
      <c r="G2495" s="29"/>
      <c r="H2495" s="29"/>
      <c r="J2495" s="29"/>
      <c r="K2495" s="29"/>
      <c r="L2495" s="19"/>
      <c r="M2495" s="19"/>
      <c r="N2495" s="30"/>
      <c r="O2495" s="30"/>
      <c r="P2495" s="32"/>
      <c r="Q2495" s="32"/>
      <c r="R2495" s="32"/>
      <c r="S2495" s="32"/>
      <c r="T2495" s="32"/>
      <c r="U2495" s="30"/>
    </row>
    <row r="2496" spans="1:21">
      <c r="A2496" s="29"/>
      <c r="B2496" s="29"/>
      <c r="C2496" s="29"/>
      <c r="D2496" s="29"/>
      <c r="E2496" s="29"/>
      <c r="F2496" s="29"/>
      <c r="G2496" s="29"/>
      <c r="H2496" s="29"/>
      <c r="J2496" s="29"/>
      <c r="K2496" s="29"/>
      <c r="L2496" s="19"/>
      <c r="M2496" s="19"/>
      <c r="N2496" s="30"/>
      <c r="O2496" s="30"/>
      <c r="P2496" s="32"/>
      <c r="Q2496" s="32"/>
      <c r="R2496" s="32"/>
      <c r="S2496" s="32"/>
      <c r="T2496" s="32"/>
      <c r="U2496" s="30"/>
    </row>
    <row r="2497" spans="1:21">
      <c r="A2497" s="29"/>
      <c r="B2497" s="29"/>
      <c r="C2497" s="29"/>
      <c r="D2497" s="29"/>
      <c r="E2497" s="29"/>
      <c r="F2497" s="29"/>
      <c r="G2497" s="29"/>
      <c r="H2497" s="29"/>
      <c r="J2497" s="29"/>
      <c r="K2497" s="29"/>
      <c r="L2497" s="19"/>
      <c r="M2497" s="19"/>
      <c r="N2497" s="30"/>
      <c r="O2497" s="30"/>
      <c r="P2497" s="32"/>
      <c r="Q2497" s="32"/>
      <c r="R2497" s="32"/>
      <c r="S2497" s="32"/>
      <c r="T2497" s="32"/>
      <c r="U2497" s="30"/>
    </row>
    <row r="2498" spans="1:21">
      <c r="A2498" s="29"/>
      <c r="B2498" s="29"/>
      <c r="C2498" s="29"/>
      <c r="D2498" s="29"/>
      <c r="E2498" s="29"/>
      <c r="F2498" s="29"/>
      <c r="G2498" s="29"/>
      <c r="H2498" s="29"/>
      <c r="J2498" s="29"/>
      <c r="K2498" s="29"/>
      <c r="L2498" s="19"/>
      <c r="M2498" s="19"/>
      <c r="N2498" s="30"/>
      <c r="O2498" s="30"/>
      <c r="P2498" s="32"/>
      <c r="Q2498" s="32"/>
      <c r="R2498" s="32"/>
      <c r="S2498" s="32"/>
      <c r="T2498" s="32"/>
      <c r="U2498" s="30"/>
    </row>
    <row r="2499" spans="1:21">
      <c r="A2499" s="29"/>
      <c r="B2499" s="29"/>
      <c r="C2499" s="29"/>
      <c r="D2499" s="29"/>
      <c r="E2499" s="29"/>
      <c r="F2499" s="29"/>
      <c r="G2499" s="29"/>
      <c r="H2499" s="29"/>
      <c r="J2499" s="29"/>
      <c r="K2499" s="29"/>
      <c r="L2499" s="19"/>
      <c r="M2499" s="19"/>
      <c r="N2499" s="30"/>
      <c r="O2499" s="30"/>
      <c r="P2499" s="32"/>
      <c r="Q2499" s="32"/>
      <c r="R2499" s="32"/>
      <c r="S2499" s="32"/>
      <c r="T2499" s="32"/>
      <c r="U2499" s="30"/>
    </row>
    <row r="2500" spans="1:21">
      <c r="A2500" s="29"/>
      <c r="B2500" s="29"/>
      <c r="C2500" s="29"/>
      <c r="D2500" s="29"/>
      <c r="E2500" s="29"/>
      <c r="F2500" s="29"/>
      <c r="G2500" s="29"/>
      <c r="H2500" s="29"/>
      <c r="J2500" s="29"/>
      <c r="K2500" s="29"/>
      <c r="L2500" s="19"/>
      <c r="M2500" s="19"/>
      <c r="N2500" s="30"/>
      <c r="O2500" s="30"/>
      <c r="P2500" s="32"/>
      <c r="Q2500" s="32"/>
      <c r="R2500" s="32"/>
      <c r="S2500" s="32"/>
      <c r="T2500" s="32"/>
      <c r="U2500" s="30"/>
    </row>
    <row r="2501" spans="1:21">
      <c r="A2501" s="29"/>
      <c r="B2501" s="29"/>
      <c r="C2501" s="29"/>
      <c r="D2501" s="29"/>
      <c r="E2501" s="29"/>
      <c r="F2501" s="29"/>
      <c r="G2501" s="29"/>
      <c r="H2501" s="29"/>
      <c r="J2501" s="29"/>
      <c r="K2501" s="29"/>
      <c r="L2501" s="19"/>
      <c r="M2501" s="19"/>
      <c r="N2501" s="30"/>
      <c r="O2501" s="30"/>
      <c r="P2501" s="32"/>
      <c r="Q2501" s="32"/>
      <c r="R2501" s="32"/>
      <c r="S2501" s="32"/>
      <c r="T2501" s="32"/>
      <c r="U2501" s="30"/>
    </row>
    <row r="2502" spans="1:21">
      <c r="A2502" s="29"/>
      <c r="B2502" s="29"/>
      <c r="C2502" s="29"/>
      <c r="D2502" s="29"/>
      <c r="E2502" s="29"/>
      <c r="F2502" s="29"/>
      <c r="G2502" s="29"/>
      <c r="H2502" s="29"/>
      <c r="J2502" s="29"/>
      <c r="K2502" s="29"/>
      <c r="L2502" s="19"/>
      <c r="M2502" s="19"/>
      <c r="N2502" s="30"/>
      <c r="O2502" s="30"/>
      <c r="P2502" s="32"/>
      <c r="Q2502" s="32"/>
      <c r="R2502" s="32"/>
      <c r="S2502" s="32"/>
      <c r="T2502" s="32"/>
      <c r="U2502" s="30"/>
    </row>
    <row r="2503" spans="1:21">
      <c r="A2503" s="29"/>
      <c r="B2503" s="29"/>
      <c r="C2503" s="29"/>
      <c r="D2503" s="29"/>
      <c r="E2503" s="29"/>
      <c r="F2503" s="29"/>
      <c r="G2503" s="29"/>
      <c r="H2503" s="29"/>
      <c r="J2503" s="29"/>
      <c r="K2503" s="29"/>
      <c r="L2503" s="19"/>
      <c r="M2503" s="19"/>
      <c r="N2503" s="30"/>
      <c r="O2503" s="30"/>
      <c r="P2503" s="32"/>
      <c r="Q2503" s="32"/>
      <c r="R2503" s="32"/>
      <c r="S2503" s="32"/>
      <c r="T2503" s="32"/>
      <c r="U2503" s="30"/>
    </row>
    <row r="2504" spans="1:21">
      <c r="A2504" s="29"/>
      <c r="B2504" s="29"/>
      <c r="C2504" s="29"/>
      <c r="D2504" s="29"/>
      <c r="E2504" s="29"/>
      <c r="F2504" s="29"/>
      <c r="G2504" s="29"/>
      <c r="H2504" s="29"/>
      <c r="J2504" s="29"/>
      <c r="K2504" s="29"/>
      <c r="L2504" s="19"/>
      <c r="M2504" s="19"/>
      <c r="N2504" s="30"/>
      <c r="O2504" s="30"/>
      <c r="P2504" s="32"/>
      <c r="Q2504" s="32"/>
      <c r="R2504" s="32"/>
      <c r="S2504" s="32"/>
      <c r="T2504" s="32"/>
      <c r="U2504" s="30"/>
    </row>
    <row r="2505" spans="1:21">
      <c r="A2505" s="29"/>
      <c r="B2505" s="29"/>
      <c r="C2505" s="29"/>
      <c r="D2505" s="29"/>
      <c r="E2505" s="29"/>
      <c r="F2505" s="29"/>
      <c r="G2505" s="29"/>
      <c r="H2505" s="29"/>
      <c r="J2505" s="29"/>
      <c r="K2505" s="29"/>
      <c r="L2505" s="19"/>
      <c r="M2505" s="19"/>
      <c r="N2505" s="30"/>
      <c r="O2505" s="30"/>
      <c r="P2505" s="32"/>
      <c r="Q2505" s="32"/>
      <c r="R2505" s="32"/>
      <c r="S2505" s="32"/>
      <c r="T2505" s="32"/>
      <c r="U2505" s="30"/>
    </row>
    <row r="2506" spans="1:21">
      <c r="A2506" s="29"/>
      <c r="B2506" s="29"/>
      <c r="C2506" s="29"/>
      <c r="D2506" s="29"/>
      <c r="E2506" s="29"/>
      <c r="F2506" s="29"/>
      <c r="G2506" s="29"/>
      <c r="H2506" s="29"/>
      <c r="J2506" s="29"/>
      <c r="K2506" s="29"/>
      <c r="L2506" s="19"/>
      <c r="M2506" s="19"/>
      <c r="N2506" s="30"/>
      <c r="O2506" s="30"/>
      <c r="P2506" s="32"/>
      <c r="Q2506" s="32"/>
      <c r="R2506" s="32"/>
      <c r="S2506" s="32"/>
      <c r="T2506" s="32"/>
      <c r="U2506" s="30"/>
    </row>
    <row r="2507" spans="1:21">
      <c r="A2507" s="29"/>
      <c r="B2507" s="29"/>
      <c r="C2507" s="29"/>
      <c r="D2507" s="29"/>
      <c r="E2507" s="29"/>
      <c r="F2507" s="29"/>
      <c r="G2507" s="29"/>
      <c r="H2507" s="29"/>
      <c r="J2507" s="29"/>
      <c r="K2507" s="29"/>
      <c r="L2507" s="19"/>
      <c r="M2507" s="19"/>
      <c r="N2507" s="30"/>
      <c r="O2507" s="30"/>
      <c r="P2507" s="32"/>
      <c r="Q2507" s="32"/>
      <c r="R2507" s="32"/>
      <c r="S2507" s="32"/>
      <c r="T2507" s="32"/>
      <c r="U2507" s="30"/>
    </row>
    <row r="2508" spans="1:21">
      <c r="A2508" s="29"/>
      <c r="B2508" s="29"/>
      <c r="C2508" s="29"/>
      <c r="D2508" s="29"/>
      <c r="E2508" s="29"/>
      <c r="F2508" s="29"/>
      <c r="G2508" s="29"/>
      <c r="H2508" s="29"/>
      <c r="J2508" s="29"/>
      <c r="K2508" s="29"/>
      <c r="L2508" s="19"/>
      <c r="M2508" s="19"/>
      <c r="N2508" s="30"/>
      <c r="O2508" s="30"/>
      <c r="P2508" s="32"/>
      <c r="Q2508" s="32"/>
      <c r="R2508" s="32"/>
      <c r="S2508" s="32"/>
      <c r="T2508" s="32"/>
      <c r="U2508" s="30"/>
    </row>
    <row r="2509" spans="1:21">
      <c r="A2509" s="29"/>
      <c r="B2509" s="29"/>
      <c r="C2509" s="29"/>
      <c r="D2509" s="29"/>
      <c r="E2509" s="29"/>
      <c r="F2509" s="29"/>
      <c r="G2509" s="29"/>
      <c r="H2509" s="29"/>
      <c r="J2509" s="29"/>
      <c r="K2509" s="29"/>
      <c r="L2509" s="19"/>
      <c r="M2509" s="19"/>
      <c r="N2509" s="30"/>
      <c r="O2509" s="30"/>
      <c r="P2509" s="32"/>
      <c r="Q2509" s="32"/>
      <c r="R2509" s="32"/>
      <c r="S2509" s="32"/>
      <c r="T2509" s="32"/>
      <c r="U2509" s="30"/>
    </row>
    <row r="2510" spans="1:21">
      <c r="A2510" s="29"/>
      <c r="B2510" s="29"/>
      <c r="C2510" s="29"/>
      <c r="D2510" s="29"/>
      <c r="E2510" s="29"/>
      <c r="F2510" s="29"/>
      <c r="G2510" s="29"/>
      <c r="H2510" s="29"/>
      <c r="J2510" s="29"/>
      <c r="K2510" s="29"/>
      <c r="L2510" s="19"/>
      <c r="M2510" s="19"/>
      <c r="N2510" s="30"/>
      <c r="O2510" s="30"/>
      <c r="P2510" s="32"/>
      <c r="Q2510" s="32"/>
      <c r="R2510" s="32"/>
      <c r="S2510" s="32"/>
      <c r="T2510" s="32"/>
      <c r="U2510" s="30"/>
    </row>
    <row r="2511" spans="1:21">
      <c r="A2511" s="29"/>
      <c r="B2511" s="29"/>
      <c r="C2511" s="29"/>
      <c r="D2511" s="29"/>
      <c r="E2511" s="29"/>
      <c r="F2511" s="29"/>
      <c r="G2511" s="29"/>
      <c r="H2511" s="29"/>
      <c r="J2511" s="29"/>
      <c r="K2511" s="29"/>
      <c r="L2511" s="19"/>
      <c r="M2511" s="19"/>
      <c r="N2511" s="30"/>
      <c r="O2511" s="30"/>
      <c r="P2511" s="32"/>
      <c r="Q2511" s="32"/>
      <c r="R2511" s="32"/>
      <c r="S2511" s="32"/>
      <c r="T2511" s="32"/>
      <c r="U2511" s="30"/>
    </row>
    <row r="2512" spans="1:21">
      <c r="A2512" s="29"/>
      <c r="B2512" s="29"/>
      <c r="C2512" s="29"/>
      <c r="D2512" s="29"/>
      <c r="E2512" s="29"/>
      <c r="F2512" s="29"/>
      <c r="G2512" s="29"/>
      <c r="H2512" s="29"/>
      <c r="J2512" s="29"/>
      <c r="K2512" s="29"/>
      <c r="L2512" s="19"/>
      <c r="M2512" s="19"/>
      <c r="N2512" s="30"/>
      <c r="O2512" s="30"/>
      <c r="P2512" s="32"/>
      <c r="Q2512" s="32"/>
      <c r="R2512" s="32"/>
      <c r="S2512" s="32"/>
      <c r="T2512" s="32"/>
      <c r="U2512" s="30"/>
    </row>
    <row r="2513" spans="1:21">
      <c r="A2513" s="29"/>
      <c r="B2513" s="29"/>
      <c r="C2513" s="29"/>
      <c r="D2513" s="29"/>
      <c r="E2513" s="29"/>
      <c r="F2513" s="29"/>
      <c r="G2513" s="29"/>
      <c r="H2513" s="29"/>
      <c r="J2513" s="29"/>
      <c r="K2513" s="29"/>
      <c r="L2513" s="19"/>
      <c r="M2513" s="19"/>
      <c r="N2513" s="30"/>
      <c r="O2513" s="30"/>
      <c r="P2513" s="32"/>
      <c r="Q2513" s="32"/>
      <c r="R2513" s="32"/>
      <c r="S2513" s="32"/>
      <c r="T2513" s="32"/>
      <c r="U2513" s="30"/>
    </row>
    <row r="2514" spans="1:21">
      <c r="A2514" s="29"/>
      <c r="B2514" s="29"/>
      <c r="C2514" s="29"/>
      <c r="D2514" s="29"/>
      <c r="E2514" s="29"/>
      <c r="F2514" s="29"/>
      <c r="G2514" s="29"/>
      <c r="H2514" s="29"/>
      <c r="J2514" s="29"/>
      <c r="K2514" s="29"/>
      <c r="L2514" s="19"/>
      <c r="M2514" s="19"/>
      <c r="N2514" s="30"/>
      <c r="O2514" s="30"/>
      <c r="P2514" s="32"/>
      <c r="Q2514" s="32"/>
      <c r="R2514" s="32"/>
      <c r="S2514" s="32"/>
      <c r="T2514" s="32"/>
      <c r="U2514" s="30"/>
    </row>
    <row r="2515" spans="1:21">
      <c r="A2515" s="29"/>
      <c r="B2515" s="29"/>
      <c r="C2515" s="29"/>
      <c r="D2515" s="29"/>
      <c r="E2515" s="29"/>
      <c r="F2515" s="29"/>
      <c r="G2515" s="29"/>
      <c r="H2515" s="29"/>
      <c r="J2515" s="29"/>
      <c r="K2515" s="29"/>
      <c r="L2515" s="19"/>
      <c r="M2515" s="19"/>
      <c r="N2515" s="30"/>
      <c r="O2515" s="30"/>
      <c r="P2515" s="32"/>
      <c r="Q2515" s="32"/>
      <c r="R2515" s="32"/>
      <c r="S2515" s="32"/>
      <c r="T2515" s="32"/>
      <c r="U2515" s="30"/>
    </row>
    <row r="2516" spans="1:21">
      <c r="A2516" s="29"/>
      <c r="B2516" s="29"/>
      <c r="C2516" s="29"/>
      <c r="D2516" s="29"/>
      <c r="E2516" s="29"/>
      <c r="F2516" s="29"/>
      <c r="G2516" s="29"/>
      <c r="H2516" s="29"/>
      <c r="J2516" s="29"/>
      <c r="K2516" s="29"/>
      <c r="L2516" s="19"/>
      <c r="M2516" s="19"/>
      <c r="N2516" s="30"/>
      <c r="O2516" s="30"/>
      <c r="P2516" s="32"/>
      <c r="Q2516" s="32"/>
      <c r="R2516" s="32"/>
      <c r="S2516" s="32"/>
      <c r="T2516" s="32"/>
      <c r="U2516" s="30"/>
    </row>
    <row r="2517" spans="1:21">
      <c r="A2517" s="29"/>
      <c r="B2517" s="29"/>
      <c r="C2517" s="29"/>
      <c r="D2517" s="29"/>
      <c r="E2517" s="29"/>
      <c r="F2517" s="29"/>
      <c r="G2517" s="29"/>
      <c r="H2517" s="29"/>
      <c r="J2517" s="29"/>
      <c r="K2517" s="29"/>
      <c r="L2517" s="19"/>
      <c r="M2517" s="19"/>
      <c r="N2517" s="30"/>
      <c r="O2517" s="30"/>
      <c r="P2517" s="32"/>
      <c r="Q2517" s="32"/>
      <c r="R2517" s="32"/>
      <c r="S2517" s="32"/>
      <c r="T2517" s="32"/>
      <c r="U2517" s="30"/>
    </row>
    <row r="2518" spans="1:21">
      <c r="A2518" s="29"/>
      <c r="B2518" s="29"/>
      <c r="C2518" s="29"/>
      <c r="D2518" s="29"/>
      <c r="E2518" s="29"/>
      <c r="F2518" s="29"/>
      <c r="G2518" s="29"/>
      <c r="H2518" s="29"/>
      <c r="J2518" s="29"/>
      <c r="K2518" s="29"/>
      <c r="L2518" s="19"/>
      <c r="M2518" s="19"/>
      <c r="N2518" s="30"/>
      <c r="O2518" s="30"/>
      <c r="P2518" s="32"/>
      <c r="Q2518" s="32"/>
      <c r="R2518" s="32"/>
      <c r="S2518" s="32"/>
      <c r="T2518" s="32"/>
      <c r="U2518" s="30"/>
    </row>
    <row r="2519" spans="1:21">
      <c r="A2519" s="29"/>
      <c r="B2519" s="29"/>
      <c r="C2519" s="29"/>
      <c r="D2519" s="29"/>
      <c r="E2519" s="29"/>
      <c r="F2519" s="29"/>
      <c r="G2519" s="29"/>
      <c r="H2519" s="29"/>
      <c r="J2519" s="29"/>
      <c r="K2519" s="29"/>
      <c r="L2519" s="19"/>
      <c r="M2519" s="19"/>
      <c r="N2519" s="30"/>
      <c r="O2519" s="30"/>
      <c r="P2519" s="32"/>
      <c r="Q2519" s="32"/>
      <c r="R2519" s="32"/>
      <c r="S2519" s="32"/>
      <c r="T2519" s="32"/>
      <c r="U2519" s="30"/>
    </row>
    <row r="2520" spans="1:21">
      <c r="A2520" s="29"/>
      <c r="B2520" s="29"/>
      <c r="C2520" s="29"/>
      <c r="D2520" s="29"/>
      <c r="E2520" s="29"/>
      <c r="F2520" s="29"/>
      <c r="G2520" s="29"/>
      <c r="H2520" s="29"/>
      <c r="J2520" s="29"/>
      <c r="K2520" s="29"/>
      <c r="L2520" s="19"/>
      <c r="M2520" s="19"/>
      <c r="N2520" s="30"/>
      <c r="O2520" s="30"/>
      <c r="P2520" s="32"/>
      <c r="Q2520" s="32"/>
      <c r="R2520" s="32"/>
      <c r="S2520" s="32"/>
      <c r="T2520" s="32"/>
      <c r="U2520" s="30"/>
    </row>
    <row r="2521" spans="1:21">
      <c r="A2521" s="29"/>
      <c r="B2521" s="29"/>
      <c r="C2521" s="29"/>
      <c r="D2521" s="29"/>
      <c r="E2521" s="29"/>
      <c r="F2521" s="29"/>
      <c r="G2521" s="29"/>
      <c r="H2521" s="29"/>
      <c r="J2521" s="29"/>
      <c r="K2521" s="29"/>
      <c r="L2521" s="19"/>
      <c r="M2521" s="19"/>
      <c r="N2521" s="30"/>
      <c r="O2521" s="30"/>
      <c r="P2521" s="32"/>
      <c r="Q2521" s="32"/>
      <c r="R2521" s="32"/>
      <c r="S2521" s="32"/>
      <c r="T2521" s="32"/>
      <c r="U2521" s="30"/>
    </row>
    <row r="2522" spans="1:21">
      <c r="A2522" s="29"/>
      <c r="B2522" s="29"/>
      <c r="C2522" s="29"/>
      <c r="D2522" s="29"/>
      <c r="E2522" s="29"/>
      <c r="F2522" s="29"/>
      <c r="G2522" s="29"/>
      <c r="H2522" s="29"/>
      <c r="J2522" s="29"/>
      <c r="K2522" s="29"/>
      <c r="L2522" s="19"/>
      <c r="M2522" s="19"/>
      <c r="N2522" s="30"/>
      <c r="O2522" s="30"/>
      <c r="P2522" s="32"/>
      <c r="Q2522" s="32"/>
      <c r="R2522" s="32"/>
      <c r="S2522" s="32"/>
      <c r="T2522" s="32"/>
      <c r="U2522" s="30"/>
    </row>
    <row r="2523" spans="1:21">
      <c r="A2523" s="29"/>
      <c r="B2523" s="29"/>
      <c r="C2523" s="29"/>
      <c r="D2523" s="29"/>
      <c r="E2523" s="29"/>
      <c r="F2523" s="29"/>
      <c r="G2523" s="29"/>
      <c r="H2523" s="29"/>
      <c r="J2523" s="29"/>
      <c r="K2523" s="29"/>
      <c r="L2523" s="19"/>
      <c r="M2523" s="19"/>
      <c r="N2523" s="30"/>
      <c r="O2523" s="30"/>
      <c r="P2523" s="32"/>
      <c r="Q2523" s="32"/>
      <c r="R2523" s="32"/>
      <c r="S2523" s="32"/>
      <c r="T2523" s="32"/>
      <c r="U2523" s="30"/>
    </row>
    <row r="2524" spans="1:21">
      <c r="A2524" s="29"/>
      <c r="B2524" s="29"/>
      <c r="C2524" s="29"/>
      <c r="D2524" s="29"/>
      <c r="E2524" s="29"/>
      <c r="F2524" s="29"/>
      <c r="G2524" s="29"/>
      <c r="H2524" s="29"/>
      <c r="J2524" s="29"/>
      <c r="K2524" s="29"/>
      <c r="L2524" s="19"/>
      <c r="M2524" s="19"/>
      <c r="N2524" s="30"/>
      <c r="O2524" s="30"/>
      <c r="P2524" s="32"/>
      <c r="Q2524" s="32"/>
      <c r="R2524" s="32"/>
      <c r="S2524" s="32"/>
      <c r="T2524" s="32"/>
      <c r="U2524" s="30"/>
    </row>
    <row r="2525" spans="1:21">
      <c r="A2525" s="29"/>
      <c r="B2525" s="29"/>
      <c r="C2525" s="29"/>
      <c r="D2525" s="29"/>
      <c r="E2525" s="29"/>
      <c r="F2525" s="29"/>
      <c r="G2525" s="29"/>
      <c r="H2525" s="29"/>
      <c r="J2525" s="29"/>
      <c r="K2525" s="29"/>
      <c r="L2525" s="19"/>
      <c r="M2525" s="19"/>
      <c r="N2525" s="30"/>
      <c r="O2525" s="30"/>
      <c r="P2525" s="32"/>
      <c r="Q2525" s="32"/>
      <c r="R2525" s="32"/>
      <c r="S2525" s="32"/>
      <c r="T2525" s="32"/>
      <c r="U2525" s="30"/>
    </row>
    <row r="2526" spans="1:21">
      <c r="A2526" s="29"/>
      <c r="B2526" s="29"/>
      <c r="C2526" s="29"/>
      <c r="D2526" s="29"/>
      <c r="E2526" s="29"/>
      <c r="F2526" s="29"/>
      <c r="G2526" s="29"/>
      <c r="H2526" s="29"/>
      <c r="J2526" s="29"/>
      <c r="K2526" s="29"/>
      <c r="L2526" s="19"/>
      <c r="M2526" s="19"/>
      <c r="N2526" s="30"/>
      <c r="O2526" s="30"/>
      <c r="P2526" s="32"/>
      <c r="Q2526" s="32"/>
      <c r="R2526" s="32"/>
      <c r="S2526" s="32"/>
      <c r="T2526" s="32"/>
      <c r="U2526" s="30"/>
    </row>
    <row r="2527" spans="1:21">
      <c r="A2527" s="29"/>
      <c r="B2527" s="29"/>
      <c r="C2527" s="29"/>
      <c r="D2527" s="29"/>
      <c r="E2527" s="29"/>
      <c r="F2527" s="29"/>
      <c r="G2527" s="29"/>
      <c r="H2527" s="29"/>
      <c r="J2527" s="29"/>
      <c r="K2527" s="29"/>
      <c r="L2527" s="19"/>
      <c r="M2527" s="19"/>
      <c r="N2527" s="30"/>
      <c r="O2527" s="30"/>
      <c r="P2527" s="32"/>
      <c r="Q2527" s="32"/>
      <c r="R2527" s="32"/>
      <c r="S2527" s="32"/>
      <c r="T2527" s="32"/>
      <c r="U2527" s="30"/>
    </row>
    <row r="2528" spans="1:21">
      <c r="A2528" s="29"/>
      <c r="B2528" s="29"/>
      <c r="C2528" s="29"/>
      <c r="D2528" s="29"/>
      <c r="E2528" s="29"/>
      <c r="F2528" s="29"/>
      <c r="G2528" s="29"/>
      <c r="H2528" s="29"/>
      <c r="J2528" s="29"/>
      <c r="K2528" s="29"/>
      <c r="L2528" s="19"/>
      <c r="M2528" s="19"/>
      <c r="N2528" s="30"/>
      <c r="O2528" s="30"/>
      <c r="P2528" s="32"/>
      <c r="Q2528" s="32"/>
      <c r="R2528" s="32"/>
      <c r="S2528" s="32"/>
      <c r="T2528" s="32"/>
      <c r="U2528" s="30"/>
    </row>
    <row r="2529" spans="1:21">
      <c r="A2529" s="29"/>
      <c r="B2529" s="29"/>
      <c r="C2529" s="29"/>
      <c r="D2529" s="29"/>
      <c r="E2529" s="29"/>
      <c r="F2529" s="29"/>
      <c r="G2529" s="29"/>
      <c r="H2529" s="29"/>
      <c r="J2529" s="29"/>
      <c r="K2529" s="29"/>
      <c r="L2529" s="19"/>
      <c r="M2529" s="19"/>
      <c r="N2529" s="30"/>
      <c r="O2529" s="30"/>
      <c r="P2529" s="32"/>
      <c r="Q2529" s="32"/>
      <c r="R2529" s="32"/>
      <c r="S2529" s="32"/>
      <c r="T2529" s="32"/>
      <c r="U2529" s="30"/>
    </row>
    <row r="2530" spans="1:21">
      <c r="A2530" s="29"/>
      <c r="B2530" s="29"/>
      <c r="C2530" s="29"/>
      <c r="D2530" s="29"/>
      <c r="E2530" s="29"/>
      <c r="F2530" s="29"/>
      <c r="G2530" s="29"/>
      <c r="H2530" s="29"/>
      <c r="J2530" s="29"/>
      <c r="K2530" s="29"/>
      <c r="L2530" s="19"/>
      <c r="M2530" s="19"/>
      <c r="N2530" s="30"/>
      <c r="O2530" s="30"/>
      <c r="P2530" s="32"/>
      <c r="Q2530" s="32"/>
      <c r="R2530" s="32"/>
      <c r="S2530" s="32"/>
      <c r="T2530" s="32"/>
      <c r="U2530" s="30"/>
    </row>
    <row r="2531" spans="1:21">
      <c r="A2531" s="29"/>
      <c r="B2531" s="29"/>
      <c r="C2531" s="29"/>
      <c r="D2531" s="29"/>
      <c r="E2531" s="29"/>
      <c r="F2531" s="29"/>
      <c r="G2531" s="29"/>
      <c r="H2531" s="29"/>
      <c r="J2531" s="29"/>
      <c r="K2531" s="29"/>
      <c r="L2531" s="19"/>
      <c r="M2531" s="19"/>
      <c r="N2531" s="30"/>
      <c r="O2531" s="30"/>
      <c r="P2531" s="32"/>
      <c r="Q2531" s="32"/>
      <c r="R2531" s="32"/>
      <c r="S2531" s="32"/>
      <c r="T2531" s="32"/>
      <c r="U2531" s="30"/>
    </row>
    <row r="2532" spans="1:21">
      <c r="A2532" s="29"/>
      <c r="B2532" s="29"/>
      <c r="C2532" s="29"/>
      <c r="D2532" s="29"/>
      <c r="E2532" s="29"/>
      <c r="F2532" s="29"/>
      <c r="G2532" s="29"/>
      <c r="H2532" s="29"/>
      <c r="J2532" s="29"/>
      <c r="K2532" s="29"/>
      <c r="L2532" s="19"/>
      <c r="M2532" s="19"/>
      <c r="N2532" s="30"/>
      <c r="O2532" s="30"/>
      <c r="P2532" s="32"/>
      <c r="Q2532" s="32"/>
      <c r="R2532" s="32"/>
      <c r="S2532" s="32"/>
      <c r="T2532" s="32"/>
      <c r="U2532" s="30"/>
    </row>
    <row r="2533" spans="1:21">
      <c r="A2533" s="29"/>
      <c r="B2533" s="29"/>
      <c r="C2533" s="29"/>
      <c r="D2533" s="29"/>
      <c r="E2533" s="29"/>
      <c r="F2533" s="29"/>
      <c r="G2533" s="29"/>
      <c r="H2533" s="29"/>
      <c r="J2533" s="29"/>
      <c r="K2533" s="29"/>
      <c r="L2533" s="19"/>
      <c r="M2533" s="19"/>
      <c r="N2533" s="30"/>
      <c r="O2533" s="30"/>
      <c r="P2533" s="32"/>
      <c r="Q2533" s="32"/>
      <c r="R2533" s="32"/>
      <c r="S2533" s="32"/>
      <c r="T2533" s="32"/>
      <c r="U2533" s="30"/>
    </row>
    <row r="2534" spans="1:21">
      <c r="A2534" s="29"/>
      <c r="B2534" s="29"/>
      <c r="C2534" s="29"/>
      <c r="D2534" s="29"/>
      <c r="E2534" s="29"/>
      <c r="F2534" s="29"/>
      <c r="G2534" s="29"/>
      <c r="H2534" s="29"/>
      <c r="J2534" s="29"/>
      <c r="K2534" s="29"/>
      <c r="L2534" s="19"/>
      <c r="M2534" s="19"/>
      <c r="N2534" s="30"/>
      <c r="O2534" s="30"/>
      <c r="P2534" s="32"/>
      <c r="Q2534" s="32"/>
      <c r="R2534" s="32"/>
      <c r="S2534" s="32"/>
      <c r="T2534" s="32"/>
      <c r="U2534" s="30"/>
    </row>
    <row r="2535" spans="1:21">
      <c r="A2535" s="29"/>
      <c r="B2535" s="29"/>
      <c r="C2535" s="29"/>
      <c r="D2535" s="29"/>
      <c r="E2535" s="29"/>
      <c r="F2535" s="29"/>
      <c r="G2535" s="29"/>
      <c r="H2535" s="29"/>
      <c r="J2535" s="29"/>
      <c r="K2535" s="29"/>
      <c r="L2535" s="19"/>
      <c r="M2535" s="19"/>
      <c r="N2535" s="30"/>
      <c r="O2535" s="30"/>
      <c r="P2535" s="32"/>
      <c r="Q2535" s="32"/>
      <c r="R2535" s="32"/>
      <c r="S2535" s="32"/>
      <c r="T2535" s="32"/>
      <c r="U2535" s="30"/>
    </row>
    <row r="2536" spans="1:21">
      <c r="A2536" s="29"/>
      <c r="B2536" s="29"/>
      <c r="C2536" s="29"/>
      <c r="D2536" s="29"/>
      <c r="E2536" s="29"/>
      <c r="F2536" s="29"/>
      <c r="G2536" s="29"/>
      <c r="H2536" s="29"/>
      <c r="J2536" s="29"/>
      <c r="K2536" s="29"/>
      <c r="L2536" s="19"/>
      <c r="M2536" s="19"/>
      <c r="N2536" s="30"/>
      <c r="O2536" s="30"/>
      <c r="P2536" s="32"/>
      <c r="Q2536" s="32"/>
      <c r="R2536" s="32"/>
      <c r="S2536" s="32"/>
      <c r="T2536" s="32"/>
      <c r="U2536" s="30"/>
    </row>
    <row r="2537" spans="1:21">
      <c r="A2537" s="29"/>
      <c r="B2537" s="29"/>
      <c r="C2537" s="29"/>
      <c r="D2537" s="29"/>
      <c r="E2537" s="29"/>
      <c r="F2537" s="29"/>
      <c r="G2537" s="29"/>
      <c r="H2537" s="29"/>
      <c r="J2537" s="29"/>
      <c r="K2537" s="29"/>
      <c r="L2537" s="19"/>
      <c r="M2537" s="19"/>
      <c r="N2537" s="30"/>
      <c r="O2537" s="30"/>
      <c r="P2537" s="32"/>
      <c r="Q2537" s="32"/>
      <c r="R2537" s="32"/>
      <c r="S2537" s="32"/>
      <c r="T2537" s="32"/>
      <c r="U2537" s="30"/>
    </row>
    <row r="2538" spans="1:21">
      <c r="A2538" s="29"/>
      <c r="B2538" s="29"/>
      <c r="C2538" s="29"/>
      <c r="D2538" s="29"/>
      <c r="E2538" s="29"/>
      <c r="F2538" s="29"/>
      <c r="G2538" s="29"/>
      <c r="H2538" s="29"/>
      <c r="J2538" s="29"/>
      <c r="K2538" s="29"/>
      <c r="L2538" s="19"/>
      <c r="M2538" s="19"/>
      <c r="N2538" s="30"/>
      <c r="O2538" s="30"/>
      <c r="P2538" s="32"/>
      <c r="Q2538" s="32"/>
      <c r="R2538" s="32"/>
      <c r="S2538" s="32"/>
      <c r="T2538" s="32"/>
      <c r="U2538" s="30"/>
    </row>
    <row r="2539" spans="1:21">
      <c r="A2539" s="29"/>
      <c r="B2539" s="29"/>
      <c r="C2539" s="29"/>
      <c r="D2539" s="29"/>
      <c r="E2539" s="29"/>
      <c r="F2539" s="29"/>
      <c r="G2539" s="29"/>
      <c r="H2539" s="29"/>
      <c r="J2539" s="29"/>
      <c r="K2539" s="29"/>
      <c r="L2539" s="19"/>
      <c r="M2539" s="19"/>
      <c r="N2539" s="30"/>
      <c r="O2539" s="30"/>
      <c r="P2539" s="32"/>
      <c r="Q2539" s="32"/>
      <c r="R2539" s="32"/>
      <c r="S2539" s="32"/>
      <c r="T2539" s="32"/>
      <c r="U2539" s="30"/>
    </row>
    <row r="2540" spans="1:21">
      <c r="A2540" s="29"/>
      <c r="B2540" s="29"/>
      <c r="C2540" s="29"/>
      <c r="D2540" s="29"/>
      <c r="E2540" s="29"/>
      <c r="F2540" s="29"/>
      <c r="G2540" s="29"/>
      <c r="H2540" s="29"/>
      <c r="J2540" s="29"/>
      <c r="K2540" s="29"/>
      <c r="L2540" s="19"/>
      <c r="M2540" s="19"/>
      <c r="N2540" s="30"/>
      <c r="O2540" s="30"/>
      <c r="P2540" s="32"/>
      <c r="Q2540" s="32"/>
      <c r="R2540" s="32"/>
      <c r="S2540" s="32"/>
      <c r="T2540" s="32"/>
      <c r="U2540" s="30"/>
    </row>
    <row r="2541" spans="1:21">
      <c r="A2541" s="29"/>
      <c r="B2541" s="29"/>
      <c r="C2541" s="29"/>
      <c r="D2541" s="29"/>
      <c r="E2541" s="29"/>
      <c r="F2541" s="29"/>
      <c r="G2541" s="29"/>
      <c r="H2541" s="29"/>
      <c r="J2541" s="29"/>
      <c r="K2541" s="29"/>
      <c r="L2541" s="19"/>
      <c r="M2541" s="19"/>
      <c r="N2541" s="30"/>
      <c r="O2541" s="30"/>
      <c r="P2541" s="32"/>
      <c r="Q2541" s="32"/>
      <c r="R2541" s="32"/>
      <c r="S2541" s="32"/>
      <c r="T2541" s="32"/>
      <c r="U2541" s="30"/>
    </row>
    <row r="2542" spans="1:21">
      <c r="A2542" s="29"/>
      <c r="B2542" s="29"/>
      <c r="C2542" s="29"/>
      <c r="D2542" s="29"/>
      <c r="E2542" s="29"/>
      <c r="F2542" s="29"/>
      <c r="G2542" s="29"/>
      <c r="H2542" s="29"/>
      <c r="J2542" s="29"/>
      <c r="K2542" s="29"/>
      <c r="L2542" s="19"/>
      <c r="M2542" s="19"/>
      <c r="N2542" s="30"/>
      <c r="O2542" s="30"/>
      <c r="P2542" s="32"/>
      <c r="Q2542" s="32"/>
      <c r="R2542" s="32"/>
      <c r="S2542" s="32"/>
      <c r="T2542" s="32"/>
      <c r="U2542" s="30"/>
    </row>
    <row r="2543" spans="1:21">
      <c r="A2543" s="29"/>
      <c r="B2543" s="29"/>
      <c r="C2543" s="29"/>
      <c r="D2543" s="29"/>
      <c r="E2543" s="29"/>
      <c r="F2543" s="29"/>
      <c r="G2543" s="29"/>
      <c r="H2543" s="29"/>
      <c r="J2543" s="29"/>
      <c r="K2543" s="29"/>
      <c r="L2543" s="19"/>
      <c r="M2543" s="19"/>
      <c r="N2543" s="30"/>
      <c r="O2543" s="30"/>
      <c r="P2543" s="32"/>
      <c r="Q2543" s="32"/>
      <c r="R2543" s="32"/>
      <c r="S2543" s="32"/>
      <c r="T2543" s="32"/>
      <c r="U2543" s="30"/>
    </row>
    <row r="2544" spans="1:21">
      <c r="A2544" s="29"/>
      <c r="B2544" s="29"/>
      <c r="C2544" s="29"/>
      <c r="D2544" s="29"/>
      <c r="E2544" s="29"/>
      <c r="F2544" s="29"/>
      <c r="G2544" s="29"/>
      <c r="H2544" s="29"/>
      <c r="J2544" s="29"/>
      <c r="K2544" s="29"/>
      <c r="L2544" s="19"/>
      <c r="M2544" s="19"/>
      <c r="N2544" s="30"/>
      <c r="O2544" s="30"/>
      <c r="P2544" s="32"/>
      <c r="Q2544" s="32"/>
      <c r="R2544" s="32"/>
      <c r="S2544" s="32"/>
      <c r="T2544" s="32"/>
      <c r="U2544" s="30"/>
    </row>
    <row r="2545" spans="1:21">
      <c r="A2545" s="29"/>
      <c r="B2545" s="29"/>
      <c r="C2545" s="29"/>
      <c r="D2545" s="29"/>
      <c r="E2545" s="29"/>
      <c r="F2545" s="29"/>
      <c r="G2545" s="29"/>
      <c r="H2545" s="29"/>
      <c r="J2545" s="29"/>
      <c r="K2545" s="29"/>
      <c r="L2545" s="19"/>
      <c r="M2545" s="19"/>
      <c r="N2545" s="30"/>
      <c r="O2545" s="30"/>
      <c r="P2545" s="32"/>
      <c r="Q2545" s="32"/>
      <c r="R2545" s="32"/>
      <c r="S2545" s="32"/>
      <c r="T2545" s="32"/>
      <c r="U2545" s="30"/>
    </row>
    <row r="2546" spans="1:21">
      <c r="A2546" s="29"/>
      <c r="B2546" s="29"/>
      <c r="C2546" s="29"/>
      <c r="D2546" s="29"/>
      <c r="E2546" s="29"/>
      <c r="F2546" s="29"/>
      <c r="G2546" s="29"/>
      <c r="H2546" s="29"/>
      <c r="J2546" s="29"/>
      <c r="K2546" s="29"/>
      <c r="L2546" s="19"/>
      <c r="M2546" s="19"/>
      <c r="N2546" s="30"/>
      <c r="O2546" s="30"/>
      <c r="P2546" s="32"/>
      <c r="Q2546" s="32"/>
      <c r="R2546" s="32"/>
      <c r="S2546" s="32"/>
      <c r="T2546" s="32"/>
      <c r="U2546" s="30"/>
    </row>
    <row r="2547" spans="1:21">
      <c r="A2547" s="29"/>
      <c r="B2547" s="29"/>
      <c r="C2547" s="29"/>
      <c r="D2547" s="29"/>
      <c r="E2547" s="29"/>
      <c r="F2547" s="29"/>
      <c r="G2547" s="29"/>
      <c r="H2547" s="29"/>
      <c r="J2547" s="29"/>
      <c r="K2547" s="29"/>
      <c r="L2547" s="19"/>
      <c r="M2547" s="19"/>
      <c r="N2547" s="30"/>
      <c r="O2547" s="30"/>
      <c r="P2547" s="32"/>
      <c r="Q2547" s="32"/>
      <c r="R2547" s="32"/>
      <c r="S2547" s="32"/>
      <c r="T2547" s="32"/>
      <c r="U2547" s="30"/>
    </row>
    <row r="2548" spans="1:21">
      <c r="A2548" s="29"/>
      <c r="B2548" s="29"/>
      <c r="C2548" s="29"/>
      <c r="D2548" s="29"/>
      <c r="E2548" s="29"/>
      <c r="F2548" s="29"/>
      <c r="G2548" s="29"/>
      <c r="H2548" s="29"/>
      <c r="J2548" s="29"/>
      <c r="K2548" s="29"/>
      <c r="L2548" s="19"/>
      <c r="M2548" s="19"/>
      <c r="N2548" s="30"/>
      <c r="O2548" s="30"/>
      <c r="P2548" s="32"/>
      <c r="Q2548" s="32"/>
      <c r="R2548" s="32"/>
      <c r="S2548" s="32"/>
      <c r="T2548" s="32"/>
      <c r="U2548" s="30"/>
    </row>
    <row r="2549" spans="1:21">
      <c r="A2549" s="29"/>
      <c r="B2549" s="29"/>
      <c r="C2549" s="29"/>
      <c r="D2549" s="29"/>
      <c r="E2549" s="29"/>
      <c r="F2549" s="29"/>
      <c r="G2549" s="29"/>
      <c r="H2549" s="29"/>
      <c r="J2549" s="29"/>
      <c r="K2549" s="29"/>
      <c r="L2549" s="19"/>
      <c r="M2549" s="19"/>
      <c r="N2549" s="30"/>
      <c r="O2549" s="30"/>
      <c r="P2549" s="32"/>
      <c r="Q2549" s="32"/>
      <c r="R2549" s="32"/>
      <c r="S2549" s="32"/>
      <c r="T2549" s="32"/>
      <c r="U2549" s="30"/>
    </row>
    <row r="2550" spans="1:21">
      <c r="A2550" s="29"/>
      <c r="B2550" s="29"/>
      <c r="C2550" s="29"/>
      <c r="D2550" s="29"/>
      <c r="E2550" s="29"/>
      <c r="F2550" s="29"/>
      <c r="G2550" s="29"/>
      <c r="H2550" s="29"/>
      <c r="J2550" s="29"/>
      <c r="K2550" s="29"/>
      <c r="L2550" s="19"/>
      <c r="M2550" s="19"/>
      <c r="N2550" s="30"/>
      <c r="O2550" s="30"/>
      <c r="P2550" s="32"/>
      <c r="Q2550" s="32"/>
      <c r="R2550" s="32"/>
      <c r="S2550" s="32"/>
      <c r="T2550" s="32"/>
      <c r="U2550" s="30"/>
    </row>
    <row r="2551" spans="1:21">
      <c r="A2551" s="29"/>
      <c r="B2551" s="29"/>
      <c r="C2551" s="29"/>
      <c r="D2551" s="29"/>
      <c r="E2551" s="29"/>
      <c r="F2551" s="29"/>
      <c r="G2551" s="29"/>
      <c r="H2551" s="29"/>
      <c r="J2551" s="29"/>
      <c r="K2551" s="29"/>
      <c r="L2551" s="19"/>
      <c r="M2551" s="19"/>
      <c r="N2551" s="30"/>
      <c r="O2551" s="30"/>
      <c r="P2551" s="32"/>
      <c r="Q2551" s="32"/>
      <c r="R2551" s="32"/>
      <c r="S2551" s="32"/>
      <c r="T2551" s="32"/>
      <c r="U2551" s="30"/>
    </row>
    <row r="2552" spans="1:21">
      <c r="A2552" s="29"/>
      <c r="B2552" s="29"/>
      <c r="C2552" s="29"/>
      <c r="D2552" s="29"/>
      <c r="E2552" s="29"/>
      <c r="F2552" s="29"/>
      <c r="G2552" s="29"/>
      <c r="H2552" s="29"/>
      <c r="J2552" s="29"/>
      <c r="K2552" s="29"/>
      <c r="L2552" s="19"/>
      <c r="M2552" s="19"/>
      <c r="N2552" s="30"/>
      <c r="O2552" s="30"/>
      <c r="P2552" s="32"/>
      <c r="Q2552" s="32"/>
      <c r="R2552" s="32"/>
      <c r="S2552" s="32"/>
      <c r="T2552" s="32"/>
      <c r="U2552" s="30"/>
    </row>
    <row r="2553" spans="1:21">
      <c r="A2553" s="29"/>
      <c r="B2553" s="29"/>
      <c r="C2553" s="29"/>
      <c r="D2553" s="29"/>
      <c r="E2553" s="29"/>
      <c r="F2553" s="29"/>
      <c r="G2553" s="29"/>
      <c r="H2553" s="29"/>
      <c r="J2553" s="29"/>
      <c r="K2553" s="29"/>
      <c r="L2553" s="19"/>
      <c r="M2553" s="19"/>
      <c r="N2553" s="30"/>
      <c r="O2553" s="30"/>
      <c r="P2553" s="32"/>
      <c r="Q2553" s="32"/>
      <c r="R2553" s="32"/>
      <c r="S2553" s="32"/>
      <c r="T2553" s="32"/>
      <c r="U2553" s="30"/>
    </row>
    <row r="2554" spans="1:21">
      <c r="A2554" s="29"/>
      <c r="B2554" s="29"/>
      <c r="C2554" s="29"/>
      <c r="D2554" s="29"/>
      <c r="E2554" s="29"/>
      <c r="F2554" s="29"/>
      <c r="G2554" s="29"/>
      <c r="H2554" s="29"/>
      <c r="J2554" s="29"/>
      <c r="K2554" s="29"/>
      <c r="L2554" s="19"/>
      <c r="M2554" s="19"/>
      <c r="N2554" s="30"/>
      <c r="O2554" s="30"/>
      <c r="P2554" s="32"/>
      <c r="Q2554" s="32"/>
      <c r="R2554" s="32"/>
      <c r="S2554" s="32"/>
      <c r="T2554" s="32"/>
      <c r="U2554" s="30"/>
    </row>
    <row r="2555" spans="1:21">
      <c r="A2555" s="29"/>
      <c r="B2555" s="29"/>
      <c r="C2555" s="29"/>
      <c r="D2555" s="29"/>
      <c r="E2555" s="29"/>
      <c r="F2555" s="29"/>
      <c r="G2555" s="29"/>
      <c r="H2555" s="29"/>
      <c r="J2555" s="29"/>
      <c r="K2555" s="29"/>
      <c r="L2555" s="19"/>
      <c r="M2555" s="19"/>
      <c r="N2555" s="30"/>
      <c r="O2555" s="30"/>
      <c r="P2555" s="32"/>
      <c r="Q2555" s="32"/>
      <c r="R2555" s="32"/>
      <c r="S2555" s="32"/>
      <c r="T2555" s="32"/>
      <c r="U2555" s="30"/>
    </row>
    <row r="2556" spans="1:21">
      <c r="A2556" s="29"/>
      <c r="B2556" s="29"/>
      <c r="C2556" s="29"/>
      <c r="D2556" s="29"/>
      <c r="E2556" s="29"/>
      <c r="F2556" s="29"/>
      <c r="G2556" s="29"/>
      <c r="H2556" s="29"/>
      <c r="J2556" s="29"/>
      <c r="K2556" s="29"/>
      <c r="L2556" s="19"/>
      <c r="M2556" s="19"/>
      <c r="N2556" s="30"/>
      <c r="O2556" s="30"/>
      <c r="P2556" s="32"/>
      <c r="Q2556" s="32"/>
      <c r="R2556" s="32"/>
      <c r="S2556" s="32"/>
      <c r="T2556" s="32"/>
      <c r="U2556" s="30"/>
    </row>
    <row r="2557" spans="1:21">
      <c r="A2557" s="29"/>
      <c r="B2557" s="29"/>
      <c r="C2557" s="29"/>
      <c r="D2557" s="29"/>
      <c r="E2557" s="29"/>
      <c r="F2557" s="29"/>
      <c r="G2557" s="29"/>
      <c r="H2557" s="29"/>
      <c r="J2557" s="29"/>
      <c r="K2557" s="29"/>
      <c r="L2557" s="19"/>
      <c r="M2557" s="19"/>
      <c r="N2557" s="30"/>
      <c r="O2557" s="30"/>
      <c r="P2557" s="32"/>
      <c r="Q2557" s="32"/>
      <c r="R2557" s="32"/>
      <c r="S2557" s="32"/>
      <c r="T2557" s="32"/>
      <c r="U2557" s="30"/>
    </row>
    <row r="2558" spans="1:21">
      <c r="A2558" s="29"/>
      <c r="B2558" s="29"/>
      <c r="C2558" s="29"/>
      <c r="D2558" s="29"/>
      <c r="E2558" s="29"/>
      <c r="F2558" s="29"/>
      <c r="G2558" s="29"/>
      <c r="H2558" s="29"/>
      <c r="J2558" s="29"/>
      <c r="K2558" s="29"/>
      <c r="L2558" s="19"/>
      <c r="M2558" s="19"/>
      <c r="N2558" s="30"/>
      <c r="O2558" s="30"/>
      <c r="P2558" s="32"/>
      <c r="Q2558" s="32"/>
      <c r="R2558" s="32"/>
      <c r="S2558" s="32"/>
      <c r="T2558" s="32"/>
      <c r="U2558" s="30"/>
    </row>
    <row r="2559" spans="1:21">
      <c r="A2559" s="29"/>
      <c r="B2559" s="29"/>
      <c r="C2559" s="29"/>
      <c r="D2559" s="29"/>
      <c r="E2559" s="29"/>
      <c r="F2559" s="29"/>
      <c r="G2559" s="29"/>
      <c r="H2559" s="29"/>
      <c r="J2559" s="29"/>
      <c r="K2559" s="29"/>
      <c r="L2559" s="19"/>
      <c r="M2559" s="19"/>
      <c r="N2559" s="30"/>
      <c r="O2559" s="30"/>
      <c r="P2559" s="32"/>
      <c r="Q2559" s="32"/>
      <c r="R2559" s="32"/>
      <c r="S2559" s="32"/>
      <c r="T2559" s="32"/>
      <c r="U2559" s="30"/>
    </row>
    <row r="2560" spans="1:21">
      <c r="A2560" s="29"/>
      <c r="B2560" s="29"/>
      <c r="C2560" s="29"/>
      <c r="D2560" s="29"/>
      <c r="E2560" s="29"/>
      <c r="F2560" s="29"/>
      <c r="G2560" s="29"/>
      <c r="H2560" s="29"/>
      <c r="J2560" s="29"/>
      <c r="K2560" s="29"/>
      <c r="L2560" s="19"/>
      <c r="M2560" s="19"/>
      <c r="N2560" s="30"/>
      <c r="O2560" s="30"/>
      <c r="P2560" s="32"/>
      <c r="Q2560" s="32"/>
      <c r="R2560" s="32"/>
      <c r="S2560" s="32"/>
      <c r="T2560" s="32"/>
      <c r="U2560" s="30"/>
    </row>
    <row r="2561" spans="1:21">
      <c r="A2561" s="29"/>
      <c r="B2561" s="29"/>
      <c r="C2561" s="29"/>
      <c r="D2561" s="29"/>
      <c r="E2561" s="29"/>
      <c r="F2561" s="29"/>
      <c r="G2561" s="29"/>
      <c r="H2561" s="29"/>
      <c r="J2561" s="29"/>
      <c r="K2561" s="29"/>
      <c r="L2561" s="19"/>
      <c r="M2561" s="19"/>
      <c r="N2561" s="30"/>
      <c r="O2561" s="30"/>
      <c r="P2561" s="32"/>
      <c r="Q2561" s="32"/>
      <c r="R2561" s="32"/>
      <c r="S2561" s="32"/>
      <c r="T2561" s="32"/>
      <c r="U2561" s="30"/>
    </row>
    <row r="2562" spans="1:21">
      <c r="A2562" s="29"/>
      <c r="B2562" s="29"/>
      <c r="C2562" s="29"/>
      <c r="D2562" s="29"/>
      <c r="E2562" s="29"/>
      <c r="F2562" s="29"/>
      <c r="G2562" s="29"/>
      <c r="H2562" s="29"/>
      <c r="J2562" s="29"/>
      <c r="K2562" s="29"/>
      <c r="L2562" s="19"/>
      <c r="M2562" s="19"/>
      <c r="N2562" s="30"/>
      <c r="O2562" s="30"/>
      <c r="P2562" s="32"/>
      <c r="Q2562" s="32"/>
      <c r="R2562" s="32"/>
      <c r="S2562" s="32"/>
      <c r="T2562" s="32"/>
      <c r="U2562" s="30"/>
    </row>
    <row r="2563" spans="1:21">
      <c r="A2563" s="29"/>
      <c r="B2563" s="29"/>
      <c r="C2563" s="29"/>
      <c r="D2563" s="29"/>
      <c r="E2563" s="29"/>
      <c r="F2563" s="29"/>
      <c r="G2563" s="29"/>
      <c r="H2563" s="29"/>
      <c r="J2563" s="29"/>
      <c r="K2563" s="29"/>
      <c r="L2563" s="19"/>
      <c r="M2563" s="19"/>
      <c r="N2563" s="30"/>
      <c r="O2563" s="30"/>
      <c r="P2563" s="32"/>
      <c r="Q2563" s="32"/>
      <c r="R2563" s="32"/>
      <c r="S2563" s="32"/>
      <c r="T2563" s="32"/>
      <c r="U2563" s="30"/>
    </row>
    <row r="2564" spans="1:21">
      <c r="A2564" s="29"/>
      <c r="B2564" s="29"/>
      <c r="C2564" s="29"/>
      <c r="D2564" s="29"/>
      <c r="E2564" s="29"/>
      <c r="F2564" s="29"/>
      <c r="G2564" s="29"/>
      <c r="H2564" s="29"/>
      <c r="J2564" s="29"/>
      <c r="K2564" s="29"/>
      <c r="L2564" s="19"/>
      <c r="M2564" s="19"/>
      <c r="N2564" s="30"/>
      <c r="O2564" s="30"/>
      <c r="P2564" s="32"/>
      <c r="Q2564" s="32"/>
      <c r="R2564" s="32"/>
      <c r="S2564" s="32"/>
      <c r="T2564" s="32"/>
      <c r="U2564" s="30"/>
    </row>
    <row r="2565" spans="1:21">
      <c r="A2565" s="29"/>
      <c r="B2565" s="29"/>
      <c r="C2565" s="29"/>
      <c r="D2565" s="29"/>
      <c r="E2565" s="29"/>
      <c r="F2565" s="29"/>
      <c r="G2565" s="29"/>
      <c r="H2565" s="29"/>
      <c r="J2565" s="29"/>
      <c r="K2565" s="29"/>
      <c r="L2565" s="19"/>
      <c r="M2565" s="19"/>
      <c r="N2565" s="30"/>
      <c r="O2565" s="30"/>
      <c r="P2565" s="32"/>
      <c r="Q2565" s="32"/>
      <c r="R2565" s="32"/>
      <c r="S2565" s="32"/>
      <c r="T2565" s="32"/>
      <c r="U2565" s="30"/>
    </row>
    <row r="2566" spans="1:21">
      <c r="A2566" s="29"/>
      <c r="B2566" s="29"/>
      <c r="C2566" s="29"/>
      <c r="D2566" s="29"/>
      <c r="E2566" s="29"/>
      <c r="F2566" s="29"/>
      <c r="G2566" s="29"/>
      <c r="H2566" s="29"/>
      <c r="J2566" s="29"/>
      <c r="K2566" s="29"/>
      <c r="L2566" s="19"/>
      <c r="M2566" s="19"/>
      <c r="N2566" s="30"/>
      <c r="O2566" s="30"/>
      <c r="P2566" s="32"/>
      <c r="Q2566" s="32"/>
      <c r="R2566" s="32"/>
      <c r="S2566" s="32"/>
      <c r="T2566" s="32"/>
      <c r="U2566" s="30"/>
    </row>
    <row r="2567" spans="1:21">
      <c r="A2567" s="29"/>
      <c r="B2567" s="29"/>
      <c r="C2567" s="29"/>
      <c r="D2567" s="29"/>
      <c r="E2567" s="29"/>
      <c r="F2567" s="29"/>
      <c r="G2567" s="29"/>
      <c r="H2567" s="29"/>
      <c r="J2567" s="29"/>
      <c r="K2567" s="29"/>
      <c r="L2567" s="19"/>
      <c r="M2567" s="19"/>
      <c r="N2567" s="30"/>
      <c r="O2567" s="30"/>
      <c r="P2567" s="32"/>
      <c r="Q2567" s="32"/>
      <c r="R2567" s="32"/>
      <c r="S2567" s="32"/>
      <c r="T2567" s="32"/>
      <c r="U2567" s="30"/>
    </row>
    <row r="2568" spans="1:21">
      <c r="A2568" s="29"/>
      <c r="B2568" s="29"/>
      <c r="C2568" s="29"/>
      <c r="D2568" s="29"/>
      <c r="E2568" s="29"/>
      <c r="F2568" s="29"/>
      <c r="G2568" s="29"/>
      <c r="H2568" s="29"/>
      <c r="J2568" s="29"/>
      <c r="K2568" s="29"/>
      <c r="L2568" s="19"/>
      <c r="M2568" s="19"/>
      <c r="N2568" s="30"/>
      <c r="O2568" s="30"/>
      <c r="P2568" s="32"/>
      <c r="Q2568" s="32"/>
      <c r="R2568" s="32"/>
      <c r="S2568" s="32"/>
      <c r="T2568" s="32"/>
      <c r="U2568" s="30"/>
    </row>
    <row r="2569" spans="1:21">
      <c r="A2569" s="29"/>
      <c r="B2569" s="29"/>
      <c r="C2569" s="29"/>
      <c r="D2569" s="29"/>
      <c r="E2569" s="29"/>
      <c r="F2569" s="29"/>
      <c r="G2569" s="29"/>
      <c r="H2569" s="29"/>
      <c r="J2569" s="29"/>
      <c r="K2569" s="29"/>
      <c r="L2569" s="19"/>
      <c r="M2569" s="19"/>
      <c r="N2569" s="30"/>
      <c r="O2569" s="30"/>
      <c r="P2569" s="32"/>
      <c r="Q2569" s="32"/>
      <c r="R2569" s="32"/>
      <c r="S2569" s="32"/>
      <c r="T2569" s="32"/>
      <c r="U2569" s="30"/>
    </row>
    <row r="2570" spans="1:21">
      <c r="A2570" s="29"/>
      <c r="B2570" s="29"/>
      <c r="C2570" s="29"/>
      <c r="D2570" s="29"/>
      <c r="E2570" s="29"/>
      <c r="F2570" s="29"/>
      <c r="G2570" s="29"/>
      <c r="H2570" s="29"/>
      <c r="J2570" s="29"/>
      <c r="K2570" s="29"/>
      <c r="L2570" s="19"/>
      <c r="M2570" s="19"/>
      <c r="N2570" s="30"/>
      <c r="O2570" s="30"/>
      <c r="P2570" s="32"/>
      <c r="Q2570" s="32"/>
      <c r="R2570" s="32"/>
      <c r="S2570" s="32"/>
      <c r="T2570" s="32"/>
      <c r="U2570" s="30"/>
    </row>
    <row r="2571" spans="1:21">
      <c r="A2571" s="29"/>
      <c r="B2571" s="29"/>
      <c r="C2571" s="29"/>
      <c r="D2571" s="29"/>
      <c r="E2571" s="29"/>
      <c r="F2571" s="29"/>
      <c r="G2571" s="29"/>
      <c r="H2571" s="29"/>
      <c r="J2571" s="29"/>
      <c r="K2571" s="29"/>
      <c r="L2571" s="19"/>
      <c r="M2571" s="19"/>
      <c r="N2571" s="30"/>
      <c r="O2571" s="30"/>
      <c r="P2571" s="32"/>
      <c r="Q2571" s="32"/>
      <c r="R2571" s="32"/>
      <c r="S2571" s="32"/>
      <c r="T2571" s="32"/>
      <c r="U2571" s="30"/>
    </row>
    <row r="2572" spans="1:21">
      <c r="A2572" s="29"/>
      <c r="B2572" s="29"/>
      <c r="C2572" s="29"/>
      <c r="D2572" s="29"/>
      <c r="E2572" s="29"/>
      <c r="F2572" s="29"/>
      <c r="G2572" s="29"/>
      <c r="H2572" s="29"/>
      <c r="J2572" s="29"/>
      <c r="K2572" s="29"/>
      <c r="L2572" s="19"/>
      <c r="M2572" s="19"/>
      <c r="N2572" s="30"/>
      <c r="O2572" s="30"/>
      <c r="P2572" s="32"/>
      <c r="Q2572" s="32"/>
      <c r="R2572" s="32"/>
      <c r="S2572" s="32"/>
      <c r="T2572" s="32"/>
      <c r="U2572" s="30"/>
    </row>
    <row r="2573" spans="1:21">
      <c r="A2573" s="29"/>
      <c r="B2573" s="29"/>
      <c r="C2573" s="29"/>
      <c r="D2573" s="29"/>
      <c r="E2573" s="29"/>
      <c r="F2573" s="29"/>
      <c r="G2573" s="29"/>
      <c r="H2573" s="29"/>
      <c r="J2573" s="29"/>
      <c r="K2573" s="29"/>
      <c r="L2573" s="19"/>
      <c r="M2573" s="19"/>
      <c r="N2573" s="30"/>
      <c r="O2573" s="30"/>
      <c r="P2573" s="32"/>
      <c r="Q2573" s="32"/>
      <c r="R2573" s="32"/>
      <c r="S2573" s="32"/>
      <c r="T2573" s="32"/>
      <c r="U2573" s="30"/>
    </row>
    <row r="2574" spans="1:21">
      <c r="A2574" s="29"/>
      <c r="B2574" s="29"/>
      <c r="C2574" s="29"/>
      <c r="D2574" s="29"/>
      <c r="E2574" s="29"/>
      <c r="F2574" s="29"/>
      <c r="G2574" s="29"/>
      <c r="H2574" s="29"/>
      <c r="J2574" s="29"/>
      <c r="K2574" s="29"/>
      <c r="L2574" s="19"/>
      <c r="M2574" s="19"/>
      <c r="N2574" s="30"/>
      <c r="O2574" s="30"/>
      <c r="P2574" s="32"/>
      <c r="Q2574" s="32"/>
      <c r="R2574" s="32"/>
      <c r="S2574" s="32"/>
      <c r="T2574" s="32"/>
      <c r="U2574" s="30"/>
    </row>
    <row r="2575" spans="1:21">
      <c r="A2575" s="29"/>
      <c r="B2575" s="29"/>
      <c r="C2575" s="29"/>
      <c r="D2575" s="29"/>
      <c r="E2575" s="29"/>
      <c r="F2575" s="29"/>
      <c r="G2575" s="29"/>
      <c r="H2575" s="29"/>
      <c r="J2575" s="29"/>
      <c r="K2575" s="29"/>
      <c r="L2575" s="19"/>
      <c r="M2575" s="19"/>
      <c r="N2575" s="30"/>
      <c r="O2575" s="30"/>
      <c r="P2575" s="32"/>
      <c r="Q2575" s="32"/>
      <c r="R2575" s="32"/>
      <c r="S2575" s="32"/>
      <c r="T2575" s="32"/>
      <c r="U2575" s="30"/>
    </row>
    <row r="2576" spans="1:21">
      <c r="A2576" s="29"/>
      <c r="B2576" s="29"/>
      <c r="C2576" s="29"/>
      <c r="D2576" s="29"/>
      <c r="E2576" s="29"/>
      <c r="F2576" s="29"/>
      <c r="G2576" s="29"/>
      <c r="H2576" s="29"/>
      <c r="J2576" s="29"/>
      <c r="K2576" s="29"/>
      <c r="L2576" s="19"/>
      <c r="M2576" s="19"/>
      <c r="N2576" s="30"/>
      <c r="O2576" s="30"/>
      <c r="P2576" s="32"/>
      <c r="Q2576" s="32"/>
      <c r="R2576" s="32"/>
      <c r="S2576" s="32"/>
      <c r="T2576" s="32"/>
      <c r="U2576" s="30"/>
    </row>
    <row r="2577" spans="1:21">
      <c r="A2577" s="29"/>
      <c r="B2577" s="29"/>
      <c r="C2577" s="29"/>
      <c r="D2577" s="29"/>
      <c r="E2577" s="29"/>
      <c r="F2577" s="29"/>
      <c r="G2577" s="29"/>
      <c r="H2577" s="29"/>
      <c r="J2577" s="29"/>
      <c r="K2577" s="29"/>
      <c r="L2577" s="19"/>
      <c r="M2577" s="19"/>
      <c r="N2577" s="30"/>
      <c r="O2577" s="30"/>
      <c r="P2577" s="32"/>
      <c r="Q2577" s="32"/>
      <c r="R2577" s="32"/>
      <c r="S2577" s="32"/>
      <c r="T2577" s="32"/>
      <c r="U2577" s="30"/>
    </row>
    <row r="2578" spans="1:21">
      <c r="A2578" s="29"/>
      <c r="B2578" s="29"/>
      <c r="C2578" s="29"/>
      <c r="D2578" s="29"/>
      <c r="E2578" s="29"/>
      <c r="F2578" s="29"/>
      <c r="G2578" s="29"/>
      <c r="H2578" s="29"/>
      <c r="J2578" s="29"/>
      <c r="K2578" s="29"/>
      <c r="L2578" s="19"/>
      <c r="M2578" s="19"/>
      <c r="N2578" s="30"/>
      <c r="O2578" s="30"/>
      <c r="P2578" s="32"/>
      <c r="Q2578" s="32"/>
      <c r="R2578" s="32"/>
      <c r="S2578" s="32"/>
      <c r="T2578" s="32"/>
      <c r="U2578" s="30"/>
    </row>
    <row r="2579" spans="1:21">
      <c r="A2579" s="29"/>
      <c r="B2579" s="29"/>
      <c r="C2579" s="29"/>
      <c r="D2579" s="29"/>
      <c r="E2579" s="29"/>
      <c r="F2579" s="29"/>
      <c r="G2579" s="29"/>
      <c r="H2579" s="29"/>
      <c r="J2579" s="29"/>
      <c r="K2579" s="29"/>
      <c r="L2579" s="19"/>
      <c r="M2579" s="19"/>
      <c r="N2579" s="30"/>
      <c r="O2579" s="30"/>
      <c r="P2579" s="32"/>
      <c r="Q2579" s="32"/>
      <c r="R2579" s="32"/>
      <c r="S2579" s="32"/>
      <c r="T2579" s="32"/>
      <c r="U2579" s="30"/>
    </row>
    <row r="2580" spans="1:21">
      <c r="A2580" s="29"/>
      <c r="B2580" s="29"/>
      <c r="C2580" s="29"/>
      <c r="D2580" s="29"/>
      <c r="E2580" s="29"/>
      <c r="F2580" s="29"/>
      <c r="G2580" s="29"/>
      <c r="H2580" s="29"/>
      <c r="J2580" s="29"/>
      <c r="K2580" s="29"/>
      <c r="L2580" s="19"/>
      <c r="M2580" s="19"/>
      <c r="N2580" s="30"/>
      <c r="O2580" s="30"/>
      <c r="P2580" s="32"/>
      <c r="Q2580" s="32"/>
      <c r="R2580" s="32"/>
      <c r="S2580" s="32"/>
      <c r="T2580" s="32"/>
      <c r="U2580" s="30"/>
    </row>
    <row r="2581" spans="1:21">
      <c r="A2581" s="29"/>
      <c r="B2581" s="29"/>
      <c r="C2581" s="29"/>
      <c r="D2581" s="29"/>
      <c r="E2581" s="29"/>
      <c r="F2581" s="29"/>
      <c r="G2581" s="29"/>
      <c r="H2581" s="29"/>
      <c r="J2581" s="29"/>
      <c r="K2581" s="29"/>
      <c r="L2581" s="19"/>
      <c r="M2581" s="19"/>
      <c r="N2581" s="30"/>
      <c r="O2581" s="30"/>
      <c r="P2581" s="32"/>
      <c r="Q2581" s="32"/>
      <c r="R2581" s="32"/>
      <c r="S2581" s="32"/>
      <c r="T2581" s="32"/>
      <c r="U2581" s="30"/>
    </row>
    <row r="2582" spans="1:21">
      <c r="A2582" s="29"/>
      <c r="B2582" s="29"/>
      <c r="C2582" s="29"/>
      <c r="D2582" s="29"/>
      <c r="E2582" s="29"/>
      <c r="F2582" s="29"/>
      <c r="G2582" s="29"/>
      <c r="H2582" s="29"/>
      <c r="J2582" s="29"/>
      <c r="K2582" s="29"/>
      <c r="L2582" s="19"/>
      <c r="M2582" s="19"/>
      <c r="N2582" s="30"/>
      <c r="O2582" s="30"/>
      <c r="P2582" s="32"/>
      <c r="Q2582" s="32"/>
      <c r="R2582" s="32"/>
      <c r="S2582" s="32"/>
      <c r="T2582" s="32"/>
      <c r="U2582" s="30"/>
    </row>
    <row r="2583" spans="1:21">
      <c r="A2583" s="29"/>
      <c r="B2583" s="29"/>
      <c r="C2583" s="29"/>
      <c r="D2583" s="29"/>
      <c r="E2583" s="29"/>
      <c r="F2583" s="29"/>
      <c r="G2583" s="29"/>
      <c r="H2583" s="29"/>
      <c r="J2583" s="29"/>
      <c r="K2583" s="29"/>
      <c r="L2583" s="19"/>
      <c r="M2583" s="19"/>
      <c r="N2583" s="30"/>
      <c r="O2583" s="30"/>
      <c r="P2583" s="32"/>
      <c r="Q2583" s="32"/>
      <c r="R2583" s="32"/>
      <c r="S2583" s="32"/>
      <c r="T2583" s="32"/>
      <c r="U2583" s="30"/>
    </row>
    <row r="2584" spans="1:21">
      <c r="A2584" s="29"/>
      <c r="B2584" s="29"/>
      <c r="C2584" s="29"/>
      <c r="D2584" s="29"/>
      <c r="E2584" s="29"/>
      <c r="F2584" s="29"/>
      <c r="G2584" s="29"/>
      <c r="H2584" s="29"/>
      <c r="J2584" s="29"/>
      <c r="K2584" s="29"/>
      <c r="L2584" s="19"/>
      <c r="M2584" s="19"/>
      <c r="N2584" s="30"/>
      <c r="O2584" s="30"/>
      <c r="P2584" s="32"/>
      <c r="Q2584" s="32"/>
      <c r="R2584" s="32"/>
      <c r="S2584" s="32"/>
      <c r="T2584" s="32"/>
      <c r="U2584" s="30"/>
    </row>
    <row r="2585" spans="1:21">
      <c r="A2585" s="29"/>
      <c r="B2585" s="29"/>
      <c r="C2585" s="29"/>
      <c r="D2585" s="29"/>
      <c r="E2585" s="29"/>
      <c r="F2585" s="29"/>
      <c r="G2585" s="29"/>
      <c r="H2585" s="29"/>
      <c r="J2585" s="29"/>
      <c r="K2585" s="29"/>
      <c r="L2585" s="19"/>
      <c r="M2585" s="19"/>
      <c r="N2585" s="30"/>
      <c r="O2585" s="30"/>
      <c r="P2585" s="32"/>
      <c r="Q2585" s="32"/>
      <c r="R2585" s="32"/>
      <c r="S2585" s="32"/>
      <c r="T2585" s="32"/>
      <c r="U2585" s="30"/>
    </row>
    <row r="2586" spans="1:21">
      <c r="A2586" s="29"/>
      <c r="B2586" s="29"/>
      <c r="C2586" s="29"/>
      <c r="D2586" s="29"/>
      <c r="E2586" s="29"/>
      <c r="F2586" s="29"/>
      <c r="G2586" s="29"/>
      <c r="H2586" s="29"/>
      <c r="J2586" s="29"/>
      <c r="K2586" s="29"/>
      <c r="L2586" s="19"/>
      <c r="M2586" s="19"/>
      <c r="N2586" s="30"/>
      <c r="O2586" s="30"/>
      <c r="P2586" s="32"/>
      <c r="Q2586" s="32"/>
      <c r="R2586" s="32"/>
      <c r="S2586" s="32"/>
      <c r="T2586" s="32"/>
      <c r="U2586" s="30"/>
    </row>
    <row r="2587" spans="1:21">
      <c r="A2587" s="29"/>
      <c r="B2587" s="29"/>
      <c r="C2587" s="29"/>
      <c r="D2587" s="29"/>
      <c r="E2587" s="29"/>
      <c r="F2587" s="29"/>
      <c r="G2587" s="29"/>
      <c r="H2587" s="29"/>
      <c r="J2587" s="29"/>
      <c r="K2587" s="29"/>
      <c r="L2587" s="19"/>
      <c r="M2587" s="19"/>
      <c r="N2587" s="30"/>
      <c r="O2587" s="30"/>
      <c r="P2587" s="32"/>
      <c r="Q2587" s="32"/>
      <c r="R2587" s="32"/>
      <c r="S2587" s="32"/>
      <c r="T2587" s="32"/>
      <c r="U2587" s="30"/>
    </row>
    <row r="2588" spans="1:21">
      <c r="A2588" s="29"/>
      <c r="B2588" s="29"/>
      <c r="C2588" s="29"/>
      <c r="D2588" s="29"/>
      <c r="E2588" s="29"/>
      <c r="F2588" s="29"/>
      <c r="G2588" s="29"/>
      <c r="H2588" s="29"/>
      <c r="J2588" s="29"/>
      <c r="K2588" s="29"/>
      <c r="L2588" s="19"/>
      <c r="M2588" s="19"/>
      <c r="N2588" s="30"/>
      <c r="O2588" s="30"/>
      <c r="P2588" s="32"/>
      <c r="Q2588" s="32"/>
      <c r="R2588" s="32"/>
      <c r="S2588" s="32"/>
      <c r="T2588" s="32"/>
      <c r="U2588" s="30"/>
    </row>
    <row r="2589" spans="1:21">
      <c r="A2589" s="29"/>
      <c r="B2589" s="29"/>
      <c r="C2589" s="29"/>
      <c r="D2589" s="29"/>
      <c r="E2589" s="29"/>
      <c r="F2589" s="29"/>
      <c r="G2589" s="29"/>
      <c r="H2589" s="29"/>
      <c r="J2589" s="29"/>
      <c r="K2589" s="29"/>
      <c r="L2589" s="19"/>
      <c r="M2589" s="19"/>
      <c r="N2589" s="30"/>
      <c r="O2589" s="30"/>
      <c r="P2589" s="32"/>
      <c r="Q2589" s="32"/>
      <c r="R2589" s="32"/>
      <c r="S2589" s="32"/>
      <c r="T2589" s="32"/>
      <c r="U2589" s="30"/>
    </row>
    <row r="2590" spans="1:21">
      <c r="A2590" s="29"/>
      <c r="B2590" s="29"/>
      <c r="C2590" s="29"/>
      <c r="D2590" s="29"/>
      <c r="E2590" s="29"/>
      <c r="F2590" s="29"/>
      <c r="G2590" s="29"/>
      <c r="H2590" s="29"/>
      <c r="J2590" s="29"/>
      <c r="K2590" s="29"/>
      <c r="L2590" s="19"/>
      <c r="M2590" s="19"/>
      <c r="N2590" s="30"/>
      <c r="O2590" s="30"/>
      <c r="P2590" s="32"/>
      <c r="Q2590" s="32"/>
      <c r="R2590" s="32"/>
      <c r="S2590" s="32"/>
      <c r="T2590" s="32"/>
      <c r="U2590" s="30"/>
    </row>
    <row r="2591" spans="1:21">
      <c r="A2591" s="29"/>
      <c r="B2591" s="29"/>
      <c r="C2591" s="29"/>
      <c r="D2591" s="29"/>
      <c r="E2591" s="29"/>
      <c r="F2591" s="29"/>
      <c r="G2591" s="29"/>
      <c r="H2591" s="29"/>
      <c r="J2591" s="29"/>
      <c r="K2591" s="29"/>
      <c r="L2591" s="19"/>
      <c r="M2591" s="19"/>
      <c r="N2591" s="30"/>
      <c r="O2591" s="30"/>
      <c r="P2591" s="32"/>
      <c r="Q2591" s="32"/>
      <c r="R2591" s="32"/>
      <c r="S2591" s="32"/>
      <c r="T2591" s="32"/>
      <c r="U2591" s="30"/>
    </row>
    <row r="2592" spans="1:21">
      <c r="A2592" s="29"/>
      <c r="B2592" s="29"/>
      <c r="C2592" s="29"/>
      <c r="D2592" s="29"/>
      <c r="E2592" s="29"/>
      <c r="F2592" s="29"/>
      <c r="G2592" s="29"/>
      <c r="H2592" s="29"/>
      <c r="J2592" s="29"/>
      <c r="K2592" s="29"/>
      <c r="L2592" s="19"/>
      <c r="M2592" s="19"/>
      <c r="N2592" s="30"/>
      <c r="O2592" s="30"/>
      <c r="P2592" s="32"/>
      <c r="Q2592" s="32"/>
      <c r="R2592" s="32"/>
      <c r="S2592" s="32"/>
      <c r="T2592" s="32"/>
      <c r="U2592" s="30"/>
    </row>
    <row r="2593" spans="1:21">
      <c r="A2593" s="29"/>
      <c r="B2593" s="29"/>
      <c r="C2593" s="29"/>
      <c r="D2593" s="29"/>
      <c r="E2593" s="29"/>
      <c r="F2593" s="29"/>
      <c r="G2593" s="29"/>
      <c r="H2593" s="29"/>
      <c r="J2593" s="29"/>
      <c r="K2593" s="29"/>
      <c r="L2593" s="19"/>
      <c r="M2593" s="19"/>
      <c r="N2593" s="30"/>
      <c r="O2593" s="30"/>
      <c r="P2593" s="32"/>
      <c r="Q2593" s="32"/>
      <c r="R2593" s="32"/>
      <c r="S2593" s="32"/>
      <c r="T2593" s="32"/>
      <c r="U2593" s="30"/>
    </row>
    <row r="2594" spans="1:21">
      <c r="A2594" s="29"/>
      <c r="B2594" s="29"/>
      <c r="C2594" s="29"/>
      <c r="D2594" s="29"/>
      <c r="E2594" s="29"/>
      <c r="F2594" s="29"/>
      <c r="G2594" s="29"/>
      <c r="H2594" s="29"/>
      <c r="J2594" s="29"/>
      <c r="K2594" s="29"/>
      <c r="L2594" s="19"/>
      <c r="M2594" s="19"/>
      <c r="N2594" s="30"/>
      <c r="O2594" s="30"/>
      <c r="P2594" s="32"/>
      <c r="Q2594" s="32"/>
      <c r="R2594" s="32"/>
      <c r="S2594" s="32"/>
      <c r="T2594" s="32"/>
      <c r="U2594" s="30"/>
    </row>
    <row r="2595" spans="1:21">
      <c r="A2595" s="29"/>
      <c r="B2595" s="29"/>
      <c r="C2595" s="29"/>
      <c r="D2595" s="29"/>
      <c r="E2595" s="29"/>
      <c r="F2595" s="29"/>
      <c r="G2595" s="29"/>
      <c r="H2595" s="29"/>
      <c r="J2595" s="29"/>
      <c r="K2595" s="29"/>
      <c r="L2595" s="19"/>
      <c r="M2595" s="19"/>
      <c r="N2595" s="30"/>
      <c r="O2595" s="30"/>
      <c r="P2595" s="32"/>
      <c r="Q2595" s="32"/>
      <c r="R2595" s="32"/>
      <c r="S2595" s="32"/>
      <c r="T2595" s="32"/>
      <c r="U2595" s="30"/>
    </row>
    <row r="2596" spans="1:21">
      <c r="A2596" s="29"/>
      <c r="B2596" s="29"/>
      <c r="C2596" s="29"/>
      <c r="D2596" s="29"/>
      <c r="E2596" s="29"/>
      <c r="F2596" s="29"/>
      <c r="G2596" s="29"/>
      <c r="H2596" s="29"/>
      <c r="J2596" s="29"/>
      <c r="K2596" s="29"/>
      <c r="L2596" s="19"/>
      <c r="M2596" s="19"/>
      <c r="N2596" s="30"/>
      <c r="O2596" s="30"/>
      <c r="P2596" s="32"/>
      <c r="Q2596" s="32"/>
      <c r="R2596" s="32"/>
      <c r="S2596" s="32"/>
      <c r="T2596" s="32"/>
      <c r="U2596" s="30"/>
    </row>
    <row r="2597" spans="1:21">
      <c r="A2597" s="29"/>
      <c r="B2597" s="29"/>
      <c r="C2597" s="29"/>
      <c r="D2597" s="29"/>
      <c r="E2597" s="29"/>
      <c r="F2597" s="29"/>
      <c r="G2597" s="29"/>
      <c r="H2597" s="29"/>
      <c r="J2597" s="29"/>
      <c r="K2597" s="29"/>
      <c r="L2597" s="19"/>
      <c r="M2597" s="19"/>
      <c r="N2597" s="30"/>
      <c r="O2597" s="30"/>
      <c r="P2597" s="32"/>
      <c r="Q2597" s="32"/>
      <c r="R2597" s="32"/>
      <c r="S2597" s="32"/>
      <c r="T2597" s="32"/>
      <c r="U2597" s="30"/>
    </row>
    <row r="2598" spans="1:21">
      <c r="A2598" s="29"/>
      <c r="B2598" s="29"/>
      <c r="C2598" s="29"/>
      <c r="D2598" s="29"/>
      <c r="E2598" s="29"/>
      <c r="F2598" s="29"/>
      <c r="G2598" s="29"/>
      <c r="H2598" s="29"/>
      <c r="J2598" s="29"/>
      <c r="K2598" s="29"/>
      <c r="L2598" s="19"/>
      <c r="M2598" s="19"/>
      <c r="N2598" s="30"/>
      <c r="O2598" s="30"/>
      <c r="P2598" s="32"/>
      <c r="Q2598" s="32"/>
      <c r="R2598" s="32"/>
      <c r="S2598" s="32"/>
      <c r="T2598" s="32"/>
      <c r="U2598" s="30"/>
    </row>
    <row r="2599" spans="1:21">
      <c r="A2599" s="29"/>
      <c r="B2599" s="29"/>
      <c r="C2599" s="29"/>
      <c r="D2599" s="29"/>
      <c r="E2599" s="29"/>
      <c r="F2599" s="29"/>
      <c r="G2599" s="29"/>
      <c r="H2599" s="29"/>
      <c r="J2599" s="29"/>
      <c r="K2599" s="29"/>
      <c r="L2599" s="19"/>
      <c r="M2599" s="19"/>
      <c r="N2599" s="30"/>
      <c r="O2599" s="30"/>
      <c r="P2599" s="32"/>
      <c r="Q2599" s="32"/>
      <c r="R2599" s="32"/>
      <c r="S2599" s="32"/>
      <c r="T2599" s="32"/>
      <c r="U2599" s="30"/>
    </row>
    <row r="2600" spans="1:21">
      <c r="A2600" s="29"/>
      <c r="B2600" s="29"/>
      <c r="C2600" s="29"/>
      <c r="D2600" s="29"/>
      <c r="E2600" s="29"/>
      <c r="F2600" s="29"/>
      <c r="G2600" s="29"/>
      <c r="H2600" s="29"/>
      <c r="J2600" s="29"/>
      <c r="K2600" s="29"/>
      <c r="L2600" s="19"/>
      <c r="M2600" s="19"/>
      <c r="N2600" s="30"/>
      <c r="O2600" s="30"/>
      <c r="P2600" s="32"/>
      <c r="Q2600" s="32"/>
      <c r="R2600" s="32"/>
      <c r="S2600" s="32"/>
      <c r="T2600" s="32"/>
      <c r="U2600" s="30"/>
    </row>
    <row r="2601" spans="1:21">
      <c r="A2601" s="29"/>
      <c r="B2601" s="29"/>
      <c r="C2601" s="29"/>
      <c r="D2601" s="29"/>
      <c r="E2601" s="29"/>
      <c r="F2601" s="29"/>
      <c r="G2601" s="29"/>
      <c r="H2601" s="29"/>
      <c r="J2601" s="29"/>
      <c r="K2601" s="29"/>
      <c r="L2601" s="19"/>
      <c r="M2601" s="19"/>
      <c r="N2601" s="30"/>
      <c r="O2601" s="30"/>
      <c r="P2601" s="32"/>
      <c r="Q2601" s="32"/>
      <c r="R2601" s="32"/>
      <c r="S2601" s="32"/>
      <c r="T2601" s="32"/>
      <c r="U2601" s="30"/>
    </row>
    <row r="2602" spans="1:21">
      <c r="A2602" s="29"/>
      <c r="B2602" s="29"/>
      <c r="C2602" s="29"/>
      <c r="D2602" s="29"/>
      <c r="E2602" s="29"/>
      <c r="F2602" s="29"/>
      <c r="G2602" s="29"/>
      <c r="H2602" s="29"/>
      <c r="J2602" s="29"/>
      <c r="K2602" s="29"/>
      <c r="L2602" s="19"/>
      <c r="M2602" s="19"/>
      <c r="N2602" s="30"/>
      <c r="O2602" s="30"/>
      <c r="P2602" s="32"/>
      <c r="Q2602" s="32"/>
      <c r="R2602" s="32"/>
      <c r="S2602" s="32"/>
      <c r="T2602" s="32"/>
      <c r="U2602" s="30"/>
    </row>
    <row r="2603" spans="1:21">
      <c r="A2603" s="29"/>
      <c r="B2603" s="29"/>
      <c r="C2603" s="29"/>
      <c r="D2603" s="29"/>
      <c r="E2603" s="29"/>
      <c r="F2603" s="29"/>
      <c r="G2603" s="29"/>
      <c r="H2603" s="29"/>
      <c r="J2603" s="29"/>
      <c r="K2603" s="29"/>
      <c r="L2603" s="19"/>
      <c r="M2603" s="19"/>
      <c r="N2603" s="30"/>
      <c r="O2603" s="30"/>
      <c r="P2603" s="32"/>
      <c r="Q2603" s="32"/>
      <c r="R2603" s="32"/>
      <c r="S2603" s="32"/>
      <c r="T2603" s="32"/>
      <c r="U2603" s="30"/>
    </row>
    <row r="2604" spans="1:21">
      <c r="A2604" s="29"/>
      <c r="B2604" s="29"/>
      <c r="C2604" s="29"/>
      <c r="D2604" s="29"/>
      <c r="E2604" s="29"/>
      <c r="F2604" s="29"/>
      <c r="G2604" s="29"/>
      <c r="H2604" s="29"/>
      <c r="J2604" s="29"/>
      <c r="K2604" s="29"/>
      <c r="L2604" s="19"/>
      <c r="M2604" s="19"/>
      <c r="N2604" s="30"/>
      <c r="O2604" s="30"/>
      <c r="P2604" s="32"/>
      <c r="Q2604" s="32"/>
      <c r="R2604" s="32"/>
      <c r="S2604" s="32"/>
      <c r="T2604" s="32"/>
      <c r="U2604" s="30"/>
    </row>
    <row r="2605" spans="1:21">
      <c r="A2605" s="29"/>
      <c r="B2605" s="29"/>
      <c r="C2605" s="29"/>
      <c r="D2605" s="29"/>
      <c r="E2605" s="29"/>
      <c r="F2605" s="29"/>
      <c r="G2605" s="29"/>
      <c r="H2605" s="29"/>
      <c r="J2605" s="29"/>
      <c r="K2605" s="29"/>
      <c r="L2605" s="19"/>
      <c r="M2605" s="19"/>
      <c r="N2605" s="30"/>
      <c r="O2605" s="30"/>
      <c r="P2605" s="32"/>
      <c r="Q2605" s="32"/>
      <c r="R2605" s="32"/>
      <c r="S2605" s="32"/>
      <c r="T2605" s="32"/>
      <c r="U2605" s="30"/>
    </row>
    <row r="2606" spans="1:21">
      <c r="A2606" s="29"/>
      <c r="B2606" s="29"/>
      <c r="C2606" s="29"/>
      <c r="D2606" s="29"/>
      <c r="E2606" s="29"/>
      <c r="F2606" s="29"/>
      <c r="G2606" s="29"/>
      <c r="H2606" s="29"/>
      <c r="J2606" s="29"/>
      <c r="K2606" s="29"/>
      <c r="L2606" s="19"/>
      <c r="M2606" s="19"/>
      <c r="N2606" s="30"/>
      <c r="O2606" s="30"/>
      <c r="P2606" s="32"/>
      <c r="Q2606" s="32"/>
      <c r="R2606" s="32"/>
      <c r="S2606" s="32"/>
      <c r="T2606" s="32"/>
      <c r="U2606" s="30"/>
    </row>
    <row r="2607" spans="1:21">
      <c r="A2607" s="29"/>
      <c r="B2607" s="29"/>
      <c r="C2607" s="29"/>
      <c r="D2607" s="29"/>
      <c r="E2607" s="29"/>
      <c r="F2607" s="29"/>
      <c r="G2607" s="29"/>
      <c r="H2607" s="29"/>
      <c r="J2607" s="29"/>
      <c r="K2607" s="29"/>
      <c r="L2607" s="19"/>
      <c r="M2607" s="19"/>
      <c r="N2607" s="30"/>
      <c r="O2607" s="30"/>
      <c r="P2607" s="32"/>
      <c r="Q2607" s="32"/>
      <c r="R2607" s="32"/>
      <c r="S2607" s="32"/>
      <c r="T2607" s="32"/>
      <c r="U2607" s="30"/>
    </row>
    <row r="2608" spans="1:21">
      <c r="A2608" s="29"/>
      <c r="B2608" s="29"/>
      <c r="C2608" s="29"/>
      <c r="D2608" s="29"/>
      <c r="E2608" s="29"/>
      <c r="F2608" s="29"/>
      <c r="G2608" s="29"/>
      <c r="H2608" s="29"/>
      <c r="J2608" s="29"/>
      <c r="K2608" s="29"/>
      <c r="L2608" s="19"/>
      <c r="M2608" s="19"/>
      <c r="N2608" s="30"/>
      <c r="O2608" s="30"/>
      <c r="P2608" s="32"/>
      <c r="Q2608" s="32"/>
      <c r="R2608" s="32"/>
      <c r="S2608" s="32"/>
      <c r="T2608" s="32"/>
      <c r="U2608" s="30"/>
    </row>
    <row r="2609" spans="1:21">
      <c r="A2609" s="29"/>
      <c r="B2609" s="29"/>
      <c r="C2609" s="29"/>
      <c r="D2609" s="29"/>
      <c r="E2609" s="29"/>
      <c r="F2609" s="29"/>
      <c r="G2609" s="29"/>
      <c r="H2609" s="29"/>
      <c r="J2609" s="29"/>
      <c r="K2609" s="29"/>
      <c r="L2609" s="19"/>
      <c r="M2609" s="19"/>
      <c r="N2609" s="30"/>
      <c r="O2609" s="30"/>
      <c r="P2609" s="32"/>
      <c r="Q2609" s="32"/>
      <c r="R2609" s="32"/>
      <c r="S2609" s="32"/>
      <c r="T2609" s="32"/>
      <c r="U2609" s="30"/>
    </row>
    <row r="2610" spans="1:21">
      <c r="A2610" s="29"/>
      <c r="B2610" s="29"/>
      <c r="C2610" s="29"/>
      <c r="D2610" s="29"/>
      <c r="E2610" s="29"/>
      <c r="F2610" s="29"/>
      <c r="G2610" s="29"/>
      <c r="H2610" s="29"/>
      <c r="J2610" s="29"/>
      <c r="K2610" s="29"/>
      <c r="L2610" s="19"/>
      <c r="M2610" s="19"/>
      <c r="N2610" s="30"/>
      <c r="O2610" s="30"/>
      <c r="P2610" s="32"/>
      <c r="Q2610" s="32"/>
      <c r="R2610" s="32"/>
      <c r="S2610" s="32"/>
      <c r="T2610" s="32"/>
      <c r="U2610" s="30"/>
    </row>
    <row r="2611" spans="1:21">
      <c r="A2611" s="29"/>
      <c r="B2611" s="29"/>
      <c r="C2611" s="29"/>
      <c r="D2611" s="29"/>
      <c r="E2611" s="29"/>
      <c r="F2611" s="29"/>
      <c r="G2611" s="29"/>
      <c r="H2611" s="29"/>
      <c r="J2611" s="29"/>
      <c r="K2611" s="29"/>
      <c r="L2611" s="19"/>
      <c r="M2611" s="19"/>
      <c r="N2611" s="30"/>
      <c r="O2611" s="30"/>
      <c r="P2611" s="32"/>
      <c r="Q2611" s="32"/>
      <c r="R2611" s="32"/>
      <c r="S2611" s="32"/>
      <c r="T2611" s="32"/>
      <c r="U2611" s="30"/>
    </row>
    <row r="2612" spans="1:21">
      <c r="A2612" s="29"/>
      <c r="B2612" s="29"/>
      <c r="C2612" s="29"/>
      <c r="D2612" s="29"/>
      <c r="E2612" s="29"/>
      <c r="F2612" s="29"/>
      <c r="G2612" s="29"/>
      <c r="H2612" s="29"/>
      <c r="J2612" s="29"/>
      <c r="K2612" s="29"/>
      <c r="L2612" s="19"/>
      <c r="M2612" s="19"/>
      <c r="N2612" s="30"/>
      <c r="O2612" s="30"/>
      <c r="P2612" s="32"/>
      <c r="Q2612" s="32"/>
      <c r="R2612" s="32"/>
      <c r="S2612" s="32"/>
      <c r="T2612" s="32"/>
      <c r="U2612" s="30"/>
    </row>
    <row r="2613" spans="1:21">
      <c r="A2613" s="29"/>
      <c r="B2613" s="29"/>
      <c r="C2613" s="29"/>
      <c r="D2613" s="29"/>
      <c r="E2613" s="29"/>
      <c r="F2613" s="29"/>
      <c r="G2613" s="29"/>
      <c r="H2613" s="29"/>
      <c r="J2613" s="29"/>
      <c r="K2613" s="29"/>
      <c r="L2613" s="19"/>
      <c r="M2613" s="19"/>
      <c r="N2613" s="30"/>
      <c r="O2613" s="30"/>
      <c r="P2613" s="32"/>
      <c r="Q2613" s="32"/>
      <c r="R2613" s="32"/>
      <c r="S2613" s="32"/>
      <c r="T2613" s="32"/>
      <c r="U2613" s="30"/>
    </row>
    <row r="2614" spans="1:21">
      <c r="A2614" s="29"/>
      <c r="B2614" s="29"/>
      <c r="C2614" s="29"/>
      <c r="D2614" s="29"/>
      <c r="E2614" s="29"/>
      <c r="F2614" s="29"/>
      <c r="G2614" s="29"/>
      <c r="H2614" s="29"/>
      <c r="J2614" s="29"/>
      <c r="K2614" s="29"/>
      <c r="L2614" s="19"/>
      <c r="M2614" s="19"/>
      <c r="N2614" s="30"/>
      <c r="O2614" s="30"/>
      <c r="P2614" s="32"/>
      <c r="Q2614" s="32"/>
      <c r="R2614" s="32"/>
      <c r="S2614" s="32"/>
      <c r="T2614" s="32"/>
      <c r="U2614" s="30"/>
    </row>
    <row r="2615" spans="1:21">
      <c r="A2615" s="29"/>
      <c r="B2615" s="29"/>
      <c r="C2615" s="29"/>
      <c r="D2615" s="29"/>
      <c r="E2615" s="29"/>
      <c r="F2615" s="29"/>
      <c r="G2615" s="29"/>
      <c r="H2615" s="29"/>
      <c r="J2615" s="29"/>
      <c r="K2615" s="29"/>
      <c r="L2615" s="19"/>
      <c r="M2615" s="19"/>
      <c r="N2615" s="30"/>
      <c r="O2615" s="30"/>
      <c r="P2615" s="32"/>
      <c r="Q2615" s="32"/>
      <c r="R2615" s="32"/>
      <c r="S2615" s="32"/>
      <c r="T2615" s="32"/>
      <c r="U2615" s="30"/>
    </row>
    <row r="2616" spans="1:21">
      <c r="A2616" s="29"/>
      <c r="B2616" s="29"/>
      <c r="C2616" s="29"/>
      <c r="D2616" s="29"/>
      <c r="E2616" s="29"/>
      <c r="F2616" s="29"/>
      <c r="G2616" s="29"/>
      <c r="H2616" s="29"/>
      <c r="J2616" s="29"/>
      <c r="K2616" s="29"/>
      <c r="L2616" s="19"/>
      <c r="M2616" s="19"/>
      <c r="N2616" s="30"/>
      <c r="O2616" s="30"/>
      <c r="P2616" s="32"/>
      <c r="Q2616" s="32"/>
      <c r="R2616" s="32"/>
      <c r="S2616" s="32"/>
      <c r="T2616" s="32"/>
      <c r="U2616" s="30"/>
    </row>
    <row r="2617" spans="1:21">
      <c r="A2617" s="29"/>
      <c r="B2617" s="29"/>
      <c r="C2617" s="29"/>
      <c r="D2617" s="29"/>
      <c r="E2617" s="29"/>
      <c r="F2617" s="29"/>
      <c r="G2617" s="29"/>
      <c r="H2617" s="29"/>
      <c r="J2617" s="29"/>
      <c r="K2617" s="29"/>
      <c r="L2617" s="19"/>
      <c r="M2617" s="19"/>
      <c r="N2617" s="30"/>
      <c r="O2617" s="30"/>
      <c r="P2617" s="32"/>
      <c r="Q2617" s="32"/>
      <c r="R2617" s="32"/>
      <c r="S2617" s="32"/>
      <c r="T2617" s="32"/>
      <c r="U2617" s="30"/>
    </row>
    <row r="2618" spans="1:21">
      <c r="A2618" s="29"/>
      <c r="B2618" s="29"/>
      <c r="C2618" s="29"/>
      <c r="D2618" s="29"/>
      <c r="E2618" s="29"/>
      <c r="F2618" s="29"/>
      <c r="G2618" s="29"/>
      <c r="H2618" s="29"/>
      <c r="J2618" s="29"/>
      <c r="K2618" s="29"/>
      <c r="L2618" s="19"/>
      <c r="M2618" s="19"/>
      <c r="N2618" s="30"/>
      <c r="O2618" s="30"/>
      <c r="P2618" s="32"/>
      <c r="Q2618" s="32"/>
      <c r="R2618" s="32"/>
      <c r="S2618" s="32"/>
      <c r="T2618" s="32"/>
      <c r="U2618" s="30"/>
    </row>
    <row r="2619" spans="1:21">
      <c r="A2619" s="29"/>
      <c r="B2619" s="29"/>
      <c r="C2619" s="29"/>
      <c r="D2619" s="29"/>
      <c r="E2619" s="29"/>
      <c r="F2619" s="29"/>
      <c r="G2619" s="29"/>
      <c r="H2619" s="29"/>
      <c r="J2619" s="29"/>
      <c r="K2619" s="29"/>
      <c r="L2619" s="19"/>
      <c r="M2619" s="19"/>
      <c r="N2619" s="30"/>
      <c r="O2619" s="30"/>
      <c r="P2619" s="32"/>
      <c r="Q2619" s="32"/>
      <c r="R2619" s="32"/>
      <c r="S2619" s="32"/>
      <c r="T2619" s="32"/>
      <c r="U2619" s="30"/>
    </row>
    <row r="2620" spans="1:21">
      <c r="A2620" s="29"/>
      <c r="B2620" s="29"/>
      <c r="C2620" s="29"/>
      <c r="D2620" s="29"/>
      <c r="E2620" s="29"/>
      <c r="F2620" s="29"/>
      <c r="G2620" s="29"/>
      <c r="H2620" s="29"/>
      <c r="J2620" s="29"/>
      <c r="K2620" s="29"/>
      <c r="L2620" s="19"/>
      <c r="M2620" s="19"/>
      <c r="N2620" s="30"/>
      <c r="O2620" s="30"/>
      <c r="P2620" s="32"/>
      <c r="Q2620" s="32"/>
      <c r="R2620" s="32"/>
      <c r="S2620" s="32"/>
      <c r="T2620" s="32"/>
      <c r="U2620" s="30"/>
    </row>
    <row r="2621" spans="1:21">
      <c r="A2621" s="29"/>
      <c r="B2621" s="29"/>
      <c r="C2621" s="29"/>
      <c r="D2621" s="29"/>
      <c r="E2621" s="29"/>
      <c r="F2621" s="29"/>
      <c r="G2621" s="29"/>
      <c r="H2621" s="29"/>
      <c r="J2621" s="29"/>
      <c r="K2621" s="29"/>
      <c r="L2621" s="19"/>
      <c r="M2621" s="19"/>
      <c r="N2621" s="30"/>
      <c r="O2621" s="30"/>
      <c r="P2621" s="32"/>
      <c r="Q2621" s="32"/>
      <c r="R2621" s="32"/>
      <c r="S2621" s="32"/>
      <c r="T2621" s="32"/>
      <c r="U2621" s="30"/>
    </row>
    <row r="2622" spans="1:21">
      <c r="A2622" s="29"/>
      <c r="B2622" s="29"/>
      <c r="C2622" s="29"/>
      <c r="D2622" s="29"/>
      <c r="E2622" s="29"/>
      <c r="F2622" s="29"/>
      <c r="G2622" s="29"/>
      <c r="H2622" s="29"/>
      <c r="J2622" s="29"/>
      <c r="K2622" s="29"/>
      <c r="L2622" s="19"/>
      <c r="M2622" s="19"/>
      <c r="N2622" s="30"/>
      <c r="O2622" s="30"/>
      <c r="P2622" s="32"/>
      <c r="Q2622" s="32"/>
      <c r="R2622" s="32"/>
      <c r="S2622" s="32"/>
      <c r="T2622" s="32"/>
      <c r="U2622" s="30"/>
    </row>
    <row r="2623" spans="1:21">
      <c r="A2623" s="29"/>
      <c r="B2623" s="29"/>
      <c r="C2623" s="29"/>
      <c r="D2623" s="29"/>
      <c r="E2623" s="29"/>
      <c r="F2623" s="29"/>
      <c r="G2623" s="29"/>
      <c r="H2623" s="29"/>
      <c r="J2623" s="29"/>
      <c r="K2623" s="29"/>
      <c r="L2623" s="19"/>
      <c r="M2623" s="19"/>
      <c r="N2623" s="30"/>
      <c r="O2623" s="30"/>
      <c r="P2623" s="32"/>
      <c r="Q2623" s="32"/>
      <c r="R2623" s="32"/>
      <c r="S2623" s="32"/>
      <c r="T2623" s="32"/>
      <c r="U2623" s="30"/>
    </row>
    <row r="2624" spans="1:21">
      <c r="A2624" s="29"/>
      <c r="B2624" s="29"/>
      <c r="C2624" s="29"/>
      <c r="D2624" s="29"/>
      <c r="E2624" s="29"/>
      <c r="F2624" s="29"/>
      <c r="G2624" s="29"/>
      <c r="H2624" s="29"/>
      <c r="J2624" s="29"/>
      <c r="K2624" s="29"/>
      <c r="L2624" s="19"/>
      <c r="M2624" s="19"/>
      <c r="N2624" s="30"/>
      <c r="O2624" s="30"/>
      <c r="P2624" s="32"/>
      <c r="Q2624" s="32"/>
      <c r="R2624" s="32"/>
      <c r="S2624" s="32"/>
      <c r="T2624" s="32"/>
      <c r="U2624" s="30"/>
    </row>
    <row r="2625" spans="1:21">
      <c r="A2625" s="29"/>
      <c r="B2625" s="29"/>
      <c r="C2625" s="29"/>
      <c r="D2625" s="29"/>
      <c r="E2625" s="29"/>
      <c r="F2625" s="29"/>
      <c r="G2625" s="29"/>
      <c r="H2625" s="29"/>
      <c r="J2625" s="29"/>
      <c r="K2625" s="29"/>
      <c r="L2625" s="19"/>
      <c r="M2625" s="19"/>
      <c r="N2625" s="30"/>
      <c r="O2625" s="30"/>
      <c r="P2625" s="32"/>
      <c r="Q2625" s="32"/>
      <c r="R2625" s="32"/>
      <c r="S2625" s="32"/>
      <c r="T2625" s="32"/>
      <c r="U2625" s="30"/>
    </row>
    <row r="2626" spans="1:21">
      <c r="A2626" s="29"/>
      <c r="B2626" s="29"/>
      <c r="C2626" s="29"/>
      <c r="D2626" s="29"/>
      <c r="E2626" s="29"/>
      <c r="F2626" s="29"/>
      <c r="G2626" s="29"/>
      <c r="H2626" s="29"/>
      <c r="J2626" s="29"/>
      <c r="K2626" s="29"/>
      <c r="L2626" s="19"/>
      <c r="M2626" s="19"/>
      <c r="N2626" s="30"/>
      <c r="O2626" s="30"/>
      <c r="P2626" s="32"/>
      <c r="Q2626" s="32"/>
      <c r="R2626" s="32"/>
      <c r="S2626" s="32"/>
      <c r="T2626" s="32"/>
      <c r="U2626" s="30"/>
    </row>
    <row r="2627" spans="1:21">
      <c r="A2627" s="29"/>
      <c r="B2627" s="29"/>
      <c r="C2627" s="29"/>
      <c r="D2627" s="29"/>
      <c r="E2627" s="29"/>
      <c r="F2627" s="29"/>
      <c r="G2627" s="29"/>
      <c r="H2627" s="29"/>
      <c r="J2627" s="29"/>
      <c r="K2627" s="29"/>
      <c r="L2627" s="19"/>
      <c r="M2627" s="19"/>
      <c r="N2627" s="30"/>
      <c r="O2627" s="30"/>
      <c r="P2627" s="32"/>
      <c r="Q2627" s="32"/>
      <c r="R2627" s="32"/>
      <c r="S2627" s="32"/>
      <c r="T2627" s="32"/>
      <c r="U2627" s="30"/>
    </row>
    <row r="2628" spans="1:21">
      <c r="A2628" s="29"/>
      <c r="B2628" s="29"/>
      <c r="C2628" s="29"/>
      <c r="D2628" s="29"/>
      <c r="E2628" s="29"/>
      <c r="F2628" s="29"/>
      <c r="G2628" s="29"/>
      <c r="H2628" s="29"/>
      <c r="J2628" s="29"/>
      <c r="K2628" s="29"/>
      <c r="L2628" s="19"/>
      <c r="M2628" s="19"/>
      <c r="N2628" s="30"/>
      <c r="O2628" s="30"/>
      <c r="P2628" s="32"/>
      <c r="Q2628" s="32"/>
      <c r="R2628" s="32"/>
      <c r="S2628" s="32"/>
      <c r="T2628" s="32"/>
      <c r="U2628" s="30"/>
    </row>
    <row r="2629" spans="1:21">
      <c r="A2629" s="29"/>
      <c r="B2629" s="29"/>
      <c r="C2629" s="29"/>
      <c r="D2629" s="29"/>
      <c r="E2629" s="29"/>
      <c r="F2629" s="29"/>
      <c r="G2629" s="29"/>
      <c r="H2629" s="29"/>
      <c r="J2629" s="29"/>
      <c r="K2629" s="29"/>
      <c r="L2629" s="19"/>
      <c r="M2629" s="19"/>
      <c r="N2629" s="30"/>
      <c r="O2629" s="30"/>
      <c r="P2629" s="32"/>
      <c r="Q2629" s="32"/>
      <c r="R2629" s="32"/>
      <c r="S2629" s="32"/>
      <c r="T2629" s="32"/>
      <c r="U2629" s="30"/>
    </row>
    <row r="2630" spans="1:21">
      <c r="A2630" s="29"/>
      <c r="B2630" s="29"/>
      <c r="C2630" s="29"/>
      <c r="D2630" s="29"/>
      <c r="E2630" s="29"/>
      <c r="F2630" s="29"/>
      <c r="G2630" s="29"/>
      <c r="H2630" s="29"/>
      <c r="J2630" s="29"/>
      <c r="K2630" s="29"/>
      <c r="L2630" s="19"/>
      <c r="M2630" s="19"/>
      <c r="N2630" s="30"/>
      <c r="O2630" s="30"/>
      <c r="P2630" s="32"/>
      <c r="Q2630" s="32"/>
      <c r="R2630" s="32"/>
      <c r="S2630" s="32"/>
      <c r="T2630" s="32"/>
      <c r="U2630" s="30"/>
    </row>
    <row r="2631" spans="1:21">
      <c r="A2631" s="29"/>
      <c r="B2631" s="29"/>
      <c r="C2631" s="29"/>
      <c r="D2631" s="29"/>
      <c r="E2631" s="29"/>
      <c r="F2631" s="29"/>
      <c r="G2631" s="29"/>
      <c r="H2631" s="29"/>
      <c r="J2631" s="29"/>
      <c r="K2631" s="29"/>
      <c r="L2631" s="19"/>
      <c r="M2631" s="19"/>
      <c r="N2631" s="30"/>
      <c r="O2631" s="30"/>
      <c r="P2631" s="32"/>
      <c r="Q2631" s="32"/>
      <c r="R2631" s="32"/>
      <c r="S2631" s="32"/>
      <c r="T2631" s="32"/>
      <c r="U2631" s="30"/>
    </row>
    <row r="2632" spans="1:21">
      <c r="A2632" s="29"/>
      <c r="B2632" s="29"/>
      <c r="C2632" s="29"/>
      <c r="D2632" s="29"/>
      <c r="E2632" s="29"/>
      <c r="F2632" s="29"/>
      <c r="G2632" s="29"/>
      <c r="H2632" s="29"/>
      <c r="J2632" s="29"/>
      <c r="K2632" s="29"/>
      <c r="L2632" s="19"/>
      <c r="M2632" s="19"/>
      <c r="N2632" s="30"/>
      <c r="O2632" s="30"/>
      <c r="P2632" s="32"/>
      <c r="Q2632" s="32"/>
      <c r="R2632" s="32"/>
      <c r="S2632" s="32"/>
      <c r="T2632" s="32"/>
      <c r="U2632" s="30"/>
    </row>
    <row r="2633" spans="1:21">
      <c r="A2633" s="29"/>
      <c r="B2633" s="29"/>
      <c r="C2633" s="29"/>
      <c r="D2633" s="29"/>
      <c r="E2633" s="29"/>
      <c r="F2633" s="29"/>
      <c r="G2633" s="29"/>
      <c r="H2633" s="29"/>
      <c r="J2633" s="29"/>
      <c r="K2633" s="29"/>
      <c r="L2633" s="19"/>
      <c r="M2633" s="19"/>
      <c r="N2633" s="30"/>
      <c r="O2633" s="30"/>
      <c r="P2633" s="32"/>
      <c r="Q2633" s="32"/>
      <c r="R2633" s="32"/>
      <c r="S2633" s="32"/>
      <c r="T2633" s="32"/>
      <c r="U2633" s="30"/>
    </row>
    <row r="2634" spans="1:21">
      <c r="A2634" s="29"/>
      <c r="B2634" s="29"/>
      <c r="C2634" s="29"/>
      <c r="D2634" s="29"/>
      <c r="E2634" s="29"/>
      <c r="F2634" s="29"/>
      <c r="G2634" s="29"/>
      <c r="H2634" s="29"/>
      <c r="J2634" s="29"/>
      <c r="K2634" s="29"/>
      <c r="L2634" s="19"/>
      <c r="M2634" s="19"/>
      <c r="N2634" s="30"/>
      <c r="O2634" s="30"/>
      <c r="P2634" s="32"/>
      <c r="Q2634" s="32"/>
      <c r="R2634" s="32"/>
      <c r="S2634" s="32"/>
      <c r="T2634" s="32"/>
      <c r="U2634" s="30"/>
    </row>
    <row r="2635" spans="1:21">
      <c r="A2635" s="29"/>
      <c r="B2635" s="29"/>
      <c r="C2635" s="29"/>
      <c r="D2635" s="29"/>
      <c r="E2635" s="29"/>
      <c r="F2635" s="29"/>
      <c r="G2635" s="29"/>
      <c r="H2635" s="29"/>
      <c r="J2635" s="29"/>
      <c r="K2635" s="29"/>
      <c r="L2635" s="19"/>
      <c r="M2635" s="19"/>
      <c r="N2635" s="30"/>
      <c r="O2635" s="30"/>
      <c r="P2635" s="32"/>
      <c r="Q2635" s="32"/>
      <c r="R2635" s="32"/>
      <c r="S2635" s="32"/>
      <c r="T2635" s="32"/>
      <c r="U2635" s="30"/>
    </row>
    <row r="2636" spans="1:21">
      <c r="A2636" s="29"/>
      <c r="B2636" s="29"/>
      <c r="C2636" s="29"/>
      <c r="D2636" s="29"/>
      <c r="E2636" s="29"/>
      <c r="F2636" s="29"/>
      <c r="G2636" s="29"/>
      <c r="H2636" s="29"/>
      <c r="J2636" s="29"/>
      <c r="K2636" s="29"/>
      <c r="L2636" s="19"/>
      <c r="M2636" s="19"/>
      <c r="N2636" s="30"/>
      <c r="O2636" s="30"/>
      <c r="P2636" s="32"/>
      <c r="Q2636" s="32"/>
      <c r="R2636" s="32"/>
      <c r="S2636" s="32"/>
      <c r="T2636" s="32"/>
      <c r="U2636" s="30"/>
    </row>
    <row r="2637" spans="1:21">
      <c r="A2637" s="29"/>
      <c r="B2637" s="29"/>
      <c r="C2637" s="29"/>
      <c r="D2637" s="29"/>
      <c r="E2637" s="29"/>
      <c r="F2637" s="29"/>
      <c r="G2637" s="29"/>
      <c r="H2637" s="29"/>
      <c r="J2637" s="29"/>
      <c r="K2637" s="29"/>
      <c r="L2637" s="19"/>
      <c r="M2637" s="19"/>
      <c r="N2637" s="30"/>
      <c r="O2637" s="30"/>
      <c r="P2637" s="32"/>
      <c r="Q2637" s="32"/>
      <c r="R2637" s="32"/>
      <c r="S2637" s="32"/>
      <c r="T2637" s="32"/>
      <c r="U2637" s="30"/>
    </row>
    <row r="2638" spans="1:21">
      <c r="A2638" s="29"/>
      <c r="B2638" s="29"/>
      <c r="C2638" s="29"/>
      <c r="D2638" s="29"/>
      <c r="E2638" s="29"/>
      <c r="F2638" s="29"/>
      <c r="G2638" s="29"/>
      <c r="H2638" s="29"/>
      <c r="J2638" s="29"/>
      <c r="K2638" s="29"/>
      <c r="L2638" s="19"/>
      <c r="M2638" s="19"/>
      <c r="N2638" s="30"/>
      <c r="O2638" s="30"/>
      <c r="P2638" s="32"/>
      <c r="Q2638" s="32"/>
      <c r="R2638" s="32"/>
      <c r="S2638" s="32"/>
      <c r="T2638" s="32"/>
      <c r="U2638" s="30"/>
    </row>
    <row r="2639" spans="1:21">
      <c r="A2639" s="29"/>
      <c r="B2639" s="29"/>
      <c r="C2639" s="29"/>
      <c r="D2639" s="29"/>
      <c r="E2639" s="29"/>
      <c r="F2639" s="29"/>
      <c r="G2639" s="29"/>
      <c r="H2639" s="29"/>
      <c r="J2639" s="29"/>
      <c r="K2639" s="29"/>
      <c r="L2639" s="19"/>
      <c r="M2639" s="19"/>
      <c r="N2639" s="30"/>
      <c r="O2639" s="30"/>
      <c r="P2639" s="32"/>
      <c r="Q2639" s="32"/>
      <c r="R2639" s="32"/>
      <c r="S2639" s="32"/>
      <c r="T2639" s="32"/>
      <c r="U2639" s="30"/>
    </row>
    <row r="2640" spans="1:21">
      <c r="A2640" s="29"/>
      <c r="B2640" s="29"/>
      <c r="C2640" s="29"/>
      <c r="D2640" s="29"/>
      <c r="E2640" s="29"/>
      <c r="F2640" s="29"/>
      <c r="G2640" s="29"/>
      <c r="H2640" s="29"/>
      <c r="J2640" s="29"/>
      <c r="K2640" s="29"/>
      <c r="L2640" s="19"/>
      <c r="M2640" s="19"/>
      <c r="N2640" s="30"/>
      <c r="O2640" s="30"/>
      <c r="P2640" s="32"/>
      <c r="Q2640" s="32"/>
      <c r="R2640" s="32"/>
      <c r="S2640" s="32"/>
      <c r="T2640" s="32"/>
      <c r="U2640" s="30"/>
    </row>
    <row r="2641" spans="1:21">
      <c r="A2641" s="29"/>
      <c r="B2641" s="29"/>
      <c r="C2641" s="29"/>
      <c r="D2641" s="29"/>
      <c r="E2641" s="29"/>
      <c r="F2641" s="29"/>
      <c r="G2641" s="29"/>
      <c r="H2641" s="29"/>
      <c r="J2641" s="29"/>
      <c r="K2641" s="29"/>
      <c r="L2641" s="19"/>
      <c r="M2641" s="19"/>
      <c r="N2641" s="30"/>
      <c r="O2641" s="30"/>
      <c r="P2641" s="32"/>
      <c r="Q2641" s="32"/>
      <c r="R2641" s="32"/>
      <c r="S2641" s="32"/>
      <c r="T2641" s="32"/>
      <c r="U2641" s="30"/>
    </row>
    <row r="2642" spans="1:21">
      <c r="A2642" s="29"/>
      <c r="B2642" s="29"/>
      <c r="C2642" s="29"/>
      <c r="D2642" s="29"/>
      <c r="E2642" s="29"/>
      <c r="F2642" s="29"/>
      <c r="G2642" s="29"/>
      <c r="H2642" s="29"/>
      <c r="J2642" s="29"/>
      <c r="K2642" s="29"/>
      <c r="L2642" s="19"/>
      <c r="M2642" s="19"/>
      <c r="N2642" s="30"/>
      <c r="O2642" s="30"/>
      <c r="P2642" s="32"/>
      <c r="Q2642" s="32"/>
      <c r="R2642" s="32"/>
      <c r="S2642" s="32"/>
      <c r="T2642" s="32"/>
      <c r="U2642" s="30"/>
    </row>
    <row r="2643" spans="1:21">
      <c r="A2643" s="29"/>
      <c r="B2643" s="29"/>
      <c r="C2643" s="29"/>
      <c r="D2643" s="29"/>
      <c r="E2643" s="29"/>
      <c r="F2643" s="29"/>
      <c r="G2643" s="29"/>
      <c r="H2643" s="29"/>
      <c r="J2643" s="29"/>
      <c r="K2643" s="29"/>
      <c r="L2643" s="19"/>
      <c r="M2643" s="19"/>
      <c r="N2643" s="30"/>
      <c r="O2643" s="30"/>
      <c r="P2643" s="32"/>
      <c r="Q2643" s="32"/>
      <c r="R2643" s="32"/>
      <c r="S2643" s="32"/>
      <c r="T2643" s="32"/>
      <c r="U2643" s="30"/>
    </row>
    <row r="2644" spans="1:21">
      <c r="A2644" s="29"/>
      <c r="B2644" s="29"/>
      <c r="C2644" s="29"/>
      <c r="D2644" s="29"/>
      <c r="E2644" s="29"/>
      <c r="F2644" s="29"/>
      <c r="G2644" s="29"/>
      <c r="H2644" s="29"/>
      <c r="J2644" s="29"/>
      <c r="K2644" s="29"/>
      <c r="L2644" s="19"/>
      <c r="M2644" s="19"/>
      <c r="N2644" s="30"/>
      <c r="O2644" s="30"/>
      <c r="P2644" s="32"/>
      <c r="Q2644" s="32"/>
      <c r="R2644" s="32"/>
      <c r="S2644" s="32"/>
      <c r="T2644" s="32"/>
      <c r="U2644" s="30"/>
    </row>
    <row r="2645" spans="1:21">
      <c r="A2645" s="29"/>
      <c r="B2645" s="29"/>
      <c r="C2645" s="29"/>
      <c r="D2645" s="29"/>
      <c r="E2645" s="29"/>
      <c r="F2645" s="29"/>
      <c r="G2645" s="29"/>
      <c r="H2645" s="29"/>
      <c r="J2645" s="29"/>
      <c r="K2645" s="29"/>
      <c r="L2645" s="19"/>
      <c r="M2645" s="19"/>
      <c r="N2645" s="30"/>
      <c r="O2645" s="30"/>
      <c r="P2645" s="32"/>
      <c r="Q2645" s="32"/>
      <c r="R2645" s="32"/>
      <c r="S2645" s="32"/>
      <c r="T2645" s="32"/>
      <c r="U2645" s="30"/>
    </row>
    <row r="2646" spans="1:21">
      <c r="A2646" s="29"/>
      <c r="B2646" s="29"/>
      <c r="C2646" s="29"/>
      <c r="D2646" s="29"/>
      <c r="E2646" s="29"/>
      <c r="F2646" s="29"/>
      <c r="G2646" s="29"/>
      <c r="H2646" s="29"/>
      <c r="J2646" s="29"/>
      <c r="K2646" s="29"/>
      <c r="L2646" s="19"/>
      <c r="M2646" s="19"/>
      <c r="N2646" s="30"/>
      <c r="O2646" s="30"/>
      <c r="P2646" s="32"/>
      <c r="Q2646" s="32"/>
      <c r="R2646" s="32"/>
      <c r="S2646" s="32"/>
      <c r="T2646" s="32"/>
      <c r="U2646" s="30"/>
    </row>
    <row r="2647" spans="1:21">
      <c r="A2647" s="29"/>
      <c r="B2647" s="29"/>
      <c r="C2647" s="29"/>
      <c r="D2647" s="29"/>
      <c r="E2647" s="29"/>
      <c r="F2647" s="29"/>
      <c r="G2647" s="29"/>
      <c r="H2647" s="29"/>
      <c r="J2647" s="29"/>
      <c r="K2647" s="29"/>
      <c r="L2647" s="19"/>
      <c r="M2647" s="19"/>
      <c r="N2647" s="30"/>
      <c r="O2647" s="30"/>
      <c r="P2647" s="32"/>
      <c r="Q2647" s="32"/>
      <c r="R2647" s="32"/>
      <c r="S2647" s="32"/>
      <c r="T2647" s="32"/>
      <c r="U2647" s="30"/>
    </row>
    <row r="2648" spans="1:21">
      <c r="A2648" s="29"/>
      <c r="B2648" s="29"/>
      <c r="C2648" s="29"/>
      <c r="D2648" s="29"/>
      <c r="E2648" s="29"/>
      <c r="F2648" s="29"/>
      <c r="G2648" s="29"/>
      <c r="H2648" s="29"/>
      <c r="J2648" s="29"/>
      <c r="K2648" s="29"/>
      <c r="L2648" s="19"/>
      <c r="M2648" s="19"/>
      <c r="N2648" s="30"/>
      <c r="O2648" s="30"/>
      <c r="P2648" s="32"/>
      <c r="Q2648" s="32"/>
      <c r="R2648" s="32"/>
      <c r="S2648" s="32"/>
      <c r="T2648" s="32"/>
      <c r="U2648" s="30"/>
    </row>
    <row r="2649" spans="1:21">
      <c r="A2649" s="29"/>
      <c r="B2649" s="29"/>
      <c r="C2649" s="29"/>
      <c r="D2649" s="29"/>
      <c r="E2649" s="29"/>
      <c r="F2649" s="29"/>
      <c r="G2649" s="29"/>
      <c r="H2649" s="29"/>
      <c r="J2649" s="29"/>
      <c r="K2649" s="29"/>
      <c r="L2649" s="19"/>
      <c r="M2649" s="19"/>
      <c r="N2649" s="30"/>
      <c r="O2649" s="30"/>
      <c r="P2649" s="32"/>
      <c r="Q2649" s="32"/>
      <c r="R2649" s="32"/>
      <c r="S2649" s="32"/>
      <c r="T2649" s="32"/>
      <c r="U2649" s="30"/>
    </row>
    <row r="2650" spans="1:21">
      <c r="A2650" s="29"/>
      <c r="B2650" s="29"/>
      <c r="C2650" s="29"/>
      <c r="D2650" s="29"/>
      <c r="E2650" s="29"/>
      <c r="F2650" s="29"/>
      <c r="G2650" s="29"/>
      <c r="H2650" s="29"/>
      <c r="J2650" s="29"/>
      <c r="K2650" s="29"/>
      <c r="L2650" s="19"/>
      <c r="M2650" s="19"/>
      <c r="N2650" s="30"/>
      <c r="O2650" s="30"/>
      <c r="P2650" s="32"/>
      <c r="Q2650" s="32"/>
      <c r="R2650" s="32"/>
      <c r="S2650" s="32"/>
      <c r="T2650" s="32"/>
      <c r="U2650" s="30"/>
    </row>
    <row r="2651" spans="1:21">
      <c r="A2651" s="29"/>
      <c r="B2651" s="29"/>
      <c r="C2651" s="29"/>
      <c r="D2651" s="29"/>
      <c r="E2651" s="29"/>
      <c r="F2651" s="29"/>
      <c r="G2651" s="29"/>
      <c r="H2651" s="29"/>
      <c r="J2651" s="29"/>
      <c r="K2651" s="29"/>
      <c r="L2651" s="19"/>
      <c r="M2651" s="19"/>
      <c r="N2651" s="30"/>
      <c r="O2651" s="30"/>
      <c r="P2651" s="32"/>
      <c r="Q2651" s="32"/>
      <c r="R2651" s="32"/>
      <c r="S2651" s="32"/>
      <c r="T2651" s="32"/>
      <c r="U2651" s="30"/>
    </row>
    <row r="2652" spans="1:21">
      <c r="A2652" s="29"/>
      <c r="B2652" s="29"/>
      <c r="C2652" s="29"/>
      <c r="D2652" s="29"/>
      <c r="E2652" s="29"/>
      <c r="F2652" s="29"/>
      <c r="G2652" s="29"/>
      <c r="H2652" s="29"/>
      <c r="J2652" s="29"/>
      <c r="K2652" s="29"/>
      <c r="L2652" s="19"/>
      <c r="M2652" s="19"/>
      <c r="N2652" s="30"/>
      <c r="O2652" s="30"/>
      <c r="P2652" s="32"/>
      <c r="Q2652" s="32"/>
      <c r="R2652" s="32"/>
      <c r="S2652" s="32"/>
      <c r="T2652" s="32"/>
      <c r="U2652" s="30"/>
    </row>
    <row r="2653" spans="1:21">
      <c r="A2653" s="29"/>
      <c r="B2653" s="29"/>
      <c r="C2653" s="29"/>
      <c r="D2653" s="29"/>
      <c r="E2653" s="29"/>
      <c r="F2653" s="29"/>
      <c r="G2653" s="29"/>
      <c r="H2653" s="29"/>
      <c r="J2653" s="29"/>
      <c r="K2653" s="29"/>
      <c r="L2653" s="19"/>
      <c r="M2653" s="19"/>
      <c r="N2653" s="30"/>
      <c r="O2653" s="30"/>
      <c r="P2653" s="32"/>
      <c r="Q2653" s="32"/>
      <c r="R2653" s="32"/>
      <c r="S2653" s="32"/>
      <c r="T2653" s="32"/>
      <c r="U2653" s="30"/>
    </row>
    <row r="2654" spans="1:21">
      <c r="A2654" s="29"/>
      <c r="B2654" s="29"/>
      <c r="C2654" s="29"/>
      <c r="D2654" s="29"/>
      <c r="E2654" s="29"/>
      <c r="F2654" s="29"/>
      <c r="G2654" s="29"/>
      <c r="H2654" s="29"/>
      <c r="J2654" s="29"/>
      <c r="K2654" s="29"/>
      <c r="L2654" s="19"/>
      <c r="M2654" s="19"/>
      <c r="N2654" s="30"/>
      <c r="O2654" s="30"/>
      <c r="P2654" s="32"/>
      <c r="Q2654" s="32"/>
      <c r="R2654" s="32"/>
      <c r="S2654" s="32"/>
      <c r="T2654" s="32"/>
      <c r="U2654" s="30"/>
    </row>
    <row r="2655" spans="1:21">
      <c r="A2655" s="29"/>
      <c r="B2655" s="29"/>
      <c r="C2655" s="29"/>
      <c r="D2655" s="29"/>
      <c r="E2655" s="29"/>
      <c r="F2655" s="29"/>
      <c r="G2655" s="29"/>
      <c r="H2655" s="29"/>
      <c r="J2655" s="29"/>
      <c r="K2655" s="29"/>
      <c r="L2655" s="19"/>
      <c r="M2655" s="19"/>
      <c r="N2655" s="30"/>
      <c r="O2655" s="30"/>
      <c r="P2655" s="32"/>
      <c r="Q2655" s="32"/>
      <c r="R2655" s="32"/>
      <c r="S2655" s="32"/>
      <c r="T2655" s="32"/>
      <c r="U2655" s="30"/>
    </row>
    <row r="2656" spans="1:21">
      <c r="A2656" s="29"/>
      <c r="B2656" s="29"/>
      <c r="C2656" s="29"/>
      <c r="D2656" s="29"/>
      <c r="E2656" s="29"/>
      <c r="F2656" s="29"/>
      <c r="G2656" s="29"/>
      <c r="H2656" s="29"/>
      <c r="J2656" s="29"/>
      <c r="K2656" s="29"/>
      <c r="L2656" s="19"/>
      <c r="M2656" s="19"/>
      <c r="N2656" s="30"/>
      <c r="O2656" s="30"/>
      <c r="P2656" s="32"/>
      <c r="Q2656" s="32"/>
      <c r="R2656" s="32"/>
      <c r="S2656" s="32"/>
      <c r="T2656" s="32"/>
      <c r="U2656" s="30"/>
    </row>
    <row r="2657" spans="1:21">
      <c r="A2657" s="29"/>
      <c r="B2657" s="29"/>
      <c r="C2657" s="29"/>
      <c r="D2657" s="29"/>
      <c r="E2657" s="29"/>
      <c r="F2657" s="29"/>
      <c r="G2657" s="29"/>
      <c r="H2657" s="29"/>
      <c r="J2657" s="29"/>
      <c r="K2657" s="29"/>
      <c r="L2657" s="19"/>
      <c r="M2657" s="19"/>
      <c r="N2657" s="30"/>
      <c r="O2657" s="30"/>
      <c r="P2657" s="32"/>
      <c r="Q2657" s="32"/>
      <c r="R2657" s="32"/>
      <c r="S2657" s="32"/>
      <c r="T2657" s="32"/>
      <c r="U2657" s="30"/>
    </row>
    <row r="2658" spans="1:21">
      <c r="A2658" s="29"/>
      <c r="B2658" s="29"/>
      <c r="C2658" s="29"/>
      <c r="D2658" s="29"/>
      <c r="E2658" s="29"/>
      <c r="F2658" s="29"/>
      <c r="G2658" s="29"/>
      <c r="H2658" s="29"/>
      <c r="J2658" s="29"/>
      <c r="K2658" s="29"/>
      <c r="L2658" s="19"/>
      <c r="M2658" s="19"/>
      <c r="N2658" s="30"/>
      <c r="O2658" s="30"/>
      <c r="P2658" s="32"/>
      <c r="Q2658" s="32"/>
      <c r="R2658" s="32"/>
      <c r="S2658" s="32"/>
      <c r="T2658" s="32"/>
      <c r="U2658" s="30"/>
    </row>
    <row r="2659" spans="1:21">
      <c r="A2659" s="29"/>
      <c r="B2659" s="29"/>
      <c r="C2659" s="29"/>
      <c r="D2659" s="29"/>
      <c r="E2659" s="29"/>
      <c r="F2659" s="29"/>
      <c r="G2659" s="29"/>
      <c r="H2659" s="29"/>
      <c r="J2659" s="29"/>
      <c r="K2659" s="29"/>
      <c r="L2659" s="19"/>
      <c r="M2659" s="19"/>
      <c r="N2659" s="30"/>
      <c r="O2659" s="30"/>
      <c r="P2659" s="32"/>
      <c r="Q2659" s="32"/>
      <c r="R2659" s="32"/>
      <c r="S2659" s="32"/>
      <c r="T2659" s="32"/>
      <c r="U2659" s="30"/>
    </row>
    <row r="2660" spans="1:21">
      <c r="A2660" s="29"/>
      <c r="B2660" s="29"/>
      <c r="C2660" s="29"/>
      <c r="D2660" s="29"/>
      <c r="E2660" s="29"/>
      <c r="F2660" s="29"/>
      <c r="G2660" s="29"/>
      <c r="H2660" s="29"/>
      <c r="J2660" s="29"/>
      <c r="K2660" s="29"/>
      <c r="L2660" s="19"/>
      <c r="M2660" s="19"/>
      <c r="N2660" s="30"/>
      <c r="O2660" s="30"/>
      <c r="P2660" s="32"/>
      <c r="Q2660" s="32"/>
      <c r="R2660" s="32"/>
      <c r="S2660" s="32"/>
      <c r="T2660" s="32"/>
      <c r="U2660" s="30"/>
    </row>
    <row r="2661" spans="1:21">
      <c r="A2661" s="29"/>
      <c r="B2661" s="29"/>
      <c r="C2661" s="29"/>
      <c r="D2661" s="29"/>
      <c r="E2661" s="29"/>
      <c r="F2661" s="29"/>
      <c r="G2661" s="29"/>
      <c r="H2661" s="29"/>
      <c r="J2661" s="29"/>
      <c r="K2661" s="29"/>
      <c r="L2661" s="19"/>
      <c r="M2661" s="19"/>
      <c r="N2661" s="30"/>
      <c r="O2661" s="30"/>
      <c r="P2661" s="32"/>
      <c r="Q2661" s="32"/>
      <c r="R2661" s="32"/>
      <c r="S2661" s="32"/>
      <c r="T2661" s="32"/>
      <c r="U2661" s="30"/>
    </row>
    <row r="2662" spans="1:21">
      <c r="A2662" s="29"/>
      <c r="B2662" s="29"/>
      <c r="C2662" s="29"/>
      <c r="D2662" s="29"/>
      <c r="E2662" s="29"/>
      <c r="F2662" s="29"/>
      <c r="G2662" s="29"/>
      <c r="H2662" s="29"/>
      <c r="J2662" s="29"/>
      <c r="K2662" s="29"/>
      <c r="L2662" s="19"/>
      <c r="M2662" s="19"/>
      <c r="N2662" s="30"/>
      <c r="O2662" s="30"/>
      <c r="P2662" s="32"/>
      <c r="Q2662" s="32"/>
      <c r="R2662" s="32"/>
      <c r="S2662" s="32"/>
      <c r="T2662" s="32"/>
      <c r="U2662" s="30"/>
    </row>
    <row r="2663" spans="1:21">
      <c r="A2663" s="29"/>
      <c r="B2663" s="29"/>
      <c r="C2663" s="29"/>
      <c r="D2663" s="29"/>
      <c r="E2663" s="29"/>
      <c r="F2663" s="29"/>
      <c r="G2663" s="29"/>
      <c r="H2663" s="29"/>
      <c r="J2663" s="29"/>
      <c r="K2663" s="29"/>
      <c r="L2663" s="19"/>
      <c r="M2663" s="19"/>
      <c r="N2663" s="30"/>
      <c r="O2663" s="30"/>
      <c r="P2663" s="32"/>
      <c r="Q2663" s="32"/>
      <c r="R2663" s="32"/>
      <c r="S2663" s="32"/>
      <c r="T2663" s="32"/>
      <c r="U2663" s="30"/>
    </row>
    <row r="2664" spans="1:21">
      <c r="A2664" s="29"/>
      <c r="B2664" s="29"/>
      <c r="C2664" s="29"/>
      <c r="D2664" s="29"/>
      <c r="E2664" s="29"/>
      <c r="F2664" s="29"/>
      <c r="G2664" s="29"/>
      <c r="H2664" s="29"/>
      <c r="J2664" s="29"/>
      <c r="K2664" s="29"/>
      <c r="L2664" s="19"/>
      <c r="M2664" s="19"/>
      <c r="N2664" s="30"/>
      <c r="O2664" s="30"/>
      <c r="P2664" s="32"/>
      <c r="Q2664" s="32"/>
      <c r="R2664" s="32"/>
      <c r="S2664" s="32"/>
      <c r="T2664" s="32"/>
      <c r="U2664" s="30"/>
    </row>
    <row r="2665" spans="1:21">
      <c r="A2665" s="29"/>
      <c r="B2665" s="29"/>
      <c r="C2665" s="29"/>
      <c r="D2665" s="29"/>
      <c r="E2665" s="29"/>
      <c r="F2665" s="29"/>
      <c r="G2665" s="29"/>
      <c r="H2665" s="29"/>
      <c r="J2665" s="29"/>
      <c r="K2665" s="29"/>
      <c r="L2665" s="19"/>
      <c r="M2665" s="19"/>
      <c r="N2665" s="30"/>
      <c r="O2665" s="30"/>
      <c r="P2665" s="32"/>
      <c r="Q2665" s="32"/>
      <c r="R2665" s="32"/>
      <c r="S2665" s="32"/>
      <c r="T2665" s="32"/>
      <c r="U2665" s="30"/>
    </row>
    <row r="2666" spans="1:21">
      <c r="A2666" s="29"/>
      <c r="B2666" s="29"/>
      <c r="C2666" s="29"/>
      <c r="D2666" s="29"/>
      <c r="E2666" s="29"/>
      <c r="F2666" s="29"/>
      <c r="G2666" s="29"/>
      <c r="H2666" s="29"/>
      <c r="J2666" s="29"/>
      <c r="K2666" s="29"/>
      <c r="L2666" s="19"/>
      <c r="M2666" s="19"/>
      <c r="N2666" s="30"/>
      <c r="O2666" s="30"/>
      <c r="P2666" s="32"/>
      <c r="Q2666" s="32"/>
      <c r="R2666" s="32"/>
      <c r="S2666" s="32"/>
      <c r="T2666" s="32"/>
      <c r="U2666" s="30"/>
    </row>
    <row r="2667" spans="1:21">
      <c r="A2667" s="29"/>
      <c r="B2667" s="29"/>
      <c r="C2667" s="29"/>
      <c r="D2667" s="29"/>
      <c r="E2667" s="29"/>
      <c r="F2667" s="29"/>
      <c r="G2667" s="29"/>
      <c r="H2667" s="29"/>
      <c r="J2667" s="29"/>
      <c r="K2667" s="29"/>
      <c r="L2667" s="19"/>
      <c r="M2667" s="19"/>
      <c r="N2667" s="30"/>
      <c r="O2667" s="30"/>
      <c r="P2667" s="32"/>
      <c r="Q2667" s="32"/>
      <c r="R2667" s="32"/>
      <c r="S2667" s="32"/>
      <c r="T2667" s="32"/>
      <c r="U2667" s="30"/>
    </row>
    <row r="2668" spans="1:21">
      <c r="A2668" s="29"/>
      <c r="B2668" s="29"/>
      <c r="C2668" s="29"/>
      <c r="D2668" s="29"/>
      <c r="E2668" s="29"/>
      <c r="F2668" s="29"/>
      <c r="G2668" s="29"/>
      <c r="H2668" s="29"/>
      <c r="J2668" s="29"/>
      <c r="K2668" s="29"/>
      <c r="L2668" s="19"/>
      <c r="M2668" s="19"/>
      <c r="N2668" s="30"/>
      <c r="O2668" s="30"/>
      <c r="P2668" s="32"/>
      <c r="Q2668" s="32"/>
      <c r="R2668" s="32"/>
      <c r="S2668" s="32"/>
      <c r="T2668" s="32"/>
      <c r="U2668" s="30"/>
    </row>
    <row r="2669" spans="1:21">
      <c r="A2669" s="29"/>
      <c r="B2669" s="29"/>
      <c r="C2669" s="29"/>
      <c r="D2669" s="29"/>
      <c r="E2669" s="29"/>
      <c r="F2669" s="29"/>
      <c r="G2669" s="29"/>
      <c r="H2669" s="29"/>
      <c r="J2669" s="29"/>
      <c r="K2669" s="29"/>
      <c r="L2669" s="19"/>
      <c r="M2669" s="19"/>
      <c r="N2669" s="30"/>
      <c r="O2669" s="30"/>
      <c r="P2669" s="32"/>
      <c r="Q2669" s="32"/>
      <c r="R2669" s="32"/>
      <c r="S2669" s="32"/>
      <c r="T2669" s="32"/>
      <c r="U2669" s="30"/>
    </row>
    <row r="2670" spans="1:21">
      <c r="A2670" s="29"/>
      <c r="B2670" s="29"/>
      <c r="C2670" s="29"/>
      <c r="D2670" s="29"/>
      <c r="E2670" s="29"/>
      <c r="F2670" s="29"/>
      <c r="G2670" s="29"/>
      <c r="H2670" s="29"/>
      <c r="J2670" s="29"/>
      <c r="K2670" s="29"/>
      <c r="L2670" s="19"/>
      <c r="M2670" s="19"/>
      <c r="N2670" s="30"/>
      <c r="O2670" s="30"/>
      <c r="P2670" s="32"/>
      <c r="Q2670" s="32"/>
      <c r="R2670" s="32"/>
      <c r="S2670" s="32"/>
      <c r="T2670" s="32"/>
      <c r="U2670" s="30"/>
    </row>
    <row r="2671" spans="1:21">
      <c r="A2671" s="29"/>
      <c r="B2671" s="29"/>
      <c r="C2671" s="29"/>
      <c r="D2671" s="29"/>
      <c r="E2671" s="29"/>
      <c r="F2671" s="29"/>
      <c r="G2671" s="29"/>
      <c r="H2671" s="29"/>
      <c r="J2671" s="29"/>
      <c r="K2671" s="29"/>
      <c r="L2671" s="19"/>
      <c r="M2671" s="19"/>
      <c r="N2671" s="30"/>
      <c r="O2671" s="30"/>
      <c r="P2671" s="32"/>
      <c r="Q2671" s="32"/>
      <c r="R2671" s="32"/>
      <c r="S2671" s="32"/>
      <c r="T2671" s="32"/>
      <c r="U2671" s="30"/>
    </row>
    <row r="2672" spans="1:21">
      <c r="A2672" s="29"/>
      <c r="B2672" s="29"/>
      <c r="C2672" s="29"/>
      <c r="D2672" s="29"/>
      <c r="E2672" s="29"/>
      <c r="F2672" s="29"/>
      <c r="G2672" s="29"/>
      <c r="H2672" s="29"/>
      <c r="J2672" s="29"/>
      <c r="K2672" s="29"/>
      <c r="L2672" s="19"/>
      <c r="M2672" s="19"/>
      <c r="N2672" s="30"/>
      <c r="O2672" s="30"/>
      <c r="P2672" s="32"/>
      <c r="Q2672" s="32"/>
      <c r="R2672" s="32"/>
      <c r="S2672" s="32"/>
      <c r="T2672" s="32"/>
      <c r="U2672" s="30"/>
    </row>
    <row r="2673" spans="1:21">
      <c r="A2673" s="29"/>
      <c r="B2673" s="29"/>
      <c r="C2673" s="29"/>
      <c r="D2673" s="29"/>
      <c r="E2673" s="29"/>
      <c r="F2673" s="29"/>
      <c r="G2673" s="29"/>
      <c r="H2673" s="29"/>
      <c r="J2673" s="29"/>
      <c r="K2673" s="29"/>
      <c r="L2673" s="19"/>
      <c r="M2673" s="19"/>
      <c r="N2673" s="30"/>
      <c r="O2673" s="30"/>
      <c r="P2673" s="32"/>
      <c r="Q2673" s="32"/>
      <c r="R2673" s="32"/>
      <c r="S2673" s="32"/>
      <c r="T2673" s="32"/>
      <c r="U2673" s="30"/>
    </row>
    <row r="2674" spans="1:21">
      <c r="A2674" s="29"/>
      <c r="B2674" s="29"/>
      <c r="C2674" s="29"/>
      <c r="D2674" s="29"/>
      <c r="E2674" s="29"/>
      <c r="F2674" s="29"/>
      <c r="G2674" s="29"/>
      <c r="H2674" s="29"/>
      <c r="J2674" s="29"/>
      <c r="K2674" s="29"/>
      <c r="L2674" s="19"/>
      <c r="M2674" s="19"/>
      <c r="N2674" s="30"/>
      <c r="O2674" s="30"/>
      <c r="P2674" s="32"/>
      <c r="Q2674" s="32"/>
      <c r="R2674" s="32"/>
      <c r="S2674" s="32"/>
      <c r="T2674" s="32"/>
      <c r="U2674" s="30"/>
    </row>
    <row r="2675" spans="1:21">
      <c r="A2675" s="29"/>
      <c r="B2675" s="29"/>
      <c r="C2675" s="29"/>
      <c r="D2675" s="29"/>
      <c r="E2675" s="29"/>
      <c r="F2675" s="29"/>
      <c r="G2675" s="29"/>
      <c r="H2675" s="29"/>
      <c r="J2675" s="29"/>
      <c r="K2675" s="29"/>
      <c r="L2675" s="19"/>
      <c r="M2675" s="19"/>
      <c r="N2675" s="30"/>
      <c r="O2675" s="30"/>
      <c r="P2675" s="32"/>
      <c r="Q2675" s="32"/>
      <c r="R2675" s="32"/>
      <c r="S2675" s="32"/>
      <c r="T2675" s="32"/>
      <c r="U2675" s="30"/>
    </row>
    <row r="2676" spans="1:21">
      <c r="A2676" s="29"/>
      <c r="B2676" s="29"/>
      <c r="C2676" s="29"/>
      <c r="D2676" s="29"/>
      <c r="E2676" s="29"/>
      <c r="F2676" s="29"/>
      <c r="G2676" s="29"/>
      <c r="H2676" s="29"/>
      <c r="J2676" s="29"/>
      <c r="K2676" s="29"/>
      <c r="L2676" s="19"/>
      <c r="M2676" s="19"/>
      <c r="N2676" s="30"/>
      <c r="O2676" s="30"/>
      <c r="P2676" s="32"/>
      <c r="Q2676" s="32"/>
      <c r="R2676" s="32"/>
      <c r="S2676" s="32"/>
      <c r="T2676" s="32"/>
      <c r="U2676" s="30"/>
    </row>
    <row r="2677" spans="1:21">
      <c r="A2677" s="29"/>
      <c r="B2677" s="29"/>
      <c r="C2677" s="29"/>
      <c r="D2677" s="29"/>
      <c r="E2677" s="29"/>
      <c r="F2677" s="29"/>
      <c r="G2677" s="29"/>
      <c r="H2677" s="29"/>
      <c r="J2677" s="29"/>
      <c r="K2677" s="29"/>
      <c r="L2677" s="19"/>
      <c r="M2677" s="19"/>
      <c r="N2677" s="30"/>
      <c r="O2677" s="30"/>
      <c r="P2677" s="32"/>
      <c r="Q2677" s="32"/>
      <c r="R2677" s="32"/>
      <c r="S2677" s="32"/>
      <c r="T2677" s="32"/>
      <c r="U2677" s="30"/>
    </row>
    <row r="2678" spans="1:21">
      <c r="A2678" s="29"/>
      <c r="B2678" s="29"/>
      <c r="C2678" s="29"/>
      <c r="D2678" s="29"/>
      <c r="E2678" s="29"/>
      <c r="F2678" s="29"/>
      <c r="G2678" s="29"/>
      <c r="H2678" s="29"/>
      <c r="J2678" s="29"/>
      <c r="K2678" s="29"/>
      <c r="L2678" s="19"/>
      <c r="M2678" s="19"/>
      <c r="N2678" s="30"/>
      <c r="O2678" s="30"/>
      <c r="P2678" s="32"/>
      <c r="Q2678" s="32"/>
      <c r="R2678" s="32"/>
      <c r="S2678" s="32"/>
      <c r="T2678" s="32"/>
      <c r="U2678" s="30"/>
    </row>
    <row r="2679" spans="1:21">
      <c r="A2679" s="29"/>
      <c r="B2679" s="29"/>
      <c r="C2679" s="29"/>
      <c r="D2679" s="29"/>
      <c r="E2679" s="29"/>
      <c r="F2679" s="29"/>
      <c r="G2679" s="29"/>
      <c r="H2679" s="29"/>
      <c r="J2679" s="29"/>
      <c r="K2679" s="29"/>
      <c r="L2679" s="19"/>
      <c r="M2679" s="19"/>
      <c r="N2679" s="30"/>
      <c r="O2679" s="30"/>
      <c r="P2679" s="32"/>
      <c r="Q2679" s="32"/>
      <c r="R2679" s="32"/>
      <c r="S2679" s="32"/>
      <c r="T2679" s="32"/>
      <c r="U2679" s="30"/>
    </row>
    <row r="2680" spans="1:21">
      <c r="A2680" s="29"/>
      <c r="B2680" s="29"/>
      <c r="C2680" s="29"/>
      <c r="D2680" s="29"/>
      <c r="E2680" s="29"/>
      <c r="F2680" s="29"/>
      <c r="G2680" s="29"/>
      <c r="H2680" s="29"/>
      <c r="J2680" s="29"/>
      <c r="K2680" s="29"/>
      <c r="L2680" s="19"/>
      <c r="M2680" s="19"/>
      <c r="N2680" s="30"/>
      <c r="O2680" s="30"/>
      <c r="P2680" s="32"/>
      <c r="Q2680" s="32"/>
      <c r="R2680" s="32"/>
      <c r="S2680" s="32"/>
      <c r="T2680" s="32"/>
      <c r="U2680" s="30"/>
    </row>
    <row r="2681" spans="1:21">
      <c r="A2681" s="29"/>
      <c r="B2681" s="29"/>
      <c r="C2681" s="29"/>
      <c r="D2681" s="29"/>
      <c r="E2681" s="29"/>
      <c r="F2681" s="29"/>
      <c r="G2681" s="29"/>
      <c r="H2681" s="29"/>
      <c r="J2681" s="29"/>
      <c r="K2681" s="29"/>
      <c r="L2681" s="19"/>
      <c r="M2681" s="19"/>
      <c r="N2681" s="30"/>
      <c r="O2681" s="30"/>
      <c r="P2681" s="32"/>
      <c r="Q2681" s="32"/>
      <c r="R2681" s="32"/>
      <c r="S2681" s="32"/>
      <c r="T2681" s="32"/>
      <c r="U2681" s="30"/>
    </row>
    <row r="2682" spans="1:21">
      <c r="A2682" s="29"/>
      <c r="B2682" s="29"/>
      <c r="C2682" s="29"/>
      <c r="D2682" s="29"/>
      <c r="E2682" s="29"/>
      <c r="F2682" s="29"/>
      <c r="G2682" s="29"/>
      <c r="H2682" s="29"/>
      <c r="J2682" s="29"/>
      <c r="K2682" s="29"/>
      <c r="L2682" s="19"/>
      <c r="M2682" s="19"/>
      <c r="N2682" s="30"/>
      <c r="O2682" s="30"/>
      <c r="P2682" s="32"/>
      <c r="Q2682" s="32"/>
      <c r="R2682" s="32"/>
      <c r="S2682" s="32"/>
      <c r="T2682" s="32"/>
      <c r="U2682" s="30"/>
    </row>
    <row r="2683" spans="1:21">
      <c r="A2683" s="29"/>
      <c r="B2683" s="29"/>
      <c r="C2683" s="29"/>
      <c r="D2683" s="29"/>
      <c r="E2683" s="29"/>
      <c r="F2683" s="29"/>
      <c r="G2683" s="29"/>
      <c r="H2683" s="29"/>
      <c r="J2683" s="29"/>
      <c r="K2683" s="29"/>
      <c r="L2683" s="19"/>
      <c r="M2683" s="19"/>
      <c r="N2683" s="30"/>
      <c r="O2683" s="30"/>
      <c r="P2683" s="32"/>
      <c r="Q2683" s="32"/>
      <c r="R2683" s="32"/>
      <c r="S2683" s="32"/>
      <c r="T2683" s="32"/>
      <c r="U2683" s="30"/>
    </row>
    <row r="2684" spans="1:21">
      <c r="A2684" s="29"/>
      <c r="B2684" s="29"/>
      <c r="C2684" s="29"/>
      <c r="D2684" s="29"/>
      <c r="E2684" s="29"/>
      <c r="F2684" s="29"/>
      <c r="G2684" s="29"/>
      <c r="H2684" s="29"/>
      <c r="J2684" s="29"/>
      <c r="K2684" s="29"/>
      <c r="L2684" s="19"/>
      <c r="M2684" s="19"/>
      <c r="N2684" s="30"/>
      <c r="O2684" s="30"/>
      <c r="P2684" s="32"/>
      <c r="Q2684" s="32"/>
      <c r="R2684" s="32"/>
      <c r="S2684" s="32"/>
      <c r="T2684" s="32"/>
      <c r="U2684" s="30"/>
    </row>
    <row r="2685" spans="1:21">
      <c r="A2685" s="29"/>
      <c r="B2685" s="29"/>
      <c r="C2685" s="29"/>
      <c r="D2685" s="29"/>
      <c r="E2685" s="29"/>
      <c r="F2685" s="29"/>
      <c r="G2685" s="29"/>
      <c r="H2685" s="29"/>
      <c r="J2685" s="29"/>
      <c r="K2685" s="29"/>
      <c r="L2685" s="19"/>
      <c r="M2685" s="19"/>
      <c r="N2685" s="30"/>
      <c r="O2685" s="30"/>
      <c r="P2685" s="32"/>
      <c r="Q2685" s="32"/>
      <c r="R2685" s="32"/>
      <c r="S2685" s="32"/>
      <c r="T2685" s="32"/>
      <c r="U2685" s="30"/>
    </row>
    <row r="2686" spans="1:21">
      <c r="A2686" s="29"/>
      <c r="B2686" s="29"/>
      <c r="C2686" s="29"/>
      <c r="D2686" s="29"/>
      <c r="E2686" s="29"/>
      <c r="F2686" s="29"/>
      <c r="G2686" s="29"/>
      <c r="H2686" s="29"/>
      <c r="J2686" s="29"/>
      <c r="K2686" s="29"/>
      <c r="L2686" s="19"/>
      <c r="M2686" s="19"/>
      <c r="N2686" s="30"/>
      <c r="O2686" s="30"/>
      <c r="P2686" s="32"/>
      <c r="Q2686" s="32"/>
      <c r="R2686" s="32"/>
      <c r="S2686" s="32"/>
      <c r="T2686" s="32"/>
      <c r="U2686" s="30"/>
    </row>
    <row r="2687" spans="1:21">
      <c r="A2687" s="29"/>
      <c r="B2687" s="29"/>
      <c r="C2687" s="29"/>
      <c r="D2687" s="29"/>
      <c r="E2687" s="29"/>
      <c r="F2687" s="29"/>
      <c r="G2687" s="29"/>
      <c r="H2687" s="29"/>
      <c r="J2687" s="29"/>
      <c r="K2687" s="29"/>
      <c r="L2687" s="19"/>
      <c r="M2687" s="19"/>
      <c r="N2687" s="30"/>
      <c r="O2687" s="30"/>
      <c r="P2687" s="32"/>
      <c r="Q2687" s="32"/>
      <c r="R2687" s="32"/>
      <c r="S2687" s="32"/>
      <c r="T2687" s="32"/>
      <c r="U2687" s="30"/>
    </row>
    <row r="2688" spans="1:21">
      <c r="A2688" s="29"/>
      <c r="B2688" s="29"/>
      <c r="C2688" s="29"/>
      <c r="D2688" s="29"/>
      <c r="E2688" s="29"/>
      <c r="F2688" s="29"/>
      <c r="G2688" s="29"/>
      <c r="H2688" s="29"/>
      <c r="J2688" s="29"/>
      <c r="K2688" s="29"/>
      <c r="L2688" s="19"/>
      <c r="M2688" s="19"/>
      <c r="N2688" s="30"/>
      <c r="O2688" s="30"/>
      <c r="P2688" s="32"/>
      <c r="Q2688" s="32"/>
      <c r="R2688" s="32"/>
      <c r="S2688" s="32"/>
      <c r="T2688" s="32"/>
      <c r="U2688" s="30"/>
    </row>
    <row r="2689" spans="1:21">
      <c r="A2689" s="29"/>
      <c r="B2689" s="29"/>
      <c r="C2689" s="29"/>
      <c r="D2689" s="29"/>
      <c r="E2689" s="29"/>
      <c r="F2689" s="29"/>
      <c r="G2689" s="29"/>
      <c r="H2689" s="29"/>
      <c r="J2689" s="29"/>
      <c r="K2689" s="29"/>
      <c r="L2689" s="19"/>
      <c r="M2689" s="19"/>
      <c r="N2689" s="30"/>
      <c r="O2689" s="30"/>
      <c r="P2689" s="32"/>
      <c r="Q2689" s="32"/>
      <c r="R2689" s="32"/>
      <c r="S2689" s="32"/>
      <c r="T2689" s="32"/>
      <c r="U2689" s="30"/>
    </row>
    <row r="2690" spans="1:21">
      <c r="A2690" s="29"/>
      <c r="B2690" s="29"/>
      <c r="C2690" s="29"/>
      <c r="D2690" s="29"/>
      <c r="E2690" s="29"/>
      <c r="F2690" s="29"/>
      <c r="G2690" s="29"/>
      <c r="H2690" s="29"/>
      <c r="J2690" s="29"/>
      <c r="K2690" s="29"/>
      <c r="L2690" s="19"/>
      <c r="M2690" s="19"/>
      <c r="N2690" s="30"/>
      <c r="O2690" s="30"/>
      <c r="P2690" s="32"/>
      <c r="Q2690" s="32"/>
      <c r="R2690" s="32"/>
      <c r="S2690" s="32"/>
      <c r="T2690" s="32"/>
      <c r="U2690" s="30"/>
    </row>
    <row r="2691" spans="1:21">
      <c r="A2691" s="29"/>
      <c r="B2691" s="29"/>
      <c r="C2691" s="29"/>
      <c r="D2691" s="29"/>
      <c r="E2691" s="29"/>
      <c r="F2691" s="29"/>
      <c r="G2691" s="29"/>
      <c r="H2691" s="29"/>
      <c r="J2691" s="29"/>
      <c r="K2691" s="29"/>
      <c r="L2691" s="19"/>
      <c r="M2691" s="19"/>
      <c r="N2691" s="30"/>
      <c r="O2691" s="30"/>
      <c r="P2691" s="32"/>
      <c r="Q2691" s="32"/>
      <c r="R2691" s="32"/>
      <c r="S2691" s="32"/>
      <c r="T2691" s="32"/>
      <c r="U2691" s="30"/>
    </row>
    <row r="2692" spans="1:21">
      <c r="A2692" s="29"/>
      <c r="B2692" s="29"/>
      <c r="C2692" s="29"/>
      <c r="D2692" s="29"/>
      <c r="E2692" s="29"/>
      <c r="F2692" s="29"/>
      <c r="G2692" s="29"/>
      <c r="H2692" s="29"/>
      <c r="J2692" s="29"/>
      <c r="K2692" s="29"/>
      <c r="L2692" s="19"/>
      <c r="M2692" s="19"/>
      <c r="N2692" s="30"/>
      <c r="O2692" s="30"/>
      <c r="P2692" s="32"/>
      <c r="Q2692" s="32"/>
      <c r="R2692" s="32"/>
      <c r="S2692" s="32"/>
      <c r="T2692" s="32"/>
      <c r="U2692" s="30"/>
    </row>
    <row r="2693" spans="1:21">
      <c r="A2693" s="29"/>
      <c r="B2693" s="29"/>
      <c r="C2693" s="29"/>
      <c r="D2693" s="29"/>
      <c r="E2693" s="29"/>
      <c r="F2693" s="29"/>
      <c r="G2693" s="29"/>
      <c r="H2693" s="29"/>
      <c r="J2693" s="29"/>
      <c r="K2693" s="29"/>
      <c r="L2693" s="19"/>
      <c r="M2693" s="19"/>
      <c r="N2693" s="30"/>
      <c r="O2693" s="30"/>
      <c r="P2693" s="32"/>
      <c r="Q2693" s="32"/>
      <c r="R2693" s="32"/>
      <c r="S2693" s="32"/>
      <c r="T2693" s="32"/>
      <c r="U2693" s="30"/>
    </row>
    <row r="2694" spans="1:21">
      <c r="A2694" s="29"/>
      <c r="B2694" s="29"/>
      <c r="C2694" s="29"/>
      <c r="D2694" s="29"/>
      <c r="E2694" s="29"/>
      <c r="F2694" s="29"/>
      <c r="G2694" s="29"/>
      <c r="H2694" s="29"/>
      <c r="J2694" s="29"/>
      <c r="K2694" s="29"/>
      <c r="L2694" s="19"/>
      <c r="M2694" s="19"/>
      <c r="N2694" s="30"/>
      <c r="O2694" s="30"/>
      <c r="P2694" s="32"/>
      <c r="Q2694" s="32"/>
      <c r="R2694" s="32"/>
      <c r="S2694" s="32"/>
      <c r="T2694" s="32"/>
      <c r="U2694" s="30"/>
    </row>
    <row r="2695" spans="1:21">
      <c r="A2695" s="29"/>
      <c r="B2695" s="29"/>
      <c r="C2695" s="29"/>
      <c r="D2695" s="29"/>
      <c r="E2695" s="29"/>
      <c r="F2695" s="29"/>
      <c r="G2695" s="29"/>
      <c r="H2695" s="29"/>
      <c r="J2695" s="29"/>
      <c r="K2695" s="29"/>
      <c r="L2695" s="19"/>
      <c r="M2695" s="19"/>
      <c r="N2695" s="30"/>
      <c r="O2695" s="30"/>
      <c r="P2695" s="32"/>
      <c r="Q2695" s="32"/>
      <c r="R2695" s="32"/>
      <c r="S2695" s="32"/>
      <c r="T2695" s="32"/>
      <c r="U2695" s="30"/>
    </row>
    <row r="2696" spans="1:21">
      <c r="A2696" s="29"/>
      <c r="B2696" s="29"/>
      <c r="C2696" s="29"/>
      <c r="D2696" s="29"/>
      <c r="E2696" s="29"/>
      <c r="F2696" s="29"/>
      <c r="G2696" s="29"/>
      <c r="H2696" s="29"/>
      <c r="J2696" s="29"/>
      <c r="K2696" s="29"/>
      <c r="L2696" s="19"/>
      <c r="M2696" s="19"/>
      <c r="N2696" s="30"/>
      <c r="O2696" s="30"/>
      <c r="P2696" s="32"/>
      <c r="Q2696" s="32"/>
      <c r="R2696" s="32"/>
      <c r="S2696" s="32"/>
      <c r="T2696" s="32"/>
      <c r="U2696" s="30"/>
    </row>
    <row r="2697" spans="1:21">
      <c r="A2697" s="29"/>
      <c r="B2697" s="29"/>
      <c r="C2697" s="29"/>
      <c r="D2697" s="29"/>
      <c r="E2697" s="29"/>
      <c r="F2697" s="29"/>
      <c r="G2697" s="29"/>
      <c r="H2697" s="29"/>
      <c r="J2697" s="29"/>
      <c r="K2697" s="29"/>
      <c r="L2697" s="19"/>
      <c r="M2697" s="19"/>
      <c r="N2697" s="30"/>
      <c r="O2697" s="30"/>
      <c r="P2697" s="32"/>
      <c r="Q2697" s="32"/>
      <c r="R2697" s="32"/>
      <c r="S2697" s="32"/>
      <c r="T2697" s="32"/>
      <c r="U2697" s="30"/>
    </row>
    <row r="2698" spans="1:21">
      <c r="A2698" s="29"/>
      <c r="B2698" s="29"/>
      <c r="C2698" s="29"/>
      <c r="D2698" s="29"/>
      <c r="E2698" s="29"/>
      <c r="F2698" s="29"/>
      <c r="G2698" s="29"/>
      <c r="H2698" s="29"/>
      <c r="J2698" s="29"/>
      <c r="K2698" s="29"/>
      <c r="L2698" s="19"/>
      <c r="M2698" s="19"/>
      <c r="N2698" s="30"/>
      <c r="O2698" s="30"/>
      <c r="P2698" s="32"/>
      <c r="Q2698" s="32"/>
      <c r="R2698" s="32"/>
      <c r="S2698" s="32"/>
      <c r="T2698" s="32"/>
      <c r="U2698" s="30"/>
    </row>
    <row r="2699" spans="1:21">
      <c r="A2699" s="29"/>
      <c r="B2699" s="29"/>
      <c r="C2699" s="29"/>
      <c r="D2699" s="29"/>
      <c r="E2699" s="29"/>
      <c r="F2699" s="29"/>
      <c r="G2699" s="29"/>
      <c r="H2699" s="29"/>
      <c r="J2699" s="29"/>
      <c r="K2699" s="29"/>
      <c r="L2699" s="19"/>
      <c r="M2699" s="19"/>
      <c r="N2699" s="30"/>
      <c r="O2699" s="30"/>
      <c r="P2699" s="32"/>
      <c r="Q2699" s="32"/>
      <c r="R2699" s="32"/>
      <c r="S2699" s="32"/>
      <c r="T2699" s="32"/>
      <c r="U2699" s="30"/>
    </row>
    <row r="2700" spans="1:21">
      <c r="A2700" s="29"/>
      <c r="B2700" s="29"/>
      <c r="C2700" s="29"/>
      <c r="D2700" s="29"/>
      <c r="E2700" s="29"/>
      <c r="F2700" s="29"/>
      <c r="G2700" s="29"/>
      <c r="H2700" s="29"/>
      <c r="J2700" s="29"/>
      <c r="K2700" s="29"/>
      <c r="L2700" s="19"/>
      <c r="M2700" s="19"/>
      <c r="N2700" s="30"/>
      <c r="O2700" s="30"/>
      <c r="P2700" s="32"/>
      <c r="Q2700" s="32"/>
      <c r="R2700" s="32"/>
      <c r="S2700" s="32"/>
      <c r="T2700" s="32"/>
      <c r="U2700" s="30"/>
    </row>
    <row r="2701" spans="1:21">
      <c r="A2701" s="29"/>
      <c r="B2701" s="29"/>
      <c r="C2701" s="29"/>
      <c r="D2701" s="29"/>
      <c r="E2701" s="29"/>
      <c r="F2701" s="29"/>
      <c r="G2701" s="29"/>
      <c r="H2701" s="29"/>
      <c r="J2701" s="29"/>
      <c r="K2701" s="29"/>
      <c r="L2701" s="19"/>
      <c r="M2701" s="19"/>
      <c r="N2701" s="30"/>
      <c r="O2701" s="30"/>
      <c r="P2701" s="32"/>
      <c r="Q2701" s="32"/>
      <c r="R2701" s="32"/>
      <c r="S2701" s="32"/>
      <c r="T2701" s="32"/>
      <c r="U2701" s="30"/>
    </row>
    <row r="2702" spans="1:21">
      <c r="A2702" s="29"/>
      <c r="B2702" s="29"/>
      <c r="C2702" s="29"/>
      <c r="D2702" s="29"/>
      <c r="E2702" s="29"/>
      <c r="F2702" s="29"/>
      <c r="G2702" s="29"/>
      <c r="H2702" s="29"/>
      <c r="J2702" s="29"/>
      <c r="K2702" s="29"/>
      <c r="L2702" s="19"/>
      <c r="M2702" s="19"/>
      <c r="N2702" s="30"/>
      <c r="O2702" s="30"/>
      <c r="P2702" s="32"/>
      <c r="Q2702" s="32"/>
      <c r="R2702" s="32"/>
      <c r="S2702" s="32"/>
      <c r="T2702" s="32"/>
      <c r="U2702" s="30"/>
    </row>
    <row r="2703" spans="1:21">
      <c r="A2703" s="29"/>
      <c r="B2703" s="29"/>
      <c r="C2703" s="29"/>
      <c r="D2703" s="29"/>
      <c r="E2703" s="29"/>
      <c r="F2703" s="29"/>
      <c r="G2703" s="29"/>
      <c r="H2703" s="29"/>
      <c r="J2703" s="29"/>
      <c r="K2703" s="29"/>
      <c r="L2703" s="19"/>
      <c r="M2703" s="19"/>
      <c r="N2703" s="30"/>
      <c r="O2703" s="30"/>
      <c r="P2703" s="32"/>
      <c r="Q2703" s="32"/>
      <c r="R2703" s="32"/>
      <c r="S2703" s="32"/>
      <c r="T2703" s="32"/>
      <c r="U2703" s="30"/>
    </row>
    <row r="2704" spans="1:21">
      <c r="A2704" s="29"/>
      <c r="B2704" s="29"/>
      <c r="C2704" s="29"/>
      <c r="D2704" s="29"/>
      <c r="E2704" s="29"/>
      <c r="F2704" s="29"/>
      <c r="G2704" s="29"/>
      <c r="H2704" s="29"/>
      <c r="J2704" s="29"/>
      <c r="K2704" s="29"/>
      <c r="L2704" s="19"/>
      <c r="M2704" s="19"/>
      <c r="N2704" s="30"/>
      <c r="O2704" s="30"/>
      <c r="P2704" s="32"/>
      <c r="Q2704" s="32"/>
      <c r="R2704" s="32"/>
      <c r="S2704" s="32"/>
      <c r="T2704" s="32"/>
      <c r="U2704" s="30"/>
    </row>
    <row r="2705" spans="1:21">
      <c r="A2705" s="29"/>
      <c r="B2705" s="29"/>
      <c r="C2705" s="29"/>
      <c r="D2705" s="29"/>
      <c r="E2705" s="29"/>
      <c r="F2705" s="29"/>
      <c r="G2705" s="29"/>
      <c r="H2705" s="29"/>
      <c r="J2705" s="29"/>
      <c r="K2705" s="29"/>
      <c r="L2705" s="19"/>
      <c r="M2705" s="19"/>
      <c r="N2705" s="30"/>
      <c r="O2705" s="30"/>
      <c r="P2705" s="32"/>
      <c r="Q2705" s="32"/>
      <c r="R2705" s="32"/>
      <c r="S2705" s="32"/>
      <c r="T2705" s="32"/>
      <c r="U2705" s="30"/>
    </row>
    <row r="2706" spans="1:21">
      <c r="A2706" s="29"/>
      <c r="B2706" s="29"/>
      <c r="C2706" s="29"/>
      <c r="D2706" s="29"/>
      <c r="E2706" s="29"/>
      <c r="F2706" s="29"/>
      <c r="G2706" s="29"/>
      <c r="H2706" s="29"/>
      <c r="J2706" s="29"/>
      <c r="K2706" s="29"/>
      <c r="L2706" s="19"/>
      <c r="M2706" s="19"/>
      <c r="N2706" s="30"/>
      <c r="O2706" s="30"/>
      <c r="P2706" s="32"/>
      <c r="Q2706" s="32"/>
      <c r="R2706" s="32"/>
      <c r="S2706" s="32"/>
      <c r="T2706" s="32"/>
      <c r="U2706" s="30"/>
    </row>
    <row r="2707" spans="1:21">
      <c r="A2707" s="29"/>
      <c r="B2707" s="29"/>
      <c r="C2707" s="29"/>
      <c r="D2707" s="29"/>
      <c r="E2707" s="29"/>
      <c r="F2707" s="29"/>
      <c r="G2707" s="29"/>
      <c r="H2707" s="29"/>
      <c r="J2707" s="29"/>
      <c r="K2707" s="29"/>
      <c r="L2707" s="19"/>
      <c r="M2707" s="19"/>
      <c r="N2707" s="30"/>
      <c r="O2707" s="30"/>
      <c r="P2707" s="32"/>
      <c r="Q2707" s="32"/>
      <c r="R2707" s="32"/>
      <c r="S2707" s="32"/>
      <c r="T2707" s="32"/>
      <c r="U2707" s="30"/>
    </row>
    <row r="2708" spans="1:21">
      <c r="A2708" s="29"/>
      <c r="B2708" s="29"/>
      <c r="C2708" s="29"/>
      <c r="D2708" s="29"/>
      <c r="E2708" s="29"/>
      <c r="F2708" s="29"/>
      <c r="G2708" s="29"/>
      <c r="H2708" s="29"/>
      <c r="J2708" s="29"/>
      <c r="K2708" s="29"/>
      <c r="L2708" s="19"/>
      <c r="M2708" s="19"/>
      <c r="N2708" s="30"/>
      <c r="O2708" s="30"/>
      <c r="P2708" s="32"/>
      <c r="Q2708" s="32"/>
      <c r="R2708" s="32"/>
      <c r="S2708" s="32"/>
      <c r="T2708" s="32"/>
      <c r="U2708" s="30"/>
    </row>
    <row r="2709" spans="1:21">
      <c r="A2709" s="29"/>
      <c r="B2709" s="29"/>
      <c r="C2709" s="29"/>
      <c r="D2709" s="29"/>
      <c r="E2709" s="29"/>
      <c r="F2709" s="29"/>
      <c r="G2709" s="29"/>
      <c r="H2709" s="29"/>
      <c r="J2709" s="29"/>
      <c r="K2709" s="29"/>
      <c r="L2709" s="19"/>
      <c r="M2709" s="19"/>
      <c r="N2709" s="30"/>
      <c r="O2709" s="30"/>
      <c r="P2709" s="32"/>
      <c r="Q2709" s="32"/>
      <c r="R2709" s="32"/>
      <c r="S2709" s="32"/>
      <c r="T2709" s="32"/>
      <c r="U2709" s="30"/>
    </row>
    <row r="2710" spans="1:21">
      <c r="A2710" s="29"/>
      <c r="B2710" s="29"/>
      <c r="C2710" s="29"/>
      <c r="D2710" s="29"/>
      <c r="E2710" s="29"/>
      <c r="F2710" s="29"/>
      <c r="G2710" s="29"/>
      <c r="H2710" s="29"/>
      <c r="J2710" s="29"/>
      <c r="K2710" s="29"/>
      <c r="L2710" s="19"/>
      <c r="M2710" s="19"/>
      <c r="N2710" s="30"/>
      <c r="O2710" s="30"/>
      <c r="P2710" s="32"/>
      <c r="Q2710" s="32"/>
      <c r="R2710" s="32"/>
      <c r="S2710" s="32"/>
      <c r="T2710" s="32"/>
      <c r="U2710" s="30"/>
    </row>
    <row r="2711" spans="1:21">
      <c r="A2711" s="29"/>
      <c r="B2711" s="29"/>
      <c r="C2711" s="29"/>
      <c r="D2711" s="29"/>
      <c r="E2711" s="29"/>
      <c r="F2711" s="29"/>
      <c r="G2711" s="29"/>
      <c r="H2711" s="29"/>
      <c r="J2711" s="29"/>
      <c r="K2711" s="29"/>
      <c r="L2711" s="19"/>
      <c r="M2711" s="19"/>
      <c r="N2711" s="30"/>
      <c r="O2711" s="30"/>
      <c r="P2711" s="32"/>
      <c r="Q2711" s="32"/>
      <c r="R2711" s="32"/>
      <c r="S2711" s="32"/>
      <c r="T2711" s="32"/>
      <c r="U2711" s="30"/>
    </row>
    <row r="2712" spans="1:21">
      <c r="A2712" s="29"/>
      <c r="B2712" s="29"/>
      <c r="C2712" s="29"/>
      <c r="D2712" s="29"/>
      <c r="E2712" s="29"/>
      <c r="F2712" s="29"/>
      <c r="G2712" s="29"/>
      <c r="H2712" s="29"/>
      <c r="J2712" s="29"/>
      <c r="K2712" s="29"/>
      <c r="L2712" s="19"/>
      <c r="M2712" s="19"/>
      <c r="N2712" s="30"/>
      <c r="O2712" s="30"/>
      <c r="P2712" s="32"/>
      <c r="Q2712" s="32"/>
      <c r="R2712" s="32"/>
      <c r="S2712" s="32"/>
      <c r="T2712" s="32"/>
      <c r="U2712" s="30"/>
    </row>
    <row r="2713" spans="1:21">
      <c r="A2713" s="29"/>
      <c r="B2713" s="29"/>
      <c r="C2713" s="29"/>
      <c r="D2713" s="29"/>
      <c r="E2713" s="29"/>
      <c r="F2713" s="29"/>
      <c r="G2713" s="29"/>
      <c r="H2713" s="29"/>
      <c r="J2713" s="29"/>
      <c r="K2713" s="29"/>
      <c r="L2713" s="19"/>
      <c r="M2713" s="19"/>
      <c r="N2713" s="30"/>
      <c r="O2713" s="30"/>
      <c r="P2713" s="32"/>
      <c r="Q2713" s="32"/>
      <c r="R2713" s="32"/>
      <c r="S2713" s="32"/>
      <c r="T2713" s="32"/>
      <c r="U2713" s="30"/>
    </row>
    <row r="2714" spans="1:21">
      <c r="A2714" s="29"/>
      <c r="B2714" s="29"/>
      <c r="C2714" s="29"/>
      <c r="D2714" s="29"/>
      <c r="E2714" s="29"/>
      <c r="F2714" s="29"/>
      <c r="G2714" s="29"/>
      <c r="H2714" s="29"/>
      <c r="J2714" s="29"/>
      <c r="K2714" s="29"/>
      <c r="L2714" s="19"/>
      <c r="M2714" s="19"/>
      <c r="N2714" s="30"/>
      <c r="O2714" s="30"/>
      <c r="P2714" s="32"/>
      <c r="Q2714" s="32"/>
      <c r="R2714" s="32"/>
      <c r="S2714" s="32"/>
      <c r="T2714" s="32"/>
      <c r="U2714" s="30"/>
    </row>
    <row r="2715" spans="1:21">
      <c r="A2715" s="29"/>
      <c r="B2715" s="29"/>
      <c r="C2715" s="29"/>
      <c r="D2715" s="29"/>
      <c r="E2715" s="29"/>
      <c r="F2715" s="29"/>
      <c r="G2715" s="29"/>
      <c r="H2715" s="29"/>
      <c r="J2715" s="29"/>
      <c r="K2715" s="29"/>
      <c r="L2715" s="19"/>
      <c r="M2715" s="19"/>
      <c r="N2715" s="30"/>
      <c r="O2715" s="30"/>
      <c r="P2715" s="32"/>
      <c r="Q2715" s="32"/>
      <c r="R2715" s="32"/>
      <c r="S2715" s="32"/>
      <c r="T2715" s="32"/>
      <c r="U2715" s="30"/>
    </row>
    <row r="2716" spans="1:21">
      <c r="A2716" s="29"/>
      <c r="B2716" s="29"/>
      <c r="C2716" s="29"/>
      <c r="D2716" s="29"/>
      <c r="E2716" s="29"/>
      <c r="F2716" s="29"/>
      <c r="G2716" s="29"/>
      <c r="H2716" s="29"/>
      <c r="J2716" s="29"/>
      <c r="K2716" s="29"/>
      <c r="L2716" s="19"/>
      <c r="M2716" s="19"/>
      <c r="N2716" s="30"/>
      <c r="O2716" s="30"/>
      <c r="P2716" s="32"/>
      <c r="Q2716" s="32"/>
      <c r="R2716" s="32"/>
      <c r="S2716" s="32"/>
      <c r="T2716" s="32"/>
      <c r="U2716" s="30"/>
    </row>
    <row r="2717" spans="1:21">
      <c r="A2717" s="29"/>
      <c r="B2717" s="29"/>
      <c r="C2717" s="29"/>
      <c r="D2717" s="29"/>
      <c r="E2717" s="29"/>
      <c r="F2717" s="29"/>
      <c r="G2717" s="29"/>
      <c r="H2717" s="29"/>
      <c r="J2717" s="29"/>
      <c r="K2717" s="29"/>
      <c r="L2717" s="19"/>
      <c r="M2717" s="19"/>
      <c r="N2717" s="30"/>
      <c r="O2717" s="30"/>
      <c r="P2717" s="32"/>
      <c r="Q2717" s="32"/>
      <c r="R2717" s="32"/>
      <c r="S2717" s="32"/>
      <c r="T2717" s="32"/>
      <c r="U2717" s="30"/>
    </row>
    <row r="2718" spans="1:21">
      <c r="A2718" s="29"/>
      <c r="B2718" s="29"/>
      <c r="C2718" s="29"/>
      <c r="D2718" s="29"/>
      <c r="E2718" s="29"/>
      <c r="F2718" s="29"/>
      <c r="G2718" s="29"/>
      <c r="H2718" s="29"/>
      <c r="J2718" s="29"/>
      <c r="K2718" s="29"/>
      <c r="L2718" s="19"/>
      <c r="M2718" s="19"/>
      <c r="N2718" s="30"/>
      <c r="O2718" s="30"/>
      <c r="P2718" s="32"/>
      <c r="Q2718" s="32"/>
      <c r="R2718" s="32"/>
      <c r="S2718" s="32"/>
      <c r="T2718" s="32"/>
      <c r="U2718" s="30"/>
    </row>
    <row r="2719" spans="1:21">
      <c r="A2719" s="29"/>
      <c r="B2719" s="29"/>
      <c r="C2719" s="29"/>
      <c r="D2719" s="29"/>
      <c r="E2719" s="29"/>
      <c r="F2719" s="29"/>
      <c r="G2719" s="29"/>
      <c r="H2719" s="29"/>
      <c r="J2719" s="29"/>
      <c r="K2719" s="29"/>
      <c r="L2719" s="19"/>
      <c r="M2719" s="19"/>
      <c r="N2719" s="30"/>
      <c r="O2719" s="30"/>
      <c r="P2719" s="32"/>
      <c r="Q2719" s="32"/>
      <c r="R2719" s="32"/>
      <c r="S2719" s="32"/>
      <c r="T2719" s="32"/>
      <c r="U2719" s="30"/>
    </row>
    <row r="2720" spans="1:21">
      <c r="A2720" s="29"/>
      <c r="B2720" s="29"/>
      <c r="C2720" s="29"/>
      <c r="D2720" s="29"/>
      <c r="E2720" s="29"/>
      <c r="F2720" s="29"/>
      <c r="G2720" s="29"/>
      <c r="H2720" s="29"/>
      <c r="J2720" s="29"/>
      <c r="K2720" s="29"/>
      <c r="L2720" s="19"/>
      <c r="M2720" s="19"/>
      <c r="N2720" s="30"/>
      <c r="O2720" s="30"/>
      <c r="P2720" s="32"/>
      <c r="Q2720" s="32"/>
      <c r="R2720" s="32"/>
      <c r="S2720" s="32"/>
      <c r="T2720" s="32"/>
      <c r="U2720" s="30"/>
    </row>
    <row r="2721" spans="1:21">
      <c r="A2721" s="29"/>
      <c r="B2721" s="29"/>
      <c r="C2721" s="29"/>
      <c r="D2721" s="29"/>
      <c r="E2721" s="29"/>
      <c r="F2721" s="29"/>
      <c r="G2721" s="29"/>
      <c r="H2721" s="29"/>
      <c r="J2721" s="29"/>
      <c r="K2721" s="29"/>
      <c r="L2721" s="19"/>
      <c r="M2721" s="19"/>
      <c r="N2721" s="30"/>
      <c r="O2721" s="30"/>
      <c r="P2721" s="32"/>
      <c r="Q2721" s="32"/>
      <c r="R2721" s="32"/>
      <c r="S2721" s="32"/>
      <c r="T2721" s="32"/>
      <c r="U2721" s="30"/>
    </row>
    <row r="2722" spans="1:21">
      <c r="A2722" s="29"/>
      <c r="B2722" s="29"/>
      <c r="C2722" s="29"/>
      <c r="D2722" s="29"/>
      <c r="E2722" s="29"/>
      <c r="F2722" s="29"/>
      <c r="G2722" s="29"/>
      <c r="H2722" s="29"/>
      <c r="J2722" s="29"/>
      <c r="K2722" s="29"/>
      <c r="L2722" s="19"/>
      <c r="M2722" s="19"/>
      <c r="N2722" s="30"/>
      <c r="O2722" s="30"/>
      <c r="P2722" s="32"/>
      <c r="Q2722" s="32"/>
      <c r="R2722" s="32"/>
      <c r="S2722" s="32"/>
      <c r="T2722" s="32"/>
      <c r="U2722" s="30"/>
    </row>
    <row r="2723" spans="1:21">
      <c r="A2723" s="29"/>
      <c r="B2723" s="29"/>
      <c r="C2723" s="29"/>
      <c r="D2723" s="29"/>
      <c r="E2723" s="29"/>
      <c r="F2723" s="29"/>
      <c r="G2723" s="29"/>
      <c r="H2723" s="29"/>
      <c r="J2723" s="29"/>
      <c r="K2723" s="29"/>
      <c r="L2723" s="19"/>
      <c r="M2723" s="19"/>
      <c r="N2723" s="30"/>
      <c r="O2723" s="30"/>
      <c r="P2723" s="32"/>
      <c r="Q2723" s="32"/>
      <c r="R2723" s="32"/>
      <c r="S2723" s="32"/>
      <c r="T2723" s="32"/>
      <c r="U2723" s="30"/>
    </row>
    <row r="2724" spans="1:21">
      <c r="A2724" s="29"/>
      <c r="B2724" s="29"/>
      <c r="C2724" s="29"/>
      <c r="D2724" s="29"/>
      <c r="E2724" s="29"/>
      <c r="F2724" s="29"/>
      <c r="G2724" s="29"/>
      <c r="H2724" s="29"/>
      <c r="J2724" s="29"/>
      <c r="K2724" s="29"/>
      <c r="L2724" s="19"/>
      <c r="M2724" s="19"/>
      <c r="N2724" s="30"/>
      <c r="O2724" s="30"/>
      <c r="P2724" s="32"/>
      <c r="Q2724" s="32"/>
      <c r="R2724" s="32"/>
      <c r="S2724" s="32"/>
      <c r="T2724" s="32"/>
      <c r="U2724" s="30"/>
    </row>
    <row r="2725" spans="1:21">
      <c r="A2725" s="29"/>
      <c r="B2725" s="29"/>
      <c r="C2725" s="29"/>
      <c r="D2725" s="29"/>
      <c r="E2725" s="29"/>
      <c r="F2725" s="29"/>
      <c r="G2725" s="29"/>
      <c r="H2725" s="29"/>
      <c r="J2725" s="29"/>
      <c r="K2725" s="29"/>
      <c r="L2725" s="19"/>
      <c r="M2725" s="19"/>
      <c r="N2725" s="30"/>
      <c r="O2725" s="30"/>
      <c r="P2725" s="32"/>
      <c r="Q2725" s="32"/>
      <c r="R2725" s="32"/>
      <c r="S2725" s="32"/>
      <c r="T2725" s="32"/>
      <c r="U2725" s="30"/>
    </row>
    <row r="2726" spans="1:21">
      <c r="A2726" s="29"/>
      <c r="B2726" s="29"/>
      <c r="C2726" s="29"/>
      <c r="D2726" s="29"/>
      <c r="E2726" s="29"/>
      <c r="F2726" s="29"/>
      <c r="G2726" s="29"/>
      <c r="H2726" s="29"/>
      <c r="J2726" s="29"/>
      <c r="K2726" s="29"/>
      <c r="L2726" s="19"/>
      <c r="M2726" s="19"/>
      <c r="N2726" s="30"/>
      <c r="O2726" s="30"/>
      <c r="P2726" s="32"/>
      <c r="Q2726" s="32"/>
      <c r="R2726" s="32"/>
      <c r="S2726" s="32"/>
      <c r="T2726" s="32"/>
      <c r="U2726" s="30"/>
    </row>
    <row r="2727" spans="1:21">
      <c r="A2727" s="29"/>
      <c r="B2727" s="29"/>
      <c r="C2727" s="29"/>
      <c r="D2727" s="29"/>
      <c r="E2727" s="29"/>
      <c r="F2727" s="29"/>
      <c r="G2727" s="29"/>
      <c r="H2727" s="29"/>
      <c r="J2727" s="29"/>
      <c r="K2727" s="29"/>
      <c r="L2727" s="19"/>
      <c r="M2727" s="19"/>
      <c r="N2727" s="30"/>
      <c r="O2727" s="30"/>
      <c r="P2727" s="32"/>
      <c r="Q2727" s="32"/>
      <c r="R2727" s="32"/>
      <c r="S2727" s="32"/>
      <c r="T2727" s="32"/>
      <c r="U2727" s="30"/>
    </row>
    <row r="2728" spans="1:21">
      <c r="A2728" s="29"/>
      <c r="B2728" s="29"/>
      <c r="C2728" s="29"/>
      <c r="D2728" s="29"/>
      <c r="E2728" s="29"/>
      <c r="F2728" s="29"/>
      <c r="G2728" s="29"/>
      <c r="H2728" s="29"/>
      <c r="J2728" s="29"/>
      <c r="K2728" s="29"/>
      <c r="L2728" s="19"/>
      <c r="M2728" s="19"/>
      <c r="N2728" s="30"/>
      <c r="O2728" s="30"/>
      <c r="P2728" s="32"/>
      <c r="Q2728" s="32"/>
      <c r="R2728" s="32"/>
      <c r="S2728" s="32"/>
      <c r="T2728" s="32"/>
      <c r="U2728" s="30"/>
    </row>
    <row r="2729" spans="1:21">
      <c r="A2729" s="29"/>
      <c r="B2729" s="29"/>
      <c r="C2729" s="29"/>
      <c r="D2729" s="29"/>
      <c r="E2729" s="29"/>
      <c r="F2729" s="29"/>
      <c r="G2729" s="29"/>
      <c r="H2729" s="29"/>
      <c r="J2729" s="29"/>
      <c r="K2729" s="29"/>
      <c r="L2729" s="19"/>
      <c r="M2729" s="19"/>
      <c r="N2729" s="30"/>
      <c r="O2729" s="30"/>
      <c r="P2729" s="32"/>
      <c r="Q2729" s="32"/>
      <c r="R2729" s="32"/>
      <c r="S2729" s="32"/>
      <c r="T2729" s="32"/>
      <c r="U2729" s="30"/>
    </row>
    <row r="2730" spans="1:21">
      <c r="A2730" s="29"/>
      <c r="B2730" s="29"/>
      <c r="C2730" s="29"/>
      <c r="D2730" s="29"/>
      <c r="E2730" s="29"/>
      <c r="F2730" s="29"/>
      <c r="G2730" s="29"/>
      <c r="H2730" s="29"/>
      <c r="J2730" s="29"/>
      <c r="K2730" s="29"/>
      <c r="L2730" s="19"/>
      <c r="M2730" s="19"/>
      <c r="N2730" s="30"/>
      <c r="O2730" s="30"/>
      <c r="P2730" s="32"/>
      <c r="Q2730" s="32"/>
      <c r="R2730" s="32"/>
      <c r="S2730" s="32"/>
      <c r="T2730" s="32"/>
      <c r="U2730" s="30"/>
    </row>
    <row r="2731" spans="1:21">
      <c r="A2731" s="29"/>
      <c r="B2731" s="29"/>
      <c r="C2731" s="29"/>
      <c r="D2731" s="29"/>
      <c r="E2731" s="29"/>
      <c r="F2731" s="29"/>
      <c r="G2731" s="29"/>
      <c r="H2731" s="29"/>
      <c r="J2731" s="29"/>
      <c r="K2731" s="29"/>
      <c r="L2731" s="19"/>
      <c r="M2731" s="19"/>
      <c r="N2731" s="30"/>
      <c r="O2731" s="30"/>
      <c r="P2731" s="32"/>
      <c r="Q2731" s="32"/>
      <c r="R2731" s="32"/>
      <c r="S2731" s="32"/>
      <c r="T2731" s="32"/>
      <c r="U2731" s="30"/>
    </row>
    <row r="2732" spans="1:21">
      <c r="A2732" s="29"/>
      <c r="B2732" s="29"/>
      <c r="C2732" s="29"/>
      <c r="D2732" s="29"/>
      <c r="E2732" s="29"/>
      <c r="F2732" s="29"/>
      <c r="G2732" s="29"/>
      <c r="H2732" s="29"/>
      <c r="J2732" s="29"/>
      <c r="K2732" s="29"/>
      <c r="L2732" s="19"/>
      <c r="M2732" s="19"/>
      <c r="N2732" s="30"/>
      <c r="O2732" s="30"/>
      <c r="P2732" s="32"/>
      <c r="Q2732" s="32"/>
      <c r="R2732" s="32"/>
      <c r="S2732" s="32"/>
      <c r="T2732" s="32"/>
      <c r="U2732" s="30"/>
    </row>
    <row r="2733" spans="1:21">
      <c r="A2733" s="29"/>
      <c r="B2733" s="29"/>
      <c r="C2733" s="29"/>
      <c r="D2733" s="29"/>
      <c r="E2733" s="29"/>
      <c r="F2733" s="29"/>
      <c r="G2733" s="29"/>
      <c r="H2733" s="29"/>
      <c r="J2733" s="29"/>
      <c r="K2733" s="29"/>
      <c r="L2733" s="19"/>
      <c r="M2733" s="19"/>
      <c r="N2733" s="30"/>
      <c r="O2733" s="30"/>
      <c r="P2733" s="32"/>
      <c r="Q2733" s="32"/>
      <c r="R2733" s="32"/>
      <c r="S2733" s="32"/>
      <c r="T2733" s="32"/>
      <c r="U2733" s="30"/>
    </row>
    <row r="2734" spans="1:21">
      <c r="A2734" s="29"/>
      <c r="B2734" s="29"/>
      <c r="C2734" s="29"/>
      <c r="D2734" s="29"/>
      <c r="E2734" s="29"/>
      <c r="F2734" s="29"/>
      <c r="G2734" s="29"/>
      <c r="H2734" s="29"/>
      <c r="J2734" s="29"/>
      <c r="K2734" s="29"/>
      <c r="L2734" s="19"/>
      <c r="M2734" s="19"/>
      <c r="N2734" s="30"/>
      <c r="O2734" s="30"/>
      <c r="P2734" s="32"/>
      <c r="Q2734" s="32"/>
      <c r="R2734" s="32"/>
      <c r="S2734" s="32"/>
      <c r="T2734" s="32"/>
      <c r="U2734" s="30"/>
    </row>
    <row r="2735" spans="1:21">
      <c r="A2735" s="29"/>
      <c r="B2735" s="29"/>
      <c r="C2735" s="29"/>
      <c r="D2735" s="29"/>
      <c r="E2735" s="29"/>
      <c r="F2735" s="29"/>
      <c r="G2735" s="29"/>
      <c r="H2735" s="29"/>
      <c r="J2735" s="29"/>
      <c r="K2735" s="29"/>
      <c r="L2735" s="19"/>
      <c r="M2735" s="19"/>
      <c r="N2735" s="30"/>
      <c r="O2735" s="30"/>
      <c r="P2735" s="32"/>
      <c r="Q2735" s="32"/>
      <c r="R2735" s="32"/>
      <c r="S2735" s="32"/>
      <c r="T2735" s="32"/>
      <c r="U2735" s="30"/>
    </row>
    <row r="2736" spans="1:21">
      <c r="A2736" s="29"/>
      <c r="B2736" s="29"/>
      <c r="C2736" s="29"/>
      <c r="D2736" s="29"/>
      <c r="E2736" s="29"/>
      <c r="F2736" s="29"/>
      <c r="G2736" s="29"/>
      <c r="H2736" s="29"/>
      <c r="J2736" s="29"/>
      <c r="K2736" s="29"/>
      <c r="L2736" s="19"/>
      <c r="M2736" s="19"/>
      <c r="N2736" s="30"/>
      <c r="O2736" s="30"/>
      <c r="P2736" s="32"/>
      <c r="Q2736" s="32"/>
      <c r="R2736" s="32"/>
      <c r="S2736" s="32"/>
      <c r="T2736" s="32"/>
      <c r="U2736" s="30"/>
    </row>
    <row r="2737" spans="1:21">
      <c r="A2737" s="29"/>
      <c r="B2737" s="29"/>
      <c r="C2737" s="29"/>
      <c r="D2737" s="29"/>
      <c r="E2737" s="29"/>
      <c r="F2737" s="29"/>
      <c r="G2737" s="29"/>
      <c r="H2737" s="29"/>
      <c r="J2737" s="29"/>
      <c r="K2737" s="29"/>
      <c r="L2737" s="19"/>
      <c r="M2737" s="19"/>
      <c r="N2737" s="30"/>
      <c r="O2737" s="30"/>
      <c r="P2737" s="32"/>
      <c r="Q2737" s="32"/>
      <c r="R2737" s="32"/>
      <c r="S2737" s="32"/>
      <c r="T2737" s="32"/>
      <c r="U2737" s="30"/>
    </row>
    <row r="2738" spans="1:21">
      <c r="A2738" s="29"/>
      <c r="B2738" s="29"/>
      <c r="C2738" s="29"/>
      <c r="D2738" s="29"/>
      <c r="E2738" s="29"/>
      <c r="F2738" s="29"/>
      <c r="G2738" s="29"/>
      <c r="H2738" s="29"/>
      <c r="J2738" s="29"/>
      <c r="K2738" s="29"/>
      <c r="L2738" s="19"/>
      <c r="M2738" s="19"/>
      <c r="N2738" s="30"/>
      <c r="O2738" s="30"/>
      <c r="P2738" s="32"/>
      <c r="Q2738" s="32"/>
      <c r="R2738" s="32"/>
      <c r="S2738" s="32"/>
      <c r="T2738" s="32"/>
      <c r="U2738" s="30"/>
    </row>
    <row r="2739" spans="1:21">
      <c r="A2739" s="29"/>
      <c r="B2739" s="29"/>
      <c r="C2739" s="29"/>
      <c r="D2739" s="29"/>
      <c r="E2739" s="29"/>
      <c r="F2739" s="29"/>
      <c r="G2739" s="29"/>
      <c r="H2739" s="29"/>
      <c r="J2739" s="29"/>
      <c r="K2739" s="29"/>
      <c r="L2739" s="19"/>
      <c r="M2739" s="19"/>
      <c r="N2739" s="30"/>
      <c r="O2739" s="30"/>
      <c r="P2739" s="32"/>
      <c r="Q2739" s="32"/>
      <c r="R2739" s="32"/>
      <c r="S2739" s="32"/>
      <c r="T2739" s="32"/>
      <c r="U2739" s="30"/>
    </row>
    <row r="2740" spans="1:21">
      <c r="A2740" s="29"/>
      <c r="B2740" s="29"/>
      <c r="C2740" s="29"/>
      <c r="D2740" s="29"/>
      <c r="E2740" s="29"/>
      <c r="F2740" s="29"/>
      <c r="G2740" s="29"/>
      <c r="H2740" s="29"/>
      <c r="J2740" s="29"/>
      <c r="K2740" s="29"/>
      <c r="L2740" s="19"/>
      <c r="M2740" s="19"/>
      <c r="N2740" s="30"/>
      <c r="O2740" s="30"/>
      <c r="P2740" s="32"/>
      <c r="Q2740" s="32"/>
      <c r="R2740" s="32"/>
      <c r="S2740" s="32"/>
      <c r="T2740" s="32"/>
      <c r="U2740" s="30"/>
    </row>
    <row r="2741" spans="1:21">
      <c r="A2741" s="29"/>
      <c r="B2741" s="29"/>
      <c r="C2741" s="29"/>
      <c r="D2741" s="29"/>
      <c r="E2741" s="29"/>
      <c r="F2741" s="29"/>
      <c r="G2741" s="29"/>
      <c r="H2741" s="29"/>
      <c r="J2741" s="29"/>
      <c r="K2741" s="29"/>
      <c r="L2741" s="19"/>
      <c r="M2741" s="19"/>
      <c r="N2741" s="30"/>
      <c r="O2741" s="30"/>
      <c r="P2741" s="32"/>
      <c r="Q2741" s="32"/>
      <c r="R2741" s="32"/>
      <c r="S2741" s="32"/>
      <c r="T2741" s="32"/>
      <c r="U2741" s="30"/>
    </row>
    <row r="2742" spans="1:21">
      <c r="A2742" s="29"/>
      <c r="B2742" s="29"/>
      <c r="C2742" s="29"/>
      <c r="D2742" s="29"/>
      <c r="E2742" s="29"/>
      <c r="F2742" s="29"/>
      <c r="G2742" s="29"/>
      <c r="H2742" s="29"/>
      <c r="J2742" s="29"/>
      <c r="K2742" s="29"/>
      <c r="L2742" s="19"/>
      <c r="M2742" s="19"/>
      <c r="N2742" s="30"/>
      <c r="O2742" s="30"/>
      <c r="P2742" s="32"/>
      <c r="Q2742" s="32"/>
      <c r="R2742" s="32"/>
      <c r="S2742" s="32"/>
      <c r="T2742" s="32"/>
      <c r="U2742" s="30"/>
    </row>
    <row r="2743" spans="1:21">
      <c r="A2743" s="29"/>
      <c r="B2743" s="29"/>
      <c r="C2743" s="29"/>
      <c r="D2743" s="29"/>
      <c r="E2743" s="29"/>
      <c r="F2743" s="29"/>
      <c r="G2743" s="29"/>
      <c r="H2743" s="29"/>
      <c r="J2743" s="29"/>
      <c r="K2743" s="29"/>
      <c r="L2743" s="19"/>
      <c r="M2743" s="19"/>
      <c r="N2743" s="30"/>
      <c r="O2743" s="30"/>
      <c r="P2743" s="32"/>
      <c r="Q2743" s="32"/>
      <c r="R2743" s="32"/>
      <c r="S2743" s="32"/>
      <c r="T2743" s="32"/>
      <c r="U2743" s="30"/>
    </row>
    <row r="2744" spans="1:21">
      <c r="A2744" s="29"/>
      <c r="B2744" s="29"/>
      <c r="C2744" s="29"/>
      <c r="D2744" s="29"/>
      <c r="E2744" s="29"/>
      <c r="F2744" s="29"/>
      <c r="G2744" s="29"/>
      <c r="H2744" s="29"/>
      <c r="J2744" s="29"/>
      <c r="K2744" s="29"/>
      <c r="L2744" s="19"/>
      <c r="M2744" s="19"/>
      <c r="N2744" s="30"/>
      <c r="O2744" s="30"/>
      <c r="P2744" s="32"/>
      <c r="Q2744" s="32"/>
      <c r="R2744" s="32"/>
      <c r="S2744" s="32"/>
      <c r="T2744" s="32"/>
      <c r="U2744" s="30"/>
    </row>
    <row r="2745" spans="1:21">
      <c r="A2745" s="29"/>
      <c r="B2745" s="29"/>
      <c r="C2745" s="29"/>
      <c r="D2745" s="29"/>
      <c r="E2745" s="29"/>
      <c r="F2745" s="29"/>
      <c r="G2745" s="29"/>
      <c r="H2745" s="29"/>
      <c r="J2745" s="29"/>
      <c r="K2745" s="29"/>
      <c r="L2745" s="19"/>
      <c r="M2745" s="19"/>
      <c r="N2745" s="30"/>
      <c r="O2745" s="30"/>
      <c r="P2745" s="32"/>
      <c r="Q2745" s="32"/>
      <c r="R2745" s="32"/>
      <c r="S2745" s="32"/>
      <c r="T2745" s="32"/>
      <c r="U2745" s="30"/>
    </row>
    <row r="2746" spans="1:21">
      <c r="A2746" s="29"/>
      <c r="B2746" s="29"/>
      <c r="C2746" s="29"/>
      <c r="D2746" s="29"/>
      <c r="E2746" s="29"/>
      <c r="F2746" s="29"/>
      <c r="G2746" s="29"/>
      <c r="H2746" s="29"/>
      <c r="J2746" s="29"/>
      <c r="K2746" s="29"/>
      <c r="L2746" s="19"/>
      <c r="M2746" s="19"/>
      <c r="N2746" s="30"/>
      <c r="O2746" s="30"/>
      <c r="P2746" s="32"/>
      <c r="Q2746" s="32"/>
      <c r="R2746" s="32"/>
      <c r="S2746" s="32"/>
      <c r="T2746" s="32"/>
      <c r="U2746" s="30"/>
    </row>
    <row r="2747" spans="1:21">
      <c r="A2747" s="29"/>
      <c r="B2747" s="29"/>
      <c r="C2747" s="29"/>
      <c r="D2747" s="29"/>
      <c r="E2747" s="29"/>
      <c r="F2747" s="29"/>
      <c r="G2747" s="29"/>
      <c r="H2747" s="29"/>
      <c r="J2747" s="29"/>
      <c r="K2747" s="29"/>
      <c r="L2747" s="19"/>
      <c r="M2747" s="19"/>
      <c r="N2747" s="30"/>
      <c r="O2747" s="30"/>
      <c r="P2747" s="32"/>
      <c r="Q2747" s="32"/>
      <c r="R2747" s="32"/>
      <c r="S2747" s="32"/>
      <c r="T2747" s="32"/>
      <c r="U2747" s="30"/>
    </row>
    <row r="2748" spans="1:21">
      <c r="A2748" s="29"/>
      <c r="B2748" s="29"/>
      <c r="C2748" s="29"/>
      <c r="D2748" s="29"/>
      <c r="E2748" s="29"/>
      <c r="F2748" s="29"/>
      <c r="G2748" s="29"/>
      <c r="H2748" s="29"/>
      <c r="J2748" s="29"/>
      <c r="K2748" s="29"/>
      <c r="L2748" s="19"/>
      <c r="M2748" s="19"/>
      <c r="N2748" s="30"/>
      <c r="O2748" s="30"/>
      <c r="P2748" s="32"/>
      <c r="Q2748" s="32"/>
      <c r="R2748" s="32"/>
      <c r="S2748" s="32"/>
      <c r="T2748" s="32"/>
      <c r="U2748" s="30"/>
    </row>
    <row r="2749" spans="1:21">
      <c r="A2749" s="29"/>
      <c r="B2749" s="29"/>
      <c r="C2749" s="29"/>
      <c r="D2749" s="29"/>
      <c r="E2749" s="29"/>
      <c r="F2749" s="29"/>
      <c r="G2749" s="29"/>
      <c r="H2749" s="29"/>
      <c r="J2749" s="29"/>
      <c r="K2749" s="29"/>
      <c r="L2749" s="19"/>
      <c r="M2749" s="19"/>
      <c r="N2749" s="30"/>
      <c r="O2749" s="30"/>
      <c r="P2749" s="32"/>
      <c r="Q2749" s="32"/>
      <c r="R2749" s="32"/>
      <c r="S2749" s="32"/>
      <c r="T2749" s="32"/>
      <c r="U2749" s="30"/>
    </row>
    <row r="2750" spans="1:21">
      <c r="A2750" s="29"/>
      <c r="B2750" s="29"/>
      <c r="C2750" s="29"/>
      <c r="D2750" s="29"/>
      <c r="E2750" s="29"/>
      <c r="F2750" s="29"/>
      <c r="G2750" s="29"/>
      <c r="H2750" s="29"/>
      <c r="J2750" s="29"/>
      <c r="K2750" s="29"/>
      <c r="L2750" s="19"/>
      <c r="M2750" s="19"/>
      <c r="N2750" s="30"/>
      <c r="O2750" s="30"/>
      <c r="P2750" s="32"/>
      <c r="Q2750" s="32"/>
      <c r="R2750" s="32"/>
      <c r="S2750" s="32"/>
      <c r="T2750" s="32"/>
      <c r="U2750" s="30"/>
    </row>
    <row r="2751" spans="1:21">
      <c r="A2751" s="29"/>
      <c r="B2751" s="29"/>
      <c r="C2751" s="29"/>
      <c r="D2751" s="29"/>
      <c r="E2751" s="29"/>
      <c r="F2751" s="29"/>
      <c r="G2751" s="29"/>
      <c r="H2751" s="29"/>
      <c r="J2751" s="29"/>
      <c r="K2751" s="29"/>
      <c r="L2751" s="19"/>
      <c r="M2751" s="19"/>
      <c r="N2751" s="30"/>
      <c r="O2751" s="30"/>
      <c r="P2751" s="32"/>
      <c r="Q2751" s="32"/>
      <c r="R2751" s="32"/>
      <c r="S2751" s="32"/>
      <c r="T2751" s="32"/>
      <c r="U2751" s="30"/>
    </row>
    <row r="2752" spans="1:21">
      <c r="A2752" s="29"/>
      <c r="B2752" s="29"/>
      <c r="C2752" s="29"/>
      <c r="D2752" s="29"/>
      <c r="E2752" s="29"/>
      <c r="F2752" s="29"/>
      <c r="G2752" s="29"/>
      <c r="H2752" s="29"/>
      <c r="J2752" s="29"/>
      <c r="K2752" s="29"/>
      <c r="L2752" s="19"/>
      <c r="M2752" s="19"/>
      <c r="N2752" s="30"/>
      <c r="O2752" s="30"/>
      <c r="P2752" s="32"/>
      <c r="Q2752" s="32"/>
      <c r="R2752" s="32"/>
      <c r="S2752" s="32"/>
      <c r="T2752" s="32"/>
      <c r="U2752" s="30"/>
    </row>
    <row r="2753" spans="1:21">
      <c r="A2753" s="29"/>
      <c r="B2753" s="29"/>
      <c r="C2753" s="29"/>
      <c r="D2753" s="29"/>
      <c r="E2753" s="29"/>
      <c r="F2753" s="29"/>
      <c r="G2753" s="29"/>
      <c r="H2753" s="29"/>
      <c r="J2753" s="29"/>
      <c r="K2753" s="29"/>
      <c r="L2753" s="19"/>
      <c r="M2753" s="19"/>
      <c r="N2753" s="30"/>
      <c r="O2753" s="30"/>
      <c r="P2753" s="32"/>
      <c r="Q2753" s="32"/>
      <c r="R2753" s="32"/>
      <c r="S2753" s="32"/>
      <c r="T2753" s="32"/>
      <c r="U2753" s="30"/>
    </row>
    <row r="2754" spans="1:21">
      <c r="A2754" s="29"/>
      <c r="B2754" s="29"/>
      <c r="C2754" s="29"/>
      <c r="D2754" s="29"/>
      <c r="E2754" s="29"/>
      <c r="F2754" s="29"/>
      <c r="G2754" s="29"/>
      <c r="H2754" s="29"/>
      <c r="J2754" s="29"/>
      <c r="K2754" s="29"/>
      <c r="L2754" s="19"/>
      <c r="M2754" s="19"/>
      <c r="N2754" s="30"/>
      <c r="O2754" s="30"/>
      <c r="P2754" s="32"/>
      <c r="Q2754" s="32"/>
      <c r="R2754" s="32"/>
      <c r="S2754" s="32"/>
      <c r="T2754" s="32"/>
      <c r="U2754" s="30"/>
    </row>
    <row r="2755" spans="1:21">
      <c r="A2755" s="29"/>
      <c r="B2755" s="29"/>
      <c r="C2755" s="29"/>
      <c r="D2755" s="29"/>
      <c r="E2755" s="29"/>
      <c r="F2755" s="29"/>
      <c r="G2755" s="29"/>
      <c r="H2755" s="29"/>
      <c r="J2755" s="29"/>
      <c r="K2755" s="29"/>
      <c r="L2755" s="19"/>
      <c r="M2755" s="19"/>
      <c r="N2755" s="30"/>
      <c r="O2755" s="30"/>
      <c r="P2755" s="32"/>
      <c r="Q2755" s="32"/>
      <c r="R2755" s="32"/>
      <c r="S2755" s="32"/>
      <c r="T2755" s="32"/>
      <c r="U2755" s="30"/>
    </row>
    <row r="2756" spans="1:21">
      <c r="A2756" s="29"/>
      <c r="B2756" s="29"/>
      <c r="C2756" s="29"/>
      <c r="D2756" s="29"/>
      <c r="E2756" s="29"/>
      <c r="F2756" s="29"/>
      <c r="G2756" s="29"/>
      <c r="H2756" s="29"/>
      <c r="J2756" s="29"/>
      <c r="K2756" s="29"/>
      <c r="L2756" s="19"/>
      <c r="M2756" s="19"/>
      <c r="N2756" s="30"/>
      <c r="O2756" s="30"/>
      <c r="P2756" s="32"/>
      <c r="Q2756" s="32"/>
      <c r="R2756" s="32"/>
      <c r="S2756" s="32"/>
      <c r="T2756" s="32"/>
      <c r="U2756" s="30"/>
    </row>
    <row r="2757" spans="1:21">
      <c r="A2757" s="29"/>
      <c r="B2757" s="29"/>
      <c r="C2757" s="29"/>
      <c r="D2757" s="29"/>
      <c r="E2757" s="29"/>
      <c r="F2757" s="29"/>
      <c r="G2757" s="29"/>
      <c r="H2757" s="29"/>
      <c r="J2757" s="29"/>
      <c r="K2757" s="29"/>
      <c r="L2757" s="19"/>
      <c r="M2757" s="19"/>
      <c r="N2757" s="30"/>
      <c r="O2757" s="30"/>
      <c r="P2757" s="32"/>
      <c r="Q2757" s="32"/>
      <c r="R2757" s="32"/>
      <c r="S2757" s="32"/>
      <c r="T2757" s="32"/>
      <c r="U2757" s="30"/>
    </row>
    <row r="2758" spans="1:21">
      <c r="A2758" s="29"/>
      <c r="B2758" s="29"/>
      <c r="C2758" s="29"/>
      <c r="D2758" s="29"/>
      <c r="E2758" s="29"/>
      <c r="F2758" s="29"/>
      <c r="G2758" s="29"/>
      <c r="H2758" s="29"/>
      <c r="J2758" s="29"/>
      <c r="K2758" s="29"/>
      <c r="L2758" s="19"/>
      <c r="M2758" s="19"/>
      <c r="N2758" s="30"/>
      <c r="O2758" s="30"/>
      <c r="P2758" s="32"/>
      <c r="Q2758" s="32"/>
      <c r="R2758" s="32"/>
      <c r="S2758" s="32"/>
      <c r="T2758" s="32"/>
      <c r="U2758" s="30"/>
    </row>
    <row r="2759" spans="1:21">
      <c r="A2759" s="29"/>
      <c r="B2759" s="29"/>
      <c r="C2759" s="29"/>
      <c r="D2759" s="29"/>
      <c r="E2759" s="29"/>
      <c r="F2759" s="29"/>
      <c r="G2759" s="29"/>
      <c r="H2759" s="29"/>
      <c r="J2759" s="29"/>
      <c r="K2759" s="29"/>
      <c r="L2759" s="19"/>
      <c r="M2759" s="19"/>
      <c r="N2759" s="30"/>
      <c r="O2759" s="30"/>
      <c r="P2759" s="32"/>
      <c r="Q2759" s="32"/>
      <c r="R2759" s="32"/>
      <c r="S2759" s="32"/>
      <c r="T2759" s="32"/>
      <c r="U2759" s="30"/>
    </row>
    <row r="2760" spans="1:21">
      <c r="A2760" s="29"/>
      <c r="B2760" s="29"/>
      <c r="C2760" s="29"/>
      <c r="D2760" s="29"/>
      <c r="E2760" s="29"/>
      <c r="F2760" s="29"/>
      <c r="G2760" s="29"/>
      <c r="H2760" s="29"/>
      <c r="J2760" s="29"/>
      <c r="K2760" s="29"/>
      <c r="L2760" s="19"/>
      <c r="M2760" s="19"/>
      <c r="N2760" s="30"/>
      <c r="O2760" s="30"/>
      <c r="P2760" s="32"/>
      <c r="Q2760" s="32"/>
      <c r="R2760" s="32"/>
      <c r="S2760" s="32"/>
      <c r="T2760" s="32"/>
      <c r="U2760" s="30"/>
    </row>
    <row r="2761" spans="1:21">
      <c r="A2761" s="29"/>
      <c r="B2761" s="29"/>
      <c r="C2761" s="29"/>
      <c r="D2761" s="29"/>
      <c r="E2761" s="29"/>
      <c r="F2761" s="29"/>
      <c r="G2761" s="29"/>
      <c r="H2761" s="29"/>
      <c r="J2761" s="29"/>
      <c r="K2761" s="29"/>
      <c r="L2761" s="19"/>
      <c r="M2761" s="19"/>
      <c r="N2761" s="30"/>
      <c r="O2761" s="30"/>
      <c r="P2761" s="32"/>
      <c r="Q2761" s="32"/>
      <c r="R2761" s="32"/>
      <c r="S2761" s="32"/>
      <c r="T2761" s="32"/>
      <c r="U2761" s="30"/>
    </row>
    <row r="2762" spans="1:21">
      <c r="A2762" s="29"/>
      <c r="B2762" s="29"/>
      <c r="C2762" s="29"/>
      <c r="D2762" s="29"/>
      <c r="E2762" s="29"/>
      <c r="F2762" s="29"/>
      <c r="G2762" s="29"/>
      <c r="H2762" s="29"/>
      <c r="J2762" s="29"/>
      <c r="K2762" s="29"/>
      <c r="L2762" s="19"/>
      <c r="M2762" s="19"/>
      <c r="N2762" s="30"/>
      <c r="O2762" s="30"/>
      <c r="P2762" s="32"/>
      <c r="Q2762" s="32"/>
      <c r="R2762" s="32"/>
      <c r="S2762" s="32"/>
      <c r="T2762" s="32"/>
      <c r="U2762" s="30"/>
    </row>
    <row r="2763" spans="1:21">
      <c r="A2763" s="29"/>
      <c r="B2763" s="29"/>
      <c r="C2763" s="29"/>
      <c r="D2763" s="29"/>
      <c r="E2763" s="29"/>
      <c r="F2763" s="29"/>
      <c r="G2763" s="29"/>
      <c r="H2763" s="29"/>
      <c r="J2763" s="29"/>
      <c r="K2763" s="29"/>
      <c r="L2763" s="19"/>
      <c r="M2763" s="19"/>
      <c r="N2763" s="30"/>
      <c r="O2763" s="30"/>
      <c r="P2763" s="32"/>
      <c r="Q2763" s="32"/>
      <c r="R2763" s="32"/>
      <c r="S2763" s="32"/>
      <c r="T2763" s="32"/>
      <c r="U2763" s="30"/>
    </row>
    <row r="2764" spans="1:21">
      <c r="A2764" s="29"/>
      <c r="B2764" s="29"/>
      <c r="C2764" s="29"/>
      <c r="D2764" s="29"/>
      <c r="E2764" s="29"/>
      <c r="F2764" s="29"/>
      <c r="G2764" s="29"/>
      <c r="H2764" s="29"/>
      <c r="J2764" s="29"/>
      <c r="K2764" s="29"/>
      <c r="L2764" s="19"/>
      <c r="M2764" s="19"/>
      <c r="N2764" s="30"/>
      <c r="O2764" s="30"/>
      <c r="P2764" s="32"/>
      <c r="Q2764" s="32"/>
      <c r="R2764" s="32"/>
      <c r="S2764" s="32"/>
      <c r="T2764" s="32"/>
      <c r="U2764" s="30"/>
    </row>
    <row r="2765" spans="1:21">
      <c r="A2765" s="29"/>
      <c r="B2765" s="29"/>
      <c r="C2765" s="29"/>
      <c r="D2765" s="29"/>
      <c r="E2765" s="29"/>
      <c r="F2765" s="29"/>
      <c r="G2765" s="29"/>
      <c r="H2765" s="29"/>
      <c r="J2765" s="29"/>
      <c r="K2765" s="29"/>
      <c r="L2765" s="19"/>
      <c r="M2765" s="19"/>
      <c r="N2765" s="30"/>
      <c r="O2765" s="30"/>
      <c r="P2765" s="32"/>
      <c r="Q2765" s="32"/>
      <c r="R2765" s="32"/>
      <c r="S2765" s="32"/>
      <c r="T2765" s="32"/>
      <c r="U2765" s="30"/>
    </row>
    <row r="2766" spans="1:21">
      <c r="A2766" s="29"/>
      <c r="B2766" s="29"/>
      <c r="C2766" s="29"/>
      <c r="D2766" s="29"/>
      <c r="E2766" s="29"/>
      <c r="F2766" s="29"/>
      <c r="G2766" s="29"/>
      <c r="H2766" s="29"/>
      <c r="J2766" s="29"/>
      <c r="K2766" s="29"/>
      <c r="L2766" s="19"/>
      <c r="M2766" s="19"/>
      <c r="N2766" s="30"/>
      <c r="O2766" s="30"/>
      <c r="P2766" s="32"/>
      <c r="Q2766" s="32"/>
      <c r="R2766" s="32"/>
      <c r="S2766" s="32"/>
      <c r="T2766" s="32"/>
      <c r="U2766" s="30"/>
    </row>
    <row r="2767" spans="1:21">
      <c r="A2767" s="29"/>
      <c r="B2767" s="29"/>
      <c r="C2767" s="29"/>
      <c r="D2767" s="29"/>
      <c r="E2767" s="29"/>
      <c r="F2767" s="29"/>
      <c r="G2767" s="29"/>
      <c r="H2767" s="29"/>
      <c r="J2767" s="29"/>
      <c r="K2767" s="29"/>
      <c r="L2767" s="19"/>
      <c r="M2767" s="19"/>
      <c r="N2767" s="30"/>
      <c r="O2767" s="30"/>
      <c r="P2767" s="32"/>
      <c r="Q2767" s="32"/>
      <c r="R2767" s="32"/>
      <c r="S2767" s="32"/>
      <c r="T2767" s="32"/>
      <c r="U2767" s="30"/>
    </row>
    <row r="2768" spans="1:21">
      <c r="A2768" s="29"/>
      <c r="B2768" s="29"/>
      <c r="C2768" s="29"/>
      <c r="D2768" s="29"/>
      <c r="E2768" s="29"/>
      <c r="F2768" s="29"/>
      <c r="G2768" s="29"/>
      <c r="H2768" s="29"/>
      <c r="J2768" s="29"/>
      <c r="K2768" s="29"/>
      <c r="L2768" s="19"/>
      <c r="M2768" s="19"/>
      <c r="N2768" s="30"/>
      <c r="O2768" s="30"/>
      <c r="P2768" s="32"/>
      <c r="Q2768" s="32"/>
      <c r="R2768" s="32"/>
      <c r="S2768" s="32"/>
      <c r="T2768" s="32"/>
      <c r="U2768" s="30"/>
    </row>
    <row r="2769" spans="1:21">
      <c r="A2769" s="29"/>
      <c r="B2769" s="29"/>
      <c r="C2769" s="29"/>
      <c r="D2769" s="29"/>
      <c r="E2769" s="29"/>
      <c r="F2769" s="29"/>
      <c r="G2769" s="29"/>
      <c r="H2769" s="29"/>
      <c r="J2769" s="29"/>
      <c r="K2769" s="29"/>
      <c r="L2769" s="19"/>
      <c r="M2769" s="19"/>
      <c r="N2769" s="30"/>
      <c r="O2769" s="30"/>
      <c r="P2769" s="32"/>
      <c r="Q2769" s="32"/>
      <c r="R2769" s="32"/>
      <c r="S2769" s="32"/>
      <c r="T2769" s="32"/>
      <c r="U2769" s="30"/>
    </row>
    <row r="2770" spans="1:21">
      <c r="A2770" s="29"/>
      <c r="B2770" s="29"/>
      <c r="C2770" s="29"/>
      <c r="D2770" s="29"/>
      <c r="E2770" s="29"/>
      <c r="F2770" s="29"/>
      <c r="G2770" s="29"/>
      <c r="H2770" s="29"/>
      <c r="J2770" s="29"/>
      <c r="K2770" s="29"/>
      <c r="L2770" s="19"/>
      <c r="M2770" s="19"/>
      <c r="N2770" s="30"/>
      <c r="O2770" s="30"/>
      <c r="P2770" s="32"/>
      <c r="Q2770" s="32"/>
      <c r="R2770" s="32"/>
      <c r="S2770" s="32"/>
      <c r="T2770" s="32"/>
      <c r="U2770" s="30"/>
    </row>
    <row r="2771" spans="1:21">
      <c r="A2771" s="29"/>
      <c r="B2771" s="29"/>
      <c r="C2771" s="29"/>
      <c r="D2771" s="29"/>
      <c r="E2771" s="29"/>
      <c r="F2771" s="29"/>
      <c r="G2771" s="29"/>
      <c r="H2771" s="29"/>
      <c r="J2771" s="29"/>
      <c r="K2771" s="29"/>
      <c r="L2771" s="19"/>
      <c r="M2771" s="19"/>
      <c r="N2771" s="30"/>
      <c r="O2771" s="30"/>
      <c r="P2771" s="32"/>
      <c r="Q2771" s="32"/>
      <c r="R2771" s="32"/>
      <c r="S2771" s="32"/>
      <c r="T2771" s="32"/>
      <c r="U2771" s="30"/>
    </row>
    <row r="2772" spans="1:21">
      <c r="A2772" s="29"/>
      <c r="B2772" s="29"/>
      <c r="C2772" s="29"/>
      <c r="D2772" s="29"/>
      <c r="E2772" s="29"/>
      <c r="F2772" s="29"/>
      <c r="G2772" s="29"/>
      <c r="H2772" s="29"/>
      <c r="J2772" s="29"/>
      <c r="K2772" s="29"/>
      <c r="L2772" s="19"/>
      <c r="M2772" s="19"/>
      <c r="N2772" s="30"/>
      <c r="O2772" s="30"/>
      <c r="P2772" s="32"/>
      <c r="Q2772" s="32"/>
      <c r="R2772" s="32"/>
      <c r="S2772" s="32"/>
      <c r="T2772" s="32"/>
      <c r="U2772" s="30"/>
    </row>
    <row r="2773" spans="1:21">
      <c r="A2773" s="29"/>
      <c r="B2773" s="29"/>
      <c r="C2773" s="29"/>
      <c r="D2773" s="29"/>
      <c r="E2773" s="29"/>
      <c r="F2773" s="29"/>
      <c r="G2773" s="29"/>
      <c r="H2773" s="29"/>
      <c r="J2773" s="29"/>
      <c r="K2773" s="29"/>
      <c r="L2773" s="19"/>
      <c r="M2773" s="19"/>
      <c r="N2773" s="30"/>
      <c r="O2773" s="30"/>
      <c r="P2773" s="32"/>
      <c r="Q2773" s="32"/>
      <c r="R2773" s="32"/>
      <c r="S2773" s="32"/>
      <c r="T2773" s="32"/>
      <c r="U2773" s="30"/>
    </row>
    <row r="2774" spans="1:21">
      <c r="A2774" s="29"/>
      <c r="B2774" s="29"/>
      <c r="C2774" s="29"/>
      <c r="D2774" s="29"/>
      <c r="E2774" s="29"/>
      <c r="F2774" s="29"/>
      <c r="G2774" s="29"/>
      <c r="H2774" s="29"/>
      <c r="J2774" s="29"/>
      <c r="K2774" s="29"/>
      <c r="L2774" s="19"/>
      <c r="M2774" s="19"/>
      <c r="N2774" s="30"/>
      <c r="O2774" s="30"/>
      <c r="P2774" s="32"/>
      <c r="Q2774" s="32"/>
      <c r="R2774" s="32"/>
      <c r="S2774" s="32"/>
      <c r="T2774" s="32"/>
      <c r="U2774" s="30"/>
    </row>
    <row r="2775" spans="1:21">
      <c r="A2775" s="29"/>
      <c r="B2775" s="29"/>
      <c r="C2775" s="29"/>
      <c r="D2775" s="29"/>
      <c r="E2775" s="29"/>
      <c r="F2775" s="29"/>
      <c r="G2775" s="29"/>
      <c r="H2775" s="29"/>
      <c r="J2775" s="29"/>
      <c r="K2775" s="29"/>
      <c r="L2775" s="19"/>
      <c r="M2775" s="19"/>
      <c r="N2775" s="30"/>
      <c r="O2775" s="30"/>
      <c r="P2775" s="32"/>
      <c r="Q2775" s="32"/>
      <c r="R2775" s="32"/>
      <c r="S2775" s="32"/>
      <c r="T2775" s="32"/>
      <c r="U2775" s="30"/>
    </row>
    <row r="2776" spans="1:21">
      <c r="A2776" s="29"/>
      <c r="B2776" s="29"/>
      <c r="C2776" s="29"/>
      <c r="D2776" s="29"/>
      <c r="E2776" s="29"/>
      <c r="F2776" s="29"/>
      <c r="G2776" s="29"/>
      <c r="H2776" s="29"/>
      <c r="J2776" s="29"/>
      <c r="K2776" s="29"/>
      <c r="L2776" s="19"/>
      <c r="M2776" s="19"/>
      <c r="N2776" s="30"/>
      <c r="O2776" s="30"/>
      <c r="P2776" s="32"/>
      <c r="Q2776" s="32"/>
      <c r="R2776" s="32"/>
      <c r="S2776" s="32"/>
      <c r="T2776" s="32"/>
      <c r="U2776" s="30"/>
    </row>
    <row r="2777" spans="1:21">
      <c r="A2777" s="29"/>
      <c r="B2777" s="29"/>
      <c r="C2777" s="29"/>
      <c r="D2777" s="29"/>
      <c r="E2777" s="29"/>
      <c r="F2777" s="29"/>
      <c r="G2777" s="29"/>
      <c r="H2777" s="29"/>
      <c r="J2777" s="29"/>
      <c r="K2777" s="29"/>
      <c r="L2777" s="19"/>
      <c r="M2777" s="19"/>
      <c r="N2777" s="30"/>
      <c r="O2777" s="30"/>
      <c r="P2777" s="32"/>
      <c r="Q2777" s="32"/>
      <c r="R2777" s="32"/>
      <c r="S2777" s="32"/>
      <c r="T2777" s="32"/>
      <c r="U2777" s="30"/>
    </row>
    <row r="2778" spans="1:21">
      <c r="A2778" s="29"/>
      <c r="B2778" s="29"/>
      <c r="C2778" s="29"/>
      <c r="D2778" s="29"/>
      <c r="E2778" s="29"/>
      <c r="F2778" s="29"/>
      <c r="G2778" s="29"/>
      <c r="H2778" s="29"/>
      <c r="J2778" s="29"/>
      <c r="K2778" s="29"/>
      <c r="L2778" s="19"/>
      <c r="M2778" s="19"/>
      <c r="N2778" s="30"/>
      <c r="O2778" s="30"/>
      <c r="P2778" s="32"/>
      <c r="Q2778" s="32"/>
      <c r="R2778" s="32"/>
      <c r="S2778" s="32"/>
      <c r="T2778" s="32"/>
      <c r="U2778" s="30"/>
    </row>
    <row r="2779" spans="1:21">
      <c r="A2779" s="29"/>
      <c r="B2779" s="29"/>
      <c r="C2779" s="29"/>
      <c r="D2779" s="29"/>
      <c r="E2779" s="29"/>
      <c r="F2779" s="29"/>
      <c r="G2779" s="29"/>
      <c r="H2779" s="29"/>
      <c r="J2779" s="29"/>
      <c r="K2779" s="29"/>
      <c r="L2779" s="19"/>
      <c r="M2779" s="19"/>
      <c r="N2779" s="30"/>
      <c r="O2779" s="30"/>
      <c r="P2779" s="32"/>
      <c r="Q2779" s="32"/>
      <c r="R2779" s="32"/>
      <c r="S2779" s="32"/>
      <c r="T2779" s="32"/>
      <c r="U2779" s="30"/>
    </row>
    <row r="2780" spans="1:21">
      <c r="A2780" s="29"/>
      <c r="B2780" s="29"/>
      <c r="C2780" s="29"/>
      <c r="D2780" s="29"/>
      <c r="E2780" s="29"/>
      <c r="F2780" s="29"/>
      <c r="G2780" s="29"/>
      <c r="H2780" s="29"/>
      <c r="J2780" s="29"/>
      <c r="K2780" s="29"/>
      <c r="L2780" s="19"/>
      <c r="M2780" s="19"/>
      <c r="N2780" s="30"/>
      <c r="O2780" s="30"/>
      <c r="P2780" s="32"/>
      <c r="Q2780" s="32"/>
      <c r="R2780" s="32"/>
      <c r="S2780" s="32"/>
      <c r="T2780" s="32"/>
      <c r="U2780" s="30"/>
    </row>
    <row r="2781" spans="1:21">
      <c r="A2781" s="29"/>
      <c r="B2781" s="29"/>
      <c r="C2781" s="29"/>
      <c r="D2781" s="29"/>
      <c r="E2781" s="29"/>
      <c r="F2781" s="29"/>
      <c r="G2781" s="29"/>
      <c r="H2781" s="29"/>
      <c r="J2781" s="29"/>
      <c r="K2781" s="29"/>
      <c r="L2781" s="19"/>
      <c r="M2781" s="19"/>
      <c r="N2781" s="30"/>
      <c r="O2781" s="30"/>
      <c r="P2781" s="32"/>
      <c r="Q2781" s="32"/>
      <c r="R2781" s="32"/>
      <c r="S2781" s="32"/>
      <c r="T2781" s="32"/>
      <c r="U2781" s="30"/>
    </row>
    <row r="2782" spans="1:21">
      <c r="A2782" s="29"/>
      <c r="B2782" s="29"/>
      <c r="C2782" s="29"/>
      <c r="D2782" s="29"/>
      <c r="E2782" s="29"/>
      <c r="F2782" s="29"/>
      <c r="G2782" s="29"/>
      <c r="H2782" s="29"/>
      <c r="J2782" s="29"/>
      <c r="K2782" s="29"/>
      <c r="L2782" s="19"/>
      <c r="M2782" s="19"/>
      <c r="N2782" s="30"/>
      <c r="O2782" s="30"/>
      <c r="P2782" s="32"/>
      <c r="Q2782" s="32"/>
      <c r="R2782" s="32"/>
      <c r="S2782" s="32"/>
      <c r="T2782" s="32"/>
      <c r="U2782" s="30"/>
    </row>
    <row r="2783" spans="1:21">
      <c r="A2783" s="29"/>
      <c r="B2783" s="29"/>
      <c r="C2783" s="29"/>
      <c r="D2783" s="29"/>
      <c r="E2783" s="29"/>
      <c r="F2783" s="29"/>
      <c r="G2783" s="29"/>
      <c r="H2783" s="29"/>
      <c r="J2783" s="29"/>
      <c r="K2783" s="29"/>
      <c r="L2783" s="19"/>
      <c r="M2783" s="19"/>
      <c r="N2783" s="30"/>
      <c r="O2783" s="30"/>
      <c r="P2783" s="32"/>
      <c r="Q2783" s="32"/>
      <c r="R2783" s="32"/>
      <c r="S2783" s="32"/>
      <c r="T2783" s="32"/>
      <c r="U2783" s="30"/>
    </row>
    <row r="2784" spans="1:21">
      <c r="A2784" s="29"/>
      <c r="B2784" s="29"/>
      <c r="C2784" s="29"/>
      <c r="D2784" s="29"/>
      <c r="E2784" s="29"/>
      <c r="F2784" s="29"/>
      <c r="G2784" s="29"/>
      <c r="H2784" s="29"/>
      <c r="J2784" s="29"/>
      <c r="K2784" s="29"/>
      <c r="L2784" s="19"/>
      <c r="M2784" s="19"/>
      <c r="N2784" s="30"/>
      <c r="O2784" s="30"/>
      <c r="P2784" s="32"/>
      <c r="Q2784" s="32"/>
      <c r="R2784" s="32"/>
      <c r="S2784" s="32"/>
      <c r="T2784" s="32"/>
      <c r="U2784" s="30"/>
    </row>
    <row r="2785" spans="1:21">
      <c r="A2785" s="29"/>
      <c r="B2785" s="29"/>
      <c r="C2785" s="29"/>
      <c r="D2785" s="29"/>
      <c r="E2785" s="29"/>
      <c r="F2785" s="29"/>
      <c r="G2785" s="29"/>
      <c r="H2785" s="29"/>
      <c r="J2785" s="29"/>
      <c r="K2785" s="29"/>
      <c r="L2785" s="19"/>
      <c r="M2785" s="19"/>
      <c r="N2785" s="30"/>
      <c r="O2785" s="30"/>
      <c r="P2785" s="32"/>
      <c r="Q2785" s="32"/>
      <c r="R2785" s="32"/>
      <c r="S2785" s="32"/>
      <c r="T2785" s="32"/>
      <c r="U2785" s="30"/>
    </row>
    <row r="2786" spans="1:21">
      <c r="A2786" s="29"/>
      <c r="B2786" s="29"/>
      <c r="C2786" s="29"/>
      <c r="D2786" s="29"/>
      <c r="E2786" s="29"/>
      <c r="F2786" s="29"/>
      <c r="G2786" s="29"/>
      <c r="H2786" s="29"/>
      <c r="J2786" s="29"/>
      <c r="K2786" s="29"/>
      <c r="L2786" s="19"/>
      <c r="M2786" s="19"/>
      <c r="N2786" s="30"/>
      <c r="O2786" s="30"/>
      <c r="P2786" s="32"/>
      <c r="Q2786" s="32"/>
      <c r="R2786" s="32"/>
      <c r="S2786" s="32"/>
      <c r="T2786" s="32"/>
      <c r="U2786" s="30"/>
    </row>
    <row r="2787" spans="1:21">
      <c r="A2787" s="29"/>
      <c r="B2787" s="29"/>
      <c r="C2787" s="29"/>
      <c r="D2787" s="29"/>
      <c r="E2787" s="29"/>
      <c r="F2787" s="29"/>
      <c r="G2787" s="29"/>
      <c r="H2787" s="29"/>
      <c r="J2787" s="29"/>
      <c r="K2787" s="29"/>
      <c r="L2787" s="19"/>
      <c r="M2787" s="19"/>
      <c r="N2787" s="30"/>
      <c r="O2787" s="30"/>
      <c r="P2787" s="32"/>
      <c r="Q2787" s="32"/>
      <c r="R2787" s="32"/>
      <c r="S2787" s="32"/>
      <c r="T2787" s="32"/>
      <c r="U2787" s="30"/>
    </row>
    <row r="2788" spans="1:21">
      <c r="A2788" s="29"/>
      <c r="B2788" s="29"/>
      <c r="C2788" s="29"/>
      <c r="D2788" s="29"/>
      <c r="E2788" s="29"/>
      <c r="F2788" s="29"/>
      <c r="G2788" s="29"/>
      <c r="H2788" s="29"/>
      <c r="J2788" s="29"/>
      <c r="K2788" s="29"/>
      <c r="L2788" s="19"/>
      <c r="M2788" s="19"/>
      <c r="N2788" s="30"/>
      <c r="O2788" s="30"/>
      <c r="P2788" s="32"/>
      <c r="Q2788" s="32"/>
      <c r="R2788" s="32"/>
      <c r="S2788" s="32"/>
      <c r="T2788" s="32"/>
      <c r="U2788" s="30"/>
    </row>
    <row r="2789" spans="1:21">
      <c r="A2789" s="29"/>
      <c r="B2789" s="29"/>
      <c r="C2789" s="29"/>
      <c r="D2789" s="29"/>
      <c r="E2789" s="29"/>
      <c r="F2789" s="29"/>
      <c r="G2789" s="29"/>
      <c r="H2789" s="29"/>
      <c r="J2789" s="29"/>
      <c r="K2789" s="29"/>
      <c r="L2789" s="19"/>
      <c r="M2789" s="19"/>
      <c r="N2789" s="30"/>
      <c r="O2789" s="30"/>
      <c r="P2789" s="32"/>
      <c r="Q2789" s="32"/>
      <c r="R2789" s="32"/>
      <c r="S2789" s="32"/>
      <c r="T2789" s="32"/>
      <c r="U2789" s="30"/>
    </row>
    <row r="2790" spans="1:21">
      <c r="A2790" s="29"/>
      <c r="B2790" s="29"/>
      <c r="C2790" s="29"/>
      <c r="D2790" s="29"/>
      <c r="E2790" s="29"/>
      <c r="F2790" s="29"/>
      <c r="G2790" s="29"/>
      <c r="H2790" s="29"/>
      <c r="J2790" s="29"/>
      <c r="K2790" s="29"/>
      <c r="L2790" s="19"/>
      <c r="M2790" s="19"/>
      <c r="N2790" s="30"/>
      <c r="O2790" s="30"/>
      <c r="P2790" s="32"/>
      <c r="Q2790" s="32"/>
      <c r="R2790" s="32"/>
      <c r="S2790" s="32"/>
      <c r="T2790" s="32"/>
      <c r="U2790" s="30"/>
    </row>
    <row r="2791" spans="1:21">
      <c r="A2791" s="29"/>
      <c r="B2791" s="29"/>
      <c r="C2791" s="29"/>
      <c r="D2791" s="29"/>
      <c r="E2791" s="29"/>
      <c r="F2791" s="29"/>
      <c r="G2791" s="29"/>
      <c r="H2791" s="29"/>
      <c r="J2791" s="29"/>
      <c r="K2791" s="29"/>
      <c r="L2791" s="19"/>
      <c r="M2791" s="19"/>
      <c r="N2791" s="30"/>
      <c r="O2791" s="30"/>
      <c r="P2791" s="32"/>
      <c r="Q2791" s="32"/>
      <c r="R2791" s="32"/>
      <c r="S2791" s="32"/>
      <c r="T2791" s="32"/>
      <c r="U2791" s="30"/>
    </row>
    <row r="2792" spans="1:21">
      <c r="A2792" s="29"/>
      <c r="B2792" s="29"/>
      <c r="C2792" s="29"/>
      <c r="D2792" s="29"/>
      <c r="E2792" s="29"/>
      <c r="F2792" s="29"/>
      <c r="G2792" s="29"/>
      <c r="H2792" s="29"/>
      <c r="J2792" s="29"/>
      <c r="K2792" s="29"/>
      <c r="L2792" s="19"/>
      <c r="M2792" s="19"/>
      <c r="N2792" s="30"/>
      <c r="O2792" s="30"/>
      <c r="P2792" s="32"/>
      <c r="Q2792" s="32"/>
      <c r="R2792" s="32"/>
      <c r="S2792" s="32"/>
      <c r="T2792" s="32"/>
      <c r="U2792" s="30"/>
    </row>
    <row r="2793" spans="1:21">
      <c r="A2793" s="29"/>
      <c r="B2793" s="29"/>
      <c r="C2793" s="29"/>
      <c r="D2793" s="29"/>
      <c r="E2793" s="29"/>
      <c r="F2793" s="29"/>
      <c r="G2793" s="29"/>
      <c r="H2793" s="29"/>
      <c r="J2793" s="29"/>
      <c r="K2793" s="29"/>
      <c r="L2793" s="19"/>
      <c r="M2793" s="19"/>
      <c r="N2793" s="30"/>
      <c r="O2793" s="30"/>
      <c r="P2793" s="32"/>
      <c r="Q2793" s="32"/>
      <c r="R2793" s="32"/>
      <c r="S2793" s="32"/>
      <c r="T2793" s="32"/>
      <c r="U2793" s="30"/>
    </row>
    <row r="2794" spans="1:21">
      <c r="A2794" s="29"/>
      <c r="B2794" s="29"/>
      <c r="C2794" s="29"/>
      <c r="D2794" s="29"/>
      <c r="E2794" s="29"/>
      <c r="F2794" s="29"/>
      <c r="G2794" s="29"/>
      <c r="H2794" s="29"/>
      <c r="J2794" s="29"/>
      <c r="K2794" s="29"/>
      <c r="L2794" s="19"/>
      <c r="M2794" s="19"/>
      <c r="N2794" s="30"/>
      <c r="O2794" s="30"/>
      <c r="P2794" s="32"/>
      <c r="Q2794" s="32"/>
      <c r="R2794" s="32"/>
      <c r="S2794" s="32"/>
      <c r="T2794" s="32"/>
      <c r="U2794" s="30"/>
    </row>
    <row r="2795" spans="1:21">
      <c r="A2795" s="29"/>
      <c r="B2795" s="29"/>
      <c r="C2795" s="29"/>
      <c r="D2795" s="29"/>
      <c r="E2795" s="29"/>
      <c r="F2795" s="29"/>
      <c r="G2795" s="29"/>
      <c r="H2795" s="29"/>
      <c r="J2795" s="29"/>
      <c r="K2795" s="29"/>
      <c r="L2795" s="19"/>
      <c r="M2795" s="19"/>
      <c r="N2795" s="30"/>
      <c r="O2795" s="30"/>
      <c r="P2795" s="32"/>
      <c r="Q2795" s="32"/>
      <c r="R2795" s="32"/>
      <c r="S2795" s="32"/>
      <c r="T2795" s="32"/>
      <c r="U2795" s="30"/>
    </row>
    <row r="2796" spans="1:21">
      <c r="A2796" s="29"/>
      <c r="B2796" s="29"/>
      <c r="C2796" s="29"/>
      <c r="D2796" s="29"/>
      <c r="E2796" s="29"/>
      <c r="F2796" s="29"/>
      <c r="G2796" s="29"/>
      <c r="H2796" s="29"/>
      <c r="J2796" s="29"/>
      <c r="K2796" s="29"/>
      <c r="L2796" s="19"/>
      <c r="M2796" s="19"/>
      <c r="N2796" s="30"/>
      <c r="O2796" s="30"/>
      <c r="P2796" s="32"/>
      <c r="Q2796" s="32"/>
      <c r="R2796" s="32"/>
      <c r="S2796" s="32"/>
      <c r="T2796" s="32"/>
      <c r="U2796" s="30"/>
    </row>
    <row r="2797" spans="1:21">
      <c r="A2797" s="29"/>
      <c r="B2797" s="29"/>
      <c r="C2797" s="29"/>
      <c r="D2797" s="29"/>
      <c r="E2797" s="29"/>
      <c r="F2797" s="29"/>
      <c r="G2797" s="29"/>
      <c r="H2797" s="29"/>
      <c r="J2797" s="29"/>
      <c r="K2797" s="29"/>
      <c r="L2797" s="19"/>
      <c r="M2797" s="19"/>
      <c r="N2797" s="30"/>
      <c r="O2797" s="30"/>
      <c r="P2797" s="32"/>
      <c r="Q2797" s="32"/>
      <c r="R2797" s="32"/>
      <c r="S2797" s="32"/>
      <c r="T2797" s="32"/>
      <c r="U2797" s="30"/>
    </row>
    <row r="2798" spans="1:21">
      <c r="A2798" s="29"/>
      <c r="B2798" s="29"/>
      <c r="C2798" s="29"/>
      <c r="D2798" s="29"/>
      <c r="E2798" s="29"/>
      <c r="F2798" s="29"/>
      <c r="G2798" s="29"/>
      <c r="H2798" s="29"/>
      <c r="J2798" s="29"/>
      <c r="K2798" s="29"/>
      <c r="L2798" s="19"/>
      <c r="M2798" s="19"/>
      <c r="N2798" s="30"/>
      <c r="O2798" s="30"/>
      <c r="P2798" s="32"/>
      <c r="Q2798" s="32"/>
      <c r="R2798" s="32"/>
      <c r="S2798" s="32"/>
      <c r="T2798" s="32"/>
      <c r="U2798" s="30"/>
    </row>
    <row r="2799" spans="1:21">
      <c r="A2799" s="29"/>
      <c r="B2799" s="29"/>
      <c r="C2799" s="29"/>
      <c r="D2799" s="29"/>
      <c r="E2799" s="29"/>
      <c r="F2799" s="29"/>
      <c r="G2799" s="29"/>
      <c r="H2799" s="29"/>
      <c r="J2799" s="29"/>
      <c r="K2799" s="29"/>
      <c r="L2799" s="19"/>
      <c r="M2799" s="19"/>
      <c r="N2799" s="30"/>
      <c r="O2799" s="30"/>
      <c r="P2799" s="32"/>
      <c r="Q2799" s="32"/>
      <c r="R2799" s="32"/>
      <c r="S2799" s="32"/>
      <c r="T2799" s="32"/>
      <c r="U2799" s="30"/>
    </row>
    <row r="2800" spans="1:21">
      <c r="A2800" s="29"/>
      <c r="B2800" s="29"/>
      <c r="C2800" s="29"/>
      <c r="D2800" s="29"/>
      <c r="E2800" s="29"/>
      <c r="F2800" s="29"/>
      <c r="G2800" s="29"/>
      <c r="H2800" s="29"/>
      <c r="J2800" s="29"/>
      <c r="K2800" s="29"/>
      <c r="L2800" s="19"/>
      <c r="M2800" s="19"/>
      <c r="N2800" s="30"/>
      <c r="O2800" s="30"/>
      <c r="P2800" s="32"/>
      <c r="Q2800" s="32"/>
      <c r="R2800" s="32"/>
      <c r="S2800" s="32"/>
      <c r="T2800" s="32"/>
      <c r="U2800" s="30"/>
    </row>
    <row r="2801" spans="1:21">
      <c r="A2801" s="29"/>
      <c r="B2801" s="29"/>
      <c r="C2801" s="29"/>
      <c r="D2801" s="29"/>
      <c r="E2801" s="29"/>
      <c r="F2801" s="29"/>
      <c r="G2801" s="29"/>
      <c r="H2801" s="29"/>
      <c r="J2801" s="29"/>
      <c r="K2801" s="29"/>
      <c r="L2801" s="19"/>
      <c r="M2801" s="19"/>
      <c r="N2801" s="30"/>
      <c r="O2801" s="30"/>
      <c r="P2801" s="32"/>
      <c r="Q2801" s="32"/>
      <c r="R2801" s="32"/>
      <c r="S2801" s="32"/>
      <c r="T2801" s="32"/>
      <c r="U2801" s="30"/>
    </row>
    <row r="2802" spans="1:21">
      <c r="A2802" s="29"/>
      <c r="B2802" s="29"/>
      <c r="C2802" s="29"/>
      <c r="D2802" s="29"/>
      <c r="E2802" s="29"/>
      <c r="F2802" s="29"/>
      <c r="G2802" s="29"/>
      <c r="H2802" s="29"/>
      <c r="J2802" s="29"/>
      <c r="K2802" s="29"/>
      <c r="L2802" s="19"/>
      <c r="M2802" s="19"/>
      <c r="N2802" s="30"/>
      <c r="O2802" s="30"/>
      <c r="P2802" s="32"/>
      <c r="Q2802" s="32"/>
      <c r="R2802" s="32"/>
      <c r="S2802" s="32"/>
      <c r="T2802" s="32"/>
      <c r="U2802" s="30"/>
    </row>
    <row r="2803" spans="1:21">
      <c r="A2803" s="29"/>
      <c r="B2803" s="29"/>
      <c r="C2803" s="29"/>
      <c r="D2803" s="29"/>
      <c r="E2803" s="29"/>
      <c r="F2803" s="29"/>
      <c r="G2803" s="29"/>
      <c r="H2803" s="29"/>
      <c r="J2803" s="29"/>
      <c r="K2803" s="29"/>
      <c r="L2803" s="19"/>
      <c r="M2803" s="19"/>
      <c r="N2803" s="30"/>
      <c r="O2803" s="30"/>
      <c r="P2803" s="32"/>
      <c r="Q2803" s="32"/>
      <c r="R2803" s="32"/>
      <c r="S2803" s="32"/>
      <c r="T2803" s="32"/>
      <c r="U2803" s="30"/>
    </row>
    <row r="2804" spans="1:21">
      <c r="A2804" s="29"/>
      <c r="B2804" s="29"/>
      <c r="C2804" s="29"/>
      <c r="D2804" s="29"/>
      <c r="E2804" s="29"/>
      <c r="F2804" s="29"/>
      <c r="G2804" s="29"/>
      <c r="H2804" s="29"/>
      <c r="J2804" s="29"/>
      <c r="K2804" s="29"/>
      <c r="L2804" s="19"/>
      <c r="M2804" s="19"/>
      <c r="N2804" s="30"/>
      <c r="O2804" s="30"/>
      <c r="P2804" s="32"/>
      <c r="Q2804" s="32"/>
      <c r="R2804" s="32"/>
      <c r="S2804" s="32"/>
      <c r="T2804" s="32"/>
      <c r="U2804" s="30"/>
    </row>
    <row r="2805" spans="1:21">
      <c r="A2805" s="29"/>
      <c r="B2805" s="29"/>
      <c r="C2805" s="29"/>
      <c r="D2805" s="29"/>
      <c r="E2805" s="29"/>
      <c r="F2805" s="29"/>
      <c r="G2805" s="29"/>
      <c r="H2805" s="29"/>
      <c r="J2805" s="29"/>
      <c r="K2805" s="29"/>
      <c r="L2805" s="19"/>
      <c r="M2805" s="19"/>
      <c r="N2805" s="30"/>
      <c r="O2805" s="30"/>
      <c r="P2805" s="32"/>
      <c r="Q2805" s="32"/>
      <c r="R2805" s="32"/>
      <c r="S2805" s="32"/>
      <c r="T2805" s="32"/>
      <c r="U2805" s="30"/>
    </row>
    <row r="2806" spans="1:21">
      <c r="A2806" s="29"/>
      <c r="B2806" s="29"/>
      <c r="C2806" s="29"/>
      <c r="D2806" s="29"/>
      <c r="E2806" s="29"/>
      <c r="F2806" s="29"/>
      <c r="G2806" s="29"/>
      <c r="H2806" s="29"/>
      <c r="J2806" s="29"/>
      <c r="K2806" s="29"/>
      <c r="L2806" s="19"/>
      <c r="M2806" s="19"/>
      <c r="N2806" s="30"/>
      <c r="O2806" s="30"/>
      <c r="P2806" s="32"/>
      <c r="Q2806" s="32"/>
      <c r="R2806" s="32"/>
      <c r="S2806" s="32"/>
      <c r="T2806" s="32"/>
      <c r="U2806" s="30"/>
    </row>
    <row r="2807" spans="1:21">
      <c r="A2807" s="29"/>
      <c r="B2807" s="29"/>
      <c r="C2807" s="29"/>
      <c r="D2807" s="29"/>
      <c r="E2807" s="29"/>
      <c r="F2807" s="29"/>
      <c r="G2807" s="29"/>
      <c r="H2807" s="29"/>
      <c r="J2807" s="29"/>
      <c r="K2807" s="29"/>
      <c r="L2807" s="19"/>
      <c r="M2807" s="19"/>
      <c r="N2807" s="30"/>
      <c r="O2807" s="30"/>
      <c r="P2807" s="32"/>
      <c r="Q2807" s="32"/>
      <c r="R2807" s="32"/>
      <c r="S2807" s="32"/>
      <c r="T2807" s="32"/>
      <c r="U2807" s="30"/>
    </row>
    <row r="2808" spans="1:21">
      <c r="A2808" s="29"/>
      <c r="B2808" s="29"/>
      <c r="C2808" s="29"/>
      <c r="D2808" s="29"/>
      <c r="E2808" s="29"/>
      <c r="F2808" s="29"/>
      <c r="G2808" s="29"/>
      <c r="H2808" s="29"/>
      <c r="J2808" s="29"/>
      <c r="K2808" s="29"/>
      <c r="L2808" s="19"/>
      <c r="M2808" s="19"/>
      <c r="N2808" s="30"/>
      <c r="O2808" s="30"/>
      <c r="P2808" s="32"/>
      <c r="Q2808" s="32"/>
      <c r="R2808" s="32"/>
      <c r="S2808" s="32"/>
      <c r="T2808" s="32"/>
      <c r="U2808" s="30"/>
    </row>
    <row r="2809" spans="1:21">
      <c r="A2809" s="29"/>
      <c r="B2809" s="29"/>
      <c r="C2809" s="29"/>
      <c r="D2809" s="29"/>
      <c r="E2809" s="29"/>
      <c r="F2809" s="29"/>
      <c r="G2809" s="29"/>
      <c r="H2809" s="29"/>
      <c r="J2809" s="29"/>
      <c r="K2809" s="29"/>
      <c r="L2809" s="19"/>
      <c r="M2809" s="19"/>
      <c r="N2809" s="30"/>
      <c r="O2809" s="30"/>
      <c r="P2809" s="32"/>
      <c r="Q2809" s="32"/>
      <c r="R2809" s="32"/>
      <c r="S2809" s="32"/>
      <c r="T2809" s="32"/>
      <c r="U2809" s="30"/>
    </row>
    <row r="2810" spans="1:21">
      <c r="A2810" s="29"/>
      <c r="B2810" s="29"/>
      <c r="C2810" s="29"/>
      <c r="D2810" s="29"/>
      <c r="E2810" s="29"/>
      <c r="F2810" s="29"/>
      <c r="G2810" s="29"/>
      <c r="H2810" s="29"/>
      <c r="J2810" s="29"/>
      <c r="K2810" s="29"/>
      <c r="L2810" s="19"/>
      <c r="M2810" s="19"/>
      <c r="N2810" s="30"/>
      <c r="O2810" s="30"/>
      <c r="P2810" s="32"/>
      <c r="Q2810" s="32"/>
      <c r="R2810" s="32"/>
      <c r="S2810" s="32"/>
      <c r="T2810" s="32"/>
      <c r="U2810" s="30"/>
    </row>
    <row r="2811" spans="1:21">
      <c r="A2811" s="29"/>
      <c r="B2811" s="29"/>
      <c r="C2811" s="29"/>
      <c r="D2811" s="29"/>
      <c r="E2811" s="29"/>
      <c r="F2811" s="29"/>
      <c r="G2811" s="29"/>
      <c r="H2811" s="29"/>
      <c r="J2811" s="29"/>
      <c r="K2811" s="29"/>
      <c r="L2811" s="19"/>
      <c r="M2811" s="19"/>
      <c r="N2811" s="30"/>
      <c r="O2811" s="30"/>
      <c r="P2811" s="32"/>
      <c r="Q2811" s="32"/>
      <c r="R2811" s="32"/>
      <c r="S2811" s="32"/>
      <c r="T2811" s="32"/>
      <c r="U2811" s="30"/>
    </row>
    <row r="2812" spans="1:21">
      <c r="A2812" s="29"/>
      <c r="B2812" s="29"/>
      <c r="C2812" s="29"/>
      <c r="D2812" s="29"/>
      <c r="E2812" s="29"/>
      <c r="F2812" s="29"/>
      <c r="G2812" s="29"/>
      <c r="H2812" s="29"/>
      <c r="J2812" s="29"/>
      <c r="K2812" s="29"/>
      <c r="L2812" s="19"/>
      <c r="M2812" s="19"/>
      <c r="N2812" s="30"/>
      <c r="O2812" s="30"/>
      <c r="P2812" s="32"/>
      <c r="Q2812" s="32"/>
      <c r="R2812" s="32"/>
      <c r="S2812" s="32"/>
      <c r="T2812" s="32"/>
      <c r="U2812" s="30"/>
    </row>
    <row r="2813" spans="1:21">
      <c r="A2813" s="29"/>
      <c r="B2813" s="29"/>
      <c r="C2813" s="29"/>
      <c r="D2813" s="29"/>
      <c r="E2813" s="29"/>
      <c r="F2813" s="29"/>
      <c r="G2813" s="29"/>
      <c r="H2813" s="29"/>
      <c r="J2813" s="29"/>
      <c r="K2813" s="29"/>
      <c r="L2813" s="19"/>
      <c r="M2813" s="19"/>
      <c r="N2813" s="30"/>
      <c r="O2813" s="30"/>
      <c r="P2813" s="32"/>
      <c r="Q2813" s="32"/>
      <c r="R2813" s="32"/>
      <c r="S2813" s="32"/>
      <c r="T2813" s="32"/>
      <c r="U2813" s="30"/>
    </row>
    <row r="2814" spans="1:21">
      <c r="A2814" s="29"/>
      <c r="B2814" s="29"/>
      <c r="C2814" s="29"/>
      <c r="D2814" s="29"/>
      <c r="E2814" s="29"/>
      <c r="F2814" s="29"/>
      <c r="G2814" s="29"/>
      <c r="H2814" s="29"/>
      <c r="J2814" s="29"/>
      <c r="K2814" s="29"/>
      <c r="L2814" s="19"/>
      <c r="M2814" s="19"/>
      <c r="N2814" s="30"/>
      <c r="O2814" s="30"/>
      <c r="P2814" s="32"/>
      <c r="Q2814" s="32"/>
      <c r="R2814" s="32"/>
      <c r="S2814" s="32"/>
      <c r="T2814" s="32"/>
      <c r="U2814" s="30"/>
    </row>
    <row r="2815" spans="1:21">
      <c r="A2815" s="29"/>
      <c r="B2815" s="29"/>
      <c r="C2815" s="29"/>
      <c r="D2815" s="29"/>
      <c r="E2815" s="29"/>
      <c r="F2815" s="29"/>
      <c r="G2815" s="29"/>
      <c r="H2815" s="29"/>
      <c r="J2815" s="29"/>
      <c r="K2815" s="29"/>
      <c r="L2815" s="19"/>
      <c r="M2815" s="19"/>
      <c r="N2815" s="30"/>
      <c r="O2815" s="30"/>
      <c r="P2815" s="32"/>
      <c r="Q2815" s="32"/>
      <c r="R2815" s="32"/>
      <c r="S2815" s="32"/>
      <c r="T2815" s="32"/>
      <c r="U2815" s="30"/>
    </row>
    <row r="2816" spans="1:21">
      <c r="A2816" s="29"/>
      <c r="B2816" s="29"/>
      <c r="C2816" s="29"/>
      <c r="D2816" s="29"/>
      <c r="E2816" s="29"/>
      <c r="F2816" s="29"/>
      <c r="G2816" s="29"/>
      <c r="H2816" s="29"/>
      <c r="J2816" s="29"/>
      <c r="K2816" s="29"/>
      <c r="L2816" s="19"/>
      <c r="M2816" s="19"/>
      <c r="N2816" s="30"/>
      <c r="O2816" s="30"/>
      <c r="P2816" s="32"/>
      <c r="Q2816" s="32"/>
      <c r="R2816" s="32"/>
      <c r="S2816" s="32"/>
      <c r="T2816" s="32"/>
      <c r="U2816" s="30"/>
    </row>
    <row r="2817" spans="1:21">
      <c r="A2817" s="29"/>
      <c r="B2817" s="29"/>
      <c r="C2817" s="29"/>
      <c r="D2817" s="29"/>
      <c r="E2817" s="29"/>
      <c r="F2817" s="29"/>
      <c r="G2817" s="29"/>
      <c r="H2817" s="29"/>
      <c r="J2817" s="29"/>
      <c r="K2817" s="29"/>
      <c r="L2817" s="19"/>
      <c r="M2817" s="19"/>
      <c r="N2817" s="30"/>
      <c r="O2817" s="30"/>
      <c r="P2817" s="32"/>
      <c r="Q2817" s="32"/>
      <c r="R2817" s="32"/>
      <c r="S2817" s="32"/>
      <c r="T2817" s="32"/>
      <c r="U2817" s="30"/>
    </row>
    <row r="2818" spans="1:21">
      <c r="A2818" s="29"/>
      <c r="B2818" s="29"/>
      <c r="C2818" s="29"/>
      <c r="D2818" s="29"/>
      <c r="E2818" s="29"/>
      <c r="F2818" s="29"/>
      <c r="G2818" s="29"/>
      <c r="H2818" s="29"/>
      <c r="J2818" s="29"/>
      <c r="K2818" s="29"/>
      <c r="L2818" s="19"/>
      <c r="M2818" s="19"/>
      <c r="N2818" s="30"/>
      <c r="O2818" s="30"/>
      <c r="P2818" s="32"/>
      <c r="Q2818" s="32"/>
      <c r="R2818" s="32"/>
      <c r="S2818" s="32"/>
      <c r="T2818" s="32"/>
      <c r="U2818" s="30"/>
    </row>
    <row r="2819" spans="1:21">
      <c r="A2819" s="29"/>
      <c r="B2819" s="29"/>
      <c r="C2819" s="29"/>
      <c r="D2819" s="29"/>
      <c r="E2819" s="29"/>
      <c r="F2819" s="29"/>
      <c r="G2819" s="29"/>
      <c r="H2819" s="29"/>
      <c r="J2819" s="29"/>
      <c r="K2819" s="29"/>
      <c r="L2819" s="19"/>
      <c r="M2819" s="19"/>
      <c r="N2819" s="30"/>
      <c r="O2819" s="30"/>
      <c r="P2819" s="32"/>
      <c r="Q2819" s="32"/>
      <c r="R2819" s="32"/>
      <c r="S2819" s="32"/>
      <c r="T2819" s="32"/>
      <c r="U2819" s="30"/>
    </row>
    <row r="2820" spans="1:21">
      <c r="A2820" s="29"/>
      <c r="B2820" s="29"/>
      <c r="C2820" s="29"/>
      <c r="D2820" s="29"/>
      <c r="E2820" s="29"/>
      <c r="F2820" s="29"/>
      <c r="G2820" s="29"/>
      <c r="H2820" s="29"/>
      <c r="J2820" s="29"/>
      <c r="K2820" s="29"/>
      <c r="L2820" s="19"/>
      <c r="M2820" s="19"/>
      <c r="N2820" s="30"/>
      <c r="O2820" s="30"/>
      <c r="P2820" s="32"/>
      <c r="Q2820" s="32"/>
      <c r="R2820" s="32"/>
      <c r="S2820" s="32"/>
      <c r="T2820" s="32"/>
      <c r="U2820" s="30"/>
    </row>
    <row r="2821" spans="1:21">
      <c r="A2821" s="29"/>
      <c r="B2821" s="29"/>
      <c r="C2821" s="29"/>
      <c r="D2821" s="29"/>
      <c r="E2821" s="29"/>
      <c r="F2821" s="29"/>
      <c r="G2821" s="29"/>
      <c r="H2821" s="29"/>
      <c r="J2821" s="29"/>
      <c r="K2821" s="29"/>
      <c r="L2821" s="19"/>
      <c r="M2821" s="19"/>
      <c r="N2821" s="30"/>
      <c r="O2821" s="30"/>
      <c r="P2821" s="32"/>
      <c r="Q2821" s="32"/>
      <c r="R2821" s="32"/>
      <c r="S2821" s="32"/>
      <c r="T2821" s="32"/>
      <c r="U2821" s="30"/>
    </row>
    <row r="2822" spans="1:21">
      <c r="A2822" s="29"/>
      <c r="B2822" s="29"/>
      <c r="C2822" s="29"/>
      <c r="D2822" s="29"/>
      <c r="E2822" s="29"/>
      <c r="F2822" s="29"/>
      <c r="G2822" s="29"/>
      <c r="H2822" s="29"/>
      <c r="J2822" s="29"/>
      <c r="K2822" s="29"/>
      <c r="L2822" s="19"/>
      <c r="M2822" s="19"/>
      <c r="N2822" s="30"/>
      <c r="O2822" s="30"/>
      <c r="P2822" s="32"/>
      <c r="Q2822" s="32"/>
      <c r="R2822" s="32"/>
      <c r="S2822" s="32"/>
      <c r="T2822" s="32"/>
      <c r="U2822" s="30"/>
    </row>
    <row r="2823" spans="1:21">
      <c r="A2823" s="29"/>
      <c r="B2823" s="29"/>
      <c r="C2823" s="29"/>
      <c r="D2823" s="29"/>
      <c r="E2823" s="29"/>
      <c r="F2823" s="29"/>
      <c r="G2823" s="29"/>
      <c r="H2823" s="29"/>
      <c r="J2823" s="29"/>
      <c r="K2823" s="29"/>
      <c r="L2823" s="19"/>
      <c r="M2823" s="19"/>
      <c r="N2823" s="30"/>
      <c r="O2823" s="30"/>
      <c r="P2823" s="32"/>
      <c r="Q2823" s="32"/>
      <c r="R2823" s="32"/>
      <c r="S2823" s="32"/>
      <c r="T2823" s="32"/>
      <c r="U2823" s="30"/>
    </row>
    <row r="2824" spans="1:21">
      <c r="A2824" s="29"/>
      <c r="B2824" s="29"/>
      <c r="C2824" s="29"/>
      <c r="D2824" s="29"/>
      <c r="E2824" s="29"/>
      <c r="F2824" s="29"/>
      <c r="G2824" s="29"/>
      <c r="H2824" s="29"/>
      <c r="J2824" s="29"/>
      <c r="K2824" s="29"/>
      <c r="L2824" s="19"/>
      <c r="M2824" s="19"/>
      <c r="N2824" s="30"/>
      <c r="O2824" s="30"/>
      <c r="P2824" s="32"/>
      <c r="Q2824" s="32"/>
      <c r="R2824" s="32"/>
      <c r="S2824" s="32"/>
      <c r="T2824" s="32"/>
      <c r="U2824" s="30"/>
    </row>
    <row r="2825" spans="1:21">
      <c r="A2825" s="29"/>
      <c r="B2825" s="29"/>
      <c r="C2825" s="29"/>
      <c r="D2825" s="29"/>
      <c r="E2825" s="29"/>
      <c r="F2825" s="29"/>
      <c r="G2825" s="29"/>
      <c r="H2825" s="29"/>
      <c r="J2825" s="29"/>
      <c r="K2825" s="29"/>
      <c r="L2825" s="19"/>
      <c r="M2825" s="19"/>
      <c r="N2825" s="30"/>
      <c r="O2825" s="30"/>
      <c r="P2825" s="32"/>
      <c r="Q2825" s="32"/>
      <c r="R2825" s="32"/>
      <c r="S2825" s="32"/>
      <c r="T2825" s="32"/>
      <c r="U2825" s="30"/>
    </row>
    <row r="2826" spans="1:21">
      <c r="A2826" s="29"/>
      <c r="B2826" s="29"/>
      <c r="C2826" s="29"/>
      <c r="D2826" s="29"/>
      <c r="E2826" s="29"/>
      <c r="F2826" s="29"/>
      <c r="G2826" s="29"/>
      <c r="H2826" s="29"/>
      <c r="J2826" s="29"/>
      <c r="K2826" s="29"/>
      <c r="L2826" s="19"/>
      <c r="M2826" s="19"/>
      <c r="N2826" s="30"/>
      <c r="O2826" s="30"/>
      <c r="P2826" s="32"/>
      <c r="Q2826" s="32"/>
      <c r="R2826" s="32"/>
      <c r="S2826" s="32"/>
      <c r="T2826" s="32"/>
      <c r="U2826" s="30"/>
    </row>
    <row r="2827" spans="1:21">
      <c r="A2827" s="29"/>
      <c r="B2827" s="29"/>
      <c r="C2827" s="29"/>
      <c r="D2827" s="29"/>
      <c r="E2827" s="29"/>
      <c r="F2827" s="29"/>
      <c r="G2827" s="29"/>
      <c r="H2827" s="29"/>
      <c r="J2827" s="29"/>
      <c r="K2827" s="29"/>
      <c r="L2827" s="19"/>
      <c r="M2827" s="19"/>
      <c r="N2827" s="30"/>
      <c r="O2827" s="30"/>
      <c r="P2827" s="32"/>
      <c r="Q2827" s="32"/>
      <c r="R2827" s="32"/>
      <c r="S2827" s="32"/>
      <c r="T2827" s="32"/>
      <c r="U2827" s="30"/>
    </row>
    <row r="2828" spans="1:21">
      <c r="A2828" s="29"/>
      <c r="B2828" s="29"/>
      <c r="C2828" s="29"/>
      <c r="D2828" s="29"/>
      <c r="E2828" s="29"/>
      <c r="F2828" s="29"/>
      <c r="G2828" s="29"/>
      <c r="H2828" s="29"/>
      <c r="J2828" s="29"/>
      <c r="K2828" s="29"/>
      <c r="L2828" s="19"/>
      <c r="M2828" s="19"/>
      <c r="N2828" s="30"/>
      <c r="O2828" s="30"/>
      <c r="P2828" s="32"/>
      <c r="Q2828" s="32"/>
      <c r="R2828" s="32"/>
      <c r="S2828" s="32"/>
      <c r="T2828" s="32"/>
      <c r="U2828" s="30"/>
    </row>
    <row r="2829" spans="1:21">
      <c r="A2829" s="29"/>
      <c r="B2829" s="29"/>
      <c r="C2829" s="29"/>
      <c r="D2829" s="29"/>
      <c r="E2829" s="29"/>
      <c r="F2829" s="29"/>
      <c r="G2829" s="29"/>
      <c r="H2829" s="29"/>
      <c r="J2829" s="29"/>
      <c r="K2829" s="29"/>
      <c r="L2829" s="19"/>
      <c r="M2829" s="19"/>
      <c r="N2829" s="30"/>
      <c r="O2829" s="30"/>
      <c r="P2829" s="32"/>
      <c r="Q2829" s="32"/>
      <c r="R2829" s="32"/>
      <c r="S2829" s="32"/>
      <c r="T2829" s="32"/>
      <c r="U2829" s="30"/>
    </row>
    <row r="2830" spans="1:21">
      <c r="A2830" s="29"/>
      <c r="B2830" s="29"/>
      <c r="C2830" s="29"/>
      <c r="D2830" s="29"/>
      <c r="E2830" s="29"/>
      <c r="F2830" s="29"/>
      <c r="G2830" s="29"/>
      <c r="H2830" s="29"/>
      <c r="J2830" s="29"/>
      <c r="K2830" s="29"/>
      <c r="L2830" s="19"/>
      <c r="M2830" s="19"/>
      <c r="N2830" s="30"/>
      <c r="O2830" s="30"/>
      <c r="P2830" s="32"/>
      <c r="Q2830" s="32"/>
      <c r="R2830" s="32"/>
      <c r="S2830" s="32"/>
      <c r="T2830" s="32"/>
      <c r="U2830" s="30"/>
    </row>
    <row r="2831" spans="1:21">
      <c r="A2831" s="29"/>
      <c r="B2831" s="29"/>
      <c r="C2831" s="29"/>
      <c r="D2831" s="29"/>
      <c r="E2831" s="29"/>
      <c r="F2831" s="29"/>
      <c r="G2831" s="29"/>
      <c r="H2831" s="29"/>
      <c r="J2831" s="29"/>
      <c r="K2831" s="29"/>
      <c r="L2831" s="19"/>
      <c r="M2831" s="19"/>
      <c r="N2831" s="30"/>
      <c r="O2831" s="30"/>
      <c r="P2831" s="32"/>
      <c r="Q2831" s="32"/>
      <c r="R2831" s="32"/>
      <c r="S2831" s="32"/>
      <c r="T2831" s="32"/>
      <c r="U2831" s="30"/>
    </row>
    <row r="2832" spans="1:21">
      <c r="A2832" s="29"/>
      <c r="B2832" s="29"/>
      <c r="C2832" s="29"/>
      <c r="D2832" s="29"/>
      <c r="E2832" s="29"/>
      <c r="F2832" s="29"/>
      <c r="G2832" s="29"/>
      <c r="H2832" s="29"/>
      <c r="J2832" s="29"/>
      <c r="K2832" s="29"/>
      <c r="L2832" s="19"/>
      <c r="M2832" s="19"/>
      <c r="N2832" s="30"/>
      <c r="O2832" s="30"/>
      <c r="P2832" s="32"/>
      <c r="Q2832" s="32"/>
      <c r="R2832" s="32"/>
      <c r="S2832" s="32"/>
      <c r="T2832" s="32"/>
      <c r="U2832" s="30"/>
    </row>
    <row r="2833" spans="1:21">
      <c r="A2833" s="29"/>
      <c r="B2833" s="29"/>
      <c r="C2833" s="29"/>
      <c r="D2833" s="29"/>
      <c r="E2833" s="29"/>
      <c r="F2833" s="29"/>
      <c r="G2833" s="29"/>
      <c r="H2833" s="29"/>
      <c r="J2833" s="29"/>
      <c r="K2833" s="29"/>
      <c r="L2833" s="19"/>
      <c r="M2833" s="19"/>
      <c r="N2833" s="30"/>
      <c r="O2833" s="30"/>
      <c r="P2833" s="32"/>
      <c r="Q2833" s="32"/>
      <c r="R2833" s="32"/>
      <c r="S2833" s="32"/>
      <c r="T2833" s="32"/>
      <c r="U2833" s="30"/>
    </row>
    <row r="2834" spans="1:21">
      <c r="A2834" s="29"/>
      <c r="B2834" s="29"/>
      <c r="C2834" s="29"/>
      <c r="D2834" s="29"/>
      <c r="E2834" s="29"/>
      <c r="F2834" s="29"/>
      <c r="G2834" s="29"/>
      <c r="H2834" s="29"/>
      <c r="J2834" s="29"/>
      <c r="K2834" s="29"/>
      <c r="L2834" s="19"/>
      <c r="M2834" s="19"/>
      <c r="N2834" s="30"/>
      <c r="O2834" s="30"/>
      <c r="P2834" s="32"/>
      <c r="Q2834" s="32"/>
      <c r="R2834" s="32"/>
      <c r="S2834" s="32"/>
      <c r="T2834" s="32"/>
      <c r="U2834" s="30"/>
    </row>
    <row r="2835" spans="1:21">
      <c r="A2835" s="29"/>
      <c r="B2835" s="29"/>
      <c r="C2835" s="29"/>
      <c r="D2835" s="29"/>
      <c r="E2835" s="29"/>
      <c r="F2835" s="29"/>
      <c r="G2835" s="29"/>
      <c r="H2835" s="29"/>
      <c r="J2835" s="29"/>
      <c r="K2835" s="29"/>
      <c r="L2835" s="19"/>
      <c r="M2835" s="19"/>
      <c r="N2835" s="30"/>
      <c r="O2835" s="30"/>
      <c r="P2835" s="32"/>
      <c r="Q2835" s="32"/>
      <c r="R2835" s="32"/>
      <c r="S2835" s="32"/>
      <c r="T2835" s="32"/>
      <c r="U2835" s="30"/>
    </row>
    <row r="2836" spans="1:21">
      <c r="A2836" s="29"/>
      <c r="B2836" s="29"/>
      <c r="C2836" s="29"/>
      <c r="D2836" s="29"/>
      <c r="E2836" s="29"/>
      <c r="F2836" s="29"/>
      <c r="G2836" s="29"/>
      <c r="H2836" s="29"/>
      <c r="J2836" s="29"/>
      <c r="K2836" s="29"/>
      <c r="L2836" s="19"/>
      <c r="M2836" s="19"/>
      <c r="N2836" s="30"/>
      <c r="O2836" s="30"/>
      <c r="P2836" s="32"/>
      <c r="Q2836" s="32"/>
      <c r="R2836" s="32"/>
      <c r="S2836" s="32"/>
      <c r="T2836" s="32"/>
      <c r="U2836" s="30"/>
    </row>
    <row r="2837" spans="1:21">
      <c r="A2837" s="29"/>
      <c r="B2837" s="29"/>
      <c r="C2837" s="29"/>
      <c r="D2837" s="29"/>
      <c r="E2837" s="29"/>
      <c r="F2837" s="29"/>
      <c r="G2837" s="29"/>
      <c r="H2837" s="29"/>
      <c r="J2837" s="29"/>
      <c r="K2837" s="29"/>
      <c r="L2837" s="19"/>
      <c r="M2837" s="19"/>
      <c r="N2837" s="30"/>
      <c r="O2837" s="30"/>
      <c r="P2837" s="32"/>
      <c r="Q2837" s="32"/>
      <c r="R2837" s="32"/>
      <c r="S2837" s="32"/>
      <c r="T2837" s="32"/>
      <c r="U2837" s="30"/>
    </row>
    <row r="2838" spans="1:21">
      <c r="A2838" s="29"/>
      <c r="B2838" s="29"/>
      <c r="C2838" s="29"/>
      <c r="D2838" s="29"/>
      <c r="E2838" s="29"/>
      <c r="F2838" s="29"/>
      <c r="G2838" s="29"/>
      <c r="H2838" s="29"/>
      <c r="J2838" s="29"/>
      <c r="K2838" s="29"/>
      <c r="L2838" s="19"/>
      <c r="M2838" s="19"/>
      <c r="N2838" s="30"/>
      <c r="O2838" s="30"/>
      <c r="P2838" s="32"/>
      <c r="Q2838" s="32"/>
      <c r="R2838" s="32"/>
      <c r="S2838" s="32"/>
      <c r="T2838" s="32"/>
      <c r="U2838" s="30"/>
    </row>
    <row r="2839" spans="1:21">
      <c r="A2839" s="29"/>
      <c r="B2839" s="29"/>
      <c r="C2839" s="29"/>
      <c r="D2839" s="29"/>
      <c r="E2839" s="29"/>
      <c r="F2839" s="29"/>
      <c r="G2839" s="29"/>
      <c r="H2839" s="29"/>
      <c r="J2839" s="29"/>
      <c r="K2839" s="29"/>
      <c r="L2839" s="19"/>
      <c r="M2839" s="19"/>
      <c r="N2839" s="30"/>
      <c r="O2839" s="30"/>
      <c r="P2839" s="32"/>
      <c r="Q2839" s="32"/>
      <c r="R2839" s="32"/>
      <c r="S2839" s="32"/>
      <c r="T2839" s="32"/>
      <c r="U2839" s="30"/>
    </row>
    <row r="2840" spans="1:21">
      <c r="A2840" s="29"/>
      <c r="B2840" s="29"/>
      <c r="C2840" s="29"/>
      <c r="D2840" s="29"/>
      <c r="E2840" s="29"/>
      <c r="F2840" s="29"/>
      <c r="G2840" s="29"/>
      <c r="H2840" s="29"/>
      <c r="J2840" s="29"/>
      <c r="K2840" s="29"/>
      <c r="L2840" s="19"/>
      <c r="M2840" s="19"/>
      <c r="N2840" s="30"/>
      <c r="O2840" s="30"/>
      <c r="P2840" s="32"/>
      <c r="Q2840" s="32"/>
      <c r="R2840" s="32"/>
      <c r="S2840" s="32"/>
      <c r="T2840" s="32"/>
      <c r="U2840" s="30"/>
    </row>
    <row r="2841" spans="1:21">
      <c r="A2841" s="29"/>
      <c r="B2841" s="29"/>
      <c r="C2841" s="29"/>
      <c r="D2841" s="29"/>
      <c r="E2841" s="29"/>
      <c r="F2841" s="29"/>
      <c r="G2841" s="29"/>
      <c r="H2841" s="29"/>
      <c r="J2841" s="29"/>
      <c r="K2841" s="29"/>
      <c r="L2841" s="19"/>
      <c r="M2841" s="19"/>
      <c r="N2841" s="30"/>
      <c r="O2841" s="30"/>
      <c r="P2841" s="32"/>
      <c r="Q2841" s="32"/>
      <c r="R2841" s="32"/>
      <c r="S2841" s="32"/>
      <c r="T2841" s="32"/>
      <c r="U2841" s="30"/>
    </row>
    <row r="2842" spans="1:21">
      <c r="A2842" s="29"/>
      <c r="B2842" s="29"/>
      <c r="C2842" s="29"/>
      <c r="D2842" s="29"/>
      <c r="E2842" s="29"/>
      <c r="F2842" s="29"/>
      <c r="G2842" s="29"/>
      <c r="H2842" s="29"/>
      <c r="J2842" s="29"/>
      <c r="K2842" s="29"/>
      <c r="L2842" s="19"/>
      <c r="M2842" s="19"/>
      <c r="N2842" s="30"/>
      <c r="O2842" s="30"/>
      <c r="P2842" s="32"/>
      <c r="Q2842" s="32"/>
      <c r="R2842" s="32"/>
      <c r="S2842" s="32"/>
      <c r="T2842" s="32"/>
      <c r="U2842" s="30"/>
    </row>
    <row r="2843" spans="1:21">
      <c r="A2843" s="29"/>
      <c r="B2843" s="29"/>
      <c r="C2843" s="29"/>
      <c r="D2843" s="29"/>
      <c r="E2843" s="29"/>
      <c r="F2843" s="29"/>
      <c r="G2843" s="29"/>
      <c r="H2843" s="29"/>
      <c r="J2843" s="29"/>
      <c r="K2843" s="29"/>
      <c r="L2843" s="19"/>
      <c r="M2843" s="19"/>
      <c r="N2843" s="30"/>
      <c r="O2843" s="30"/>
      <c r="P2843" s="32"/>
      <c r="Q2843" s="32"/>
      <c r="R2843" s="32"/>
      <c r="S2843" s="32"/>
      <c r="T2843" s="32"/>
      <c r="U2843" s="30"/>
    </row>
    <row r="2844" spans="1:21">
      <c r="A2844" s="29"/>
      <c r="B2844" s="29"/>
      <c r="C2844" s="29"/>
      <c r="D2844" s="29"/>
      <c r="E2844" s="29"/>
      <c r="F2844" s="29"/>
      <c r="G2844" s="29"/>
      <c r="H2844" s="29"/>
      <c r="J2844" s="29"/>
      <c r="K2844" s="29"/>
      <c r="L2844" s="19"/>
      <c r="M2844" s="19"/>
      <c r="N2844" s="30"/>
      <c r="O2844" s="30"/>
      <c r="P2844" s="32"/>
      <c r="Q2844" s="32"/>
      <c r="R2844" s="32"/>
      <c r="S2844" s="32"/>
      <c r="T2844" s="32"/>
      <c r="U2844" s="30"/>
    </row>
    <row r="2845" spans="1:21">
      <c r="A2845" s="29"/>
      <c r="B2845" s="29"/>
      <c r="C2845" s="29"/>
      <c r="D2845" s="29"/>
      <c r="E2845" s="29"/>
      <c r="F2845" s="29"/>
      <c r="G2845" s="29"/>
      <c r="H2845" s="29"/>
      <c r="J2845" s="29"/>
      <c r="K2845" s="29"/>
      <c r="L2845" s="19"/>
      <c r="M2845" s="19"/>
      <c r="N2845" s="30"/>
      <c r="O2845" s="30"/>
      <c r="P2845" s="32"/>
      <c r="Q2845" s="32"/>
      <c r="R2845" s="32"/>
      <c r="S2845" s="32"/>
      <c r="T2845" s="32"/>
      <c r="U2845" s="30"/>
    </row>
    <row r="2846" spans="1:21">
      <c r="A2846" s="29"/>
      <c r="B2846" s="29"/>
      <c r="C2846" s="29"/>
      <c r="D2846" s="29"/>
      <c r="E2846" s="29"/>
      <c r="F2846" s="29"/>
      <c r="G2846" s="29"/>
      <c r="H2846" s="29"/>
      <c r="J2846" s="29"/>
      <c r="K2846" s="29"/>
      <c r="L2846" s="19"/>
      <c r="M2846" s="19"/>
      <c r="N2846" s="30"/>
      <c r="O2846" s="30"/>
      <c r="P2846" s="32"/>
      <c r="Q2846" s="32"/>
      <c r="R2846" s="32"/>
      <c r="S2846" s="32"/>
      <c r="T2846" s="32"/>
      <c r="U2846" s="30"/>
    </row>
    <row r="2847" spans="1:21">
      <c r="A2847" s="29"/>
      <c r="B2847" s="29"/>
      <c r="C2847" s="29"/>
      <c r="D2847" s="29"/>
      <c r="E2847" s="29"/>
      <c r="F2847" s="29"/>
      <c r="G2847" s="29"/>
      <c r="H2847" s="29"/>
      <c r="J2847" s="29"/>
      <c r="K2847" s="29"/>
      <c r="L2847" s="19"/>
      <c r="M2847" s="19"/>
      <c r="N2847" s="30"/>
      <c r="O2847" s="30"/>
      <c r="P2847" s="32"/>
      <c r="Q2847" s="32"/>
      <c r="R2847" s="32"/>
      <c r="S2847" s="32"/>
      <c r="T2847" s="32"/>
      <c r="U2847" s="30"/>
    </row>
    <row r="2848" spans="1:21">
      <c r="A2848" s="29"/>
      <c r="B2848" s="29"/>
      <c r="C2848" s="29"/>
      <c r="D2848" s="29"/>
      <c r="E2848" s="29"/>
      <c r="F2848" s="29"/>
      <c r="G2848" s="29"/>
      <c r="H2848" s="29"/>
      <c r="J2848" s="29"/>
      <c r="K2848" s="29"/>
      <c r="L2848" s="19"/>
      <c r="M2848" s="19"/>
      <c r="N2848" s="30"/>
      <c r="O2848" s="30"/>
      <c r="P2848" s="32"/>
      <c r="Q2848" s="32"/>
      <c r="R2848" s="32"/>
      <c r="S2848" s="32"/>
      <c r="T2848" s="32"/>
      <c r="U2848" s="30"/>
    </row>
    <row r="2849" spans="1:21">
      <c r="A2849" s="29"/>
      <c r="B2849" s="29"/>
      <c r="C2849" s="29"/>
      <c r="D2849" s="29"/>
      <c r="E2849" s="29"/>
      <c r="F2849" s="29"/>
      <c r="G2849" s="29"/>
      <c r="H2849" s="29"/>
      <c r="J2849" s="29"/>
      <c r="K2849" s="29"/>
      <c r="L2849" s="19"/>
      <c r="M2849" s="19"/>
      <c r="N2849" s="30"/>
      <c r="O2849" s="30"/>
      <c r="P2849" s="32"/>
      <c r="Q2849" s="32"/>
      <c r="R2849" s="32"/>
      <c r="S2849" s="32"/>
      <c r="T2849" s="32"/>
      <c r="U2849" s="30"/>
    </row>
    <row r="2850" spans="1:21">
      <c r="A2850" s="29"/>
      <c r="B2850" s="29"/>
      <c r="C2850" s="29"/>
      <c r="D2850" s="29"/>
      <c r="E2850" s="29"/>
      <c r="F2850" s="29"/>
      <c r="G2850" s="29"/>
      <c r="H2850" s="29"/>
      <c r="J2850" s="29"/>
      <c r="K2850" s="29"/>
      <c r="L2850" s="19"/>
      <c r="M2850" s="19"/>
      <c r="N2850" s="30"/>
      <c r="O2850" s="30"/>
      <c r="P2850" s="32"/>
      <c r="Q2850" s="32"/>
      <c r="R2850" s="32"/>
      <c r="S2850" s="32"/>
      <c r="T2850" s="32"/>
      <c r="U2850" s="30"/>
    </row>
    <row r="2851" spans="1:21">
      <c r="A2851" s="29"/>
      <c r="B2851" s="29"/>
      <c r="C2851" s="29"/>
      <c r="D2851" s="29"/>
      <c r="E2851" s="29"/>
      <c r="F2851" s="29"/>
      <c r="G2851" s="29"/>
      <c r="H2851" s="29"/>
      <c r="J2851" s="29"/>
      <c r="K2851" s="29"/>
      <c r="L2851" s="19"/>
      <c r="M2851" s="19"/>
      <c r="N2851" s="30"/>
      <c r="O2851" s="30"/>
      <c r="P2851" s="32"/>
      <c r="Q2851" s="32"/>
      <c r="R2851" s="32"/>
      <c r="S2851" s="32"/>
      <c r="T2851" s="32"/>
      <c r="U2851" s="30"/>
    </row>
    <row r="2852" spans="1:21">
      <c r="A2852" s="29"/>
      <c r="B2852" s="29"/>
      <c r="C2852" s="29"/>
      <c r="D2852" s="29"/>
      <c r="E2852" s="29"/>
      <c r="F2852" s="29"/>
      <c r="G2852" s="29"/>
      <c r="H2852" s="29"/>
      <c r="J2852" s="29"/>
      <c r="K2852" s="29"/>
      <c r="L2852" s="19"/>
      <c r="M2852" s="19"/>
      <c r="N2852" s="30"/>
      <c r="O2852" s="30"/>
      <c r="P2852" s="32"/>
      <c r="Q2852" s="32"/>
      <c r="R2852" s="32"/>
      <c r="S2852" s="32"/>
      <c r="T2852" s="32"/>
      <c r="U2852" s="30"/>
    </row>
    <row r="2853" spans="1:21">
      <c r="A2853" s="29"/>
      <c r="B2853" s="29"/>
      <c r="C2853" s="29"/>
      <c r="D2853" s="29"/>
      <c r="E2853" s="29"/>
      <c r="F2853" s="29"/>
      <c r="G2853" s="29"/>
      <c r="H2853" s="29"/>
      <c r="J2853" s="29"/>
      <c r="K2853" s="29"/>
      <c r="L2853" s="19"/>
      <c r="M2853" s="19"/>
      <c r="N2853" s="30"/>
      <c r="O2853" s="30"/>
      <c r="P2853" s="32"/>
      <c r="Q2853" s="32"/>
      <c r="R2853" s="32"/>
      <c r="S2853" s="32"/>
      <c r="T2853" s="32"/>
      <c r="U2853" s="30"/>
    </row>
    <row r="2854" spans="1:21">
      <c r="A2854" s="29"/>
      <c r="B2854" s="29"/>
      <c r="C2854" s="29"/>
      <c r="D2854" s="29"/>
      <c r="E2854" s="29"/>
      <c r="F2854" s="29"/>
      <c r="G2854" s="29"/>
      <c r="H2854" s="29"/>
      <c r="J2854" s="29"/>
      <c r="K2854" s="29"/>
      <c r="L2854" s="19"/>
      <c r="M2854" s="19"/>
      <c r="N2854" s="30"/>
      <c r="O2854" s="30"/>
      <c r="P2854" s="32"/>
      <c r="Q2854" s="32"/>
      <c r="R2854" s="32"/>
      <c r="S2854" s="32"/>
      <c r="T2854" s="32"/>
      <c r="U2854" s="30"/>
    </row>
    <row r="2855" spans="1:21">
      <c r="A2855" s="29"/>
      <c r="B2855" s="29"/>
      <c r="C2855" s="29"/>
      <c r="D2855" s="29"/>
      <c r="E2855" s="29"/>
      <c r="F2855" s="29"/>
      <c r="G2855" s="29"/>
      <c r="H2855" s="29"/>
      <c r="J2855" s="29"/>
      <c r="K2855" s="29"/>
      <c r="L2855" s="19"/>
      <c r="M2855" s="19"/>
      <c r="N2855" s="30"/>
      <c r="O2855" s="30"/>
      <c r="P2855" s="32"/>
      <c r="Q2855" s="32"/>
      <c r="R2855" s="32"/>
      <c r="S2855" s="32"/>
      <c r="T2855" s="32"/>
      <c r="U2855" s="30"/>
    </row>
    <row r="2856" spans="1:21">
      <c r="A2856" s="29"/>
      <c r="B2856" s="29"/>
      <c r="C2856" s="29"/>
      <c r="D2856" s="29"/>
      <c r="E2856" s="29"/>
      <c r="F2856" s="29"/>
      <c r="G2856" s="29"/>
      <c r="H2856" s="29"/>
      <c r="J2856" s="29"/>
      <c r="K2856" s="29"/>
      <c r="L2856" s="19"/>
      <c r="M2856" s="19"/>
      <c r="N2856" s="30"/>
      <c r="O2856" s="30"/>
      <c r="P2856" s="32"/>
      <c r="Q2856" s="32"/>
      <c r="R2856" s="32"/>
      <c r="S2856" s="32"/>
      <c r="T2856" s="32"/>
      <c r="U2856" s="30"/>
    </row>
    <row r="2857" spans="1:21">
      <c r="A2857" s="29"/>
      <c r="B2857" s="29"/>
      <c r="C2857" s="29"/>
      <c r="D2857" s="29"/>
      <c r="E2857" s="29"/>
      <c r="F2857" s="29"/>
      <c r="G2857" s="29"/>
      <c r="H2857" s="29"/>
      <c r="J2857" s="29"/>
      <c r="K2857" s="29"/>
      <c r="L2857" s="19"/>
      <c r="M2857" s="19"/>
      <c r="N2857" s="30"/>
      <c r="O2857" s="30"/>
      <c r="P2857" s="32"/>
      <c r="Q2857" s="32"/>
      <c r="R2857" s="32"/>
      <c r="S2857" s="32"/>
      <c r="T2857" s="32"/>
      <c r="U2857" s="30"/>
    </row>
    <row r="2858" spans="1:21">
      <c r="A2858" s="29"/>
      <c r="B2858" s="29"/>
      <c r="C2858" s="29"/>
      <c r="D2858" s="29"/>
      <c r="E2858" s="29"/>
      <c r="F2858" s="29"/>
      <c r="G2858" s="29"/>
      <c r="H2858" s="29"/>
      <c r="J2858" s="29"/>
      <c r="K2858" s="29"/>
      <c r="L2858" s="19"/>
      <c r="M2858" s="19"/>
      <c r="N2858" s="30"/>
      <c r="O2858" s="30"/>
      <c r="P2858" s="32"/>
      <c r="Q2858" s="32"/>
      <c r="R2858" s="32"/>
      <c r="S2858" s="32"/>
      <c r="T2858" s="32"/>
      <c r="U2858" s="30"/>
    </row>
    <row r="2859" spans="1:21">
      <c r="A2859" s="29"/>
      <c r="B2859" s="29"/>
      <c r="C2859" s="29"/>
      <c r="D2859" s="29"/>
      <c r="E2859" s="29"/>
      <c r="F2859" s="29"/>
      <c r="G2859" s="29"/>
      <c r="H2859" s="29"/>
      <c r="J2859" s="29"/>
      <c r="K2859" s="29"/>
      <c r="L2859" s="19"/>
      <c r="M2859" s="19"/>
      <c r="N2859" s="30"/>
      <c r="O2859" s="30"/>
      <c r="P2859" s="32"/>
      <c r="Q2859" s="32"/>
      <c r="R2859" s="32"/>
      <c r="S2859" s="32"/>
      <c r="T2859" s="32"/>
      <c r="U2859" s="30"/>
    </row>
    <row r="2860" spans="1:21">
      <c r="A2860" s="29"/>
      <c r="B2860" s="29"/>
      <c r="C2860" s="29"/>
      <c r="D2860" s="29"/>
      <c r="E2860" s="29"/>
      <c r="F2860" s="29"/>
      <c r="G2860" s="29"/>
      <c r="H2860" s="29"/>
      <c r="J2860" s="29"/>
      <c r="K2860" s="29"/>
      <c r="L2860" s="19"/>
      <c r="M2860" s="19"/>
      <c r="N2860" s="30"/>
      <c r="O2860" s="30"/>
      <c r="P2860" s="32"/>
      <c r="Q2860" s="32"/>
      <c r="R2860" s="32"/>
      <c r="S2860" s="32"/>
      <c r="T2860" s="32"/>
      <c r="U2860" s="30"/>
    </row>
    <row r="2861" spans="1:21">
      <c r="A2861" s="29"/>
      <c r="B2861" s="29"/>
      <c r="C2861" s="29"/>
      <c r="D2861" s="29"/>
      <c r="E2861" s="29"/>
      <c r="F2861" s="29"/>
      <c r="G2861" s="29"/>
      <c r="H2861" s="29"/>
      <c r="J2861" s="29"/>
      <c r="K2861" s="29"/>
      <c r="L2861" s="19"/>
      <c r="M2861" s="19"/>
      <c r="N2861" s="30"/>
      <c r="O2861" s="30"/>
      <c r="P2861" s="32"/>
      <c r="Q2861" s="32"/>
      <c r="R2861" s="32"/>
      <c r="S2861" s="32"/>
      <c r="T2861" s="32"/>
      <c r="U2861" s="30"/>
    </row>
    <row r="2862" spans="1:21">
      <c r="A2862" s="29"/>
      <c r="B2862" s="29"/>
      <c r="C2862" s="29"/>
      <c r="D2862" s="29"/>
      <c r="E2862" s="29"/>
      <c r="F2862" s="29"/>
      <c r="G2862" s="29"/>
      <c r="H2862" s="29"/>
      <c r="J2862" s="29"/>
      <c r="K2862" s="29"/>
      <c r="L2862" s="19"/>
      <c r="M2862" s="19"/>
      <c r="N2862" s="30"/>
      <c r="O2862" s="30"/>
      <c r="P2862" s="32"/>
      <c r="Q2862" s="32"/>
      <c r="R2862" s="32"/>
      <c r="S2862" s="32"/>
      <c r="T2862" s="32"/>
      <c r="U2862" s="30"/>
    </row>
    <row r="2863" spans="1:21">
      <c r="A2863" s="29"/>
      <c r="B2863" s="29"/>
      <c r="C2863" s="29"/>
      <c r="D2863" s="29"/>
      <c r="E2863" s="29"/>
      <c r="F2863" s="29"/>
      <c r="G2863" s="29"/>
      <c r="H2863" s="29"/>
      <c r="J2863" s="29"/>
      <c r="K2863" s="29"/>
      <c r="L2863" s="19"/>
      <c r="M2863" s="19"/>
      <c r="N2863" s="30"/>
      <c r="O2863" s="30"/>
      <c r="P2863" s="32"/>
      <c r="Q2863" s="32"/>
      <c r="R2863" s="32"/>
      <c r="S2863" s="32"/>
      <c r="T2863" s="32"/>
      <c r="U2863" s="30"/>
    </row>
    <row r="2864" spans="1:21">
      <c r="A2864" s="29"/>
      <c r="B2864" s="29"/>
      <c r="C2864" s="29"/>
      <c r="D2864" s="29"/>
      <c r="E2864" s="29"/>
      <c r="F2864" s="29"/>
      <c r="G2864" s="29"/>
      <c r="H2864" s="29"/>
      <c r="J2864" s="29"/>
      <c r="K2864" s="29"/>
      <c r="L2864" s="19"/>
      <c r="M2864" s="19"/>
      <c r="N2864" s="30"/>
      <c r="O2864" s="30"/>
      <c r="P2864" s="32"/>
      <c r="Q2864" s="32"/>
      <c r="R2864" s="32"/>
      <c r="S2864" s="32"/>
      <c r="T2864" s="32"/>
      <c r="U2864" s="30"/>
    </row>
    <row r="2865" spans="1:21">
      <c r="A2865" s="29"/>
      <c r="B2865" s="29"/>
      <c r="C2865" s="29"/>
      <c r="D2865" s="29"/>
      <c r="E2865" s="29"/>
      <c r="F2865" s="29"/>
      <c r="G2865" s="29"/>
      <c r="H2865" s="29"/>
      <c r="J2865" s="29"/>
      <c r="K2865" s="29"/>
      <c r="L2865" s="19"/>
      <c r="M2865" s="19"/>
      <c r="N2865" s="30"/>
      <c r="O2865" s="30"/>
      <c r="P2865" s="32"/>
      <c r="Q2865" s="32"/>
      <c r="R2865" s="32"/>
      <c r="S2865" s="32"/>
      <c r="T2865" s="32"/>
      <c r="U2865" s="30"/>
    </row>
    <row r="2866" spans="1:21">
      <c r="A2866" s="29"/>
      <c r="B2866" s="29"/>
      <c r="C2866" s="29"/>
      <c r="D2866" s="29"/>
      <c r="E2866" s="29"/>
      <c r="F2866" s="29"/>
      <c r="G2866" s="29"/>
      <c r="H2866" s="29"/>
      <c r="J2866" s="29"/>
      <c r="K2866" s="29"/>
      <c r="L2866" s="19"/>
      <c r="M2866" s="19"/>
      <c r="N2866" s="30"/>
      <c r="O2866" s="30"/>
      <c r="P2866" s="32"/>
      <c r="Q2866" s="32"/>
      <c r="R2866" s="32"/>
      <c r="S2866" s="32"/>
      <c r="T2866" s="32"/>
      <c r="U2866" s="30"/>
    </row>
    <row r="2867" spans="1:21">
      <c r="A2867" s="29"/>
      <c r="B2867" s="29"/>
      <c r="C2867" s="29"/>
      <c r="D2867" s="29"/>
      <c r="E2867" s="29"/>
      <c r="F2867" s="29"/>
      <c r="G2867" s="29"/>
      <c r="H2867" s="29"/>
      <c r="J2867" s="29"/>
      <c r="K2867" s="29"/>
      <c r="L2867" s="19"/>
      <c r="M2867" s="19"/>
      <c r="N2867" s="30"/>
      <c r="O2867" s="30"/>
      <c r="P2867" s="32"/>
      <c r="Q2867" s="32"/>
      <c r="R2867" s="32"/>
      <c r="S2867" s="32"/>
      <c r="T2867" s="32"/>
      <c r="U2867" s="30"/>
    </row>
    <row r="2868" spans="1:21">
      <c r="A2868" s="29"/>
      <c r="B2868" s="29"/>
      <c r="C2868" s="29"/>
      <c r="D2868" s="29"/>
      <c r="E2868" s="29"/>
      <c r="F2868" s="29"/>
      <c r="G2868" s="29"/>
      <c r="H2868" s="29"/>
      <c r="J2868" s="29"/>
      <c r="K2868" s="29"/>
      <c r="L2868" s="19"/>
      <c r="M2868" s="19"/>
      <c r="N2868" s="30"/>
      <c r="O2868" s="30"/>
      <c r="P2868" s="32"/>
      <c r="Q2868" s="32"/>
      <c r="R2868" s="32"/>
      <c r="S2868" s="32"/>
      <c r="T2868" s="32"/>
      <c r="U2868" s="30"/>
    </row>
    <row r="2869" spans="1:21">
      <c r="A2869" s="29"/>
      <c r="B2869" s="29"/>
      <c r="C2869" s="29"/>
      <c r="D2869" s="29"/>
      <c r="E2869" s="29"/>
      <c r="F2869" s="29"/>
      <c r="G2869" s="29"/>
      <c r="H2869" s="29"/>
      <c r="J2869" s="29"/>
      <c r="K2869" s="29"/>
      <c r="L2869" s="19"/>
      <c r="M2869" s="19"/>
      <c r="N2869" s="30"/>
      <c r="O2869" s="30"/>
      <c r="P2869" s="32"/>
      <c r="Q2869" s="32"/>
      <c r="R2869" s="32"/>
      <c r="S2869" s="32"/>
      <c r="T2869" s="32"/>
      <c r="U2869" s="30"/>
    </row>
    <row r="2870" spans="1:21">
      <c r="A2870" s="29"/>
      <c r="B2870" s="29"/>
      <c r="C2870" s="29"/>
      <c r="D2870" s="29"/>
      <c r="E2870" s="29"/>
      <c r="F2870" s="29"/>
      <c r="G2870" s="29"/>
      <c r="H2870" s="29"/>
      <c r="J2870" s="29"/>
      <c r="K2870" s="29"/>
      <c r="L2870" s="19"/>
      <c r="M2870" s="19"/>
      <c r="N2870" s="30"/>
      <c r="O2870" s="30"/>
      <c r="P2870" s="32"/>
      <c r="Q2870" s="32"/>
      <c r="R2870" s="32"/>
      <c r="S2870" s="32"/>
      <c r="T2870" s="32"/>
      <c r="U2870" s="30"/>
    </row>
    <row r="2871" spans="1:21">
      <c r="A2871" s="29"/>
      <c r="B2871" s="29"/>
      <c r="C2871" s="29"/>
      <c r="D2871" s="29"/>
      <c r="E2871" s="29"/>
      <c r="F2871" s="29"/>
      <c r="G2871" s="29"/>
      <c r="H2871" s="29"/>
      <c r="J2871" s="29"/>
      <c r="K2871" s="29"/>
      <c r="L2871" s="19"/>
      <c r="M2871" s="19"/>
      <c r="N2871" s="30"/>
      <c r="O2871" s="30"/>
      <c r="P2871" s="32"/>
      <c r="Q2871" s="32"/>
      <c r="R2871" s="32"/>
      <c r="S2871" s="32"/>
      <c r="T2871" s="32"/>
      <c r="U2871" s="30"/>
    </row>
    <row r="2872" spans="1:21">
      <c r="A2872" s="29"/>
      <c r="B2872" s="29"/>
      <c r="C2872" s="29"/>
      <c r="D2872" s="29"/>
      <c r="E2872" s="29"/>
      <c r="F2872" s="29"/>
      <c r="G2872" s="29"/>
      <c r="H2872" s="29"/>
      <c r="J2872" s="29"/>
      <c r="K2872" s="29"/>
      <c r="L2872" s="19"/>
      <c r="M2872" s="19"/>
      <c r="N2872" s="30"/>
      <c r="O2872" s="30"/>
      <c r="P2872" s="32"/>
      <c r="Q2872" s="32"/>
      <c r="R2872" s="32"/>
      <c r="S2872" s="32"/>
      <c r="T2872" s="32"/>
      <c r="U2872" s="30"/>
    </row>
    <row r="2873" spans="1:21">
      <c r="A2873" s="29"/>
      <c r="B2873" s="29"/>
      <c r="C2873" s="29"/>
      <c r="D2873" s="29"/>
      <c r="E2873" s="29"/>
      <c r="F2873" s="29"/>
      <c r="G2873" s="29"/>
      <c r="H2873" s="29"/>
      <c r="J2873" s="29"/>
      <c r="K2873" s="29"/>
      <c r="L2873" s="19"/>
      <c r="M2873" s="19"/>
      <c r="N2873" s="30"/>
      <c r="O2873" s="30"/>
      <c r="P2873" s="32"/>
      <c r="Q2873" s="32"/>
      <c r="R2873" s="32"/>
      <c r="S2873" s="32"/>
      <c r="T2873" s="32"/>
      <c r="U2873" s="30"/>
    </row>
    <row r="2874" spans="1:21">
      <c r="A2874" s="29"/>
      <c r="B2874" s="29"/>
      <c r="C2874" s="29"/>
      <c r="D2874" s="29"/>
      <c r="E2874" s="29"/>
      <c r="F2874" s="29"/>
      <c r="G2874" s="29"/>
      <c r="H2874" s="29"/>
      <c r="J2874" s="29"/>
      <c r="K2874" s="29"/>
      <c r="L2874" s="19"/>
      <c r="M2874" s="19"/>
      <c r="N2874" s="30"/>
      <c r="O2874" s="30"/>
      <c r="P2874" s="32"/>
      <c r="Q2874" s="32"/>
      <c r="R2874" s="32"/>
      <c r="S2874" s="32"/>
      <c r="T2874" s="32"/>
      <c r="U2874" s="30"/>
    </row>
    <row r="2875" spans="1:21">
      <c r="A2875" s="29"/>
      <c r="B2875" s="29"/>
      <c r="C2875" s="29"/>
      <c r="D2875" s="29"/>
      <c r="E2875" s="29"/>
      <c r="F2875" s="29"/>
      <c r="G2875" s="29"/>
      <c r="H2875" s="29"/>
      <c r="J2875" s="29"/>
      <c r="K2875" s="29"/>
      <c r="L2875" s="19"/>
      <c r="M2875" s="19"/>
      <c r="N2875" s="30"/>
      <c r="O2875" s="30"/>
      <c r="P2875" s="32"/>
      <c r="Q2875" s="32"/>
      <c r="R2875" s="32"/>
      <c r="S2875" s="32"/>
      <c r="T2875" s="32"/>
      <c r="U2875" s="30"/>
    </row>
    <row r="2876" spans="1:21">
      <c r="A2876" s="29"/>
      <c r="B2876" s="29"/>
      <c r="C2876" s="29"/>
      <c r="D2876" s="29"/>
      <c r="E2876" s="29"/>
      <c r="F2876" s="29"/>
      <c r="G2876" s="29"/>
      <c r="H2876" s="29"/>
      <c r="J2876" s="29"/>
      <c r="K2876" s="29"/>
      <c r="L2876" s="19"/>
      <c r="M2876" s="19"/>
      <c r="N2876" s="30"/>
      <c r="O2876" s="30"/>
      <c r="P2876" s="32"/>
      <c r="Q2876" s="32"/>
      <c r="R2876" s="32"/>
      <c r="S2876" s="32"/>
      <c r="T2876" s="32"/>
      <c r="U2876" s="30"/>
    </row>
    <row r="2877" spans="1:21">
      <c r="A2877" s="29"/>
      <c r="B2877" s="29"/>
      <c r="C2877" s="29"/>
      <c r="D2877" s="29"/>
      <c r="E2877" s="29"/>
      <c r="F2877" s="29"/>
      <c r="G2877" s="29"/>
      <c r="H2877" s="29"/>
      <c r="J2877" s="29"/>
      <c r="K2877" s="29"/>
      <c r="L2877" s="19"/>
      <c r="M2877" s="19"/>
      <c r="N2877" s="30"/>
      <c r="O2877" s="30"/>
      <c r="P2877" s="32"/>
      <c r="Q2877" s="32"/>
      <c r="R2877" s="32"/>
      <c r="S2877" s="32"/>
      <c r="T2877" s="32"/>
      <c r="U2877" s="30"/>
    </row>
    <row r="2878" spans="1:21">
      <c r="A2878" s="29"/>
      <c r="B2878" s="29"/>
      <c r="C2878" s="29"/>
      <c r="D2878" s="29"/>
      <c r="E2878" s="29"/>
      <c r="F2878" s="29"/>
      <c r="G2878" s="29"/>
      <c r="H2878" s="29"/>
      <c r="J2878" s="29"/>
      <c r="K2878" s="29"/>
      <c r="L2878" s="19"/>
      <c r="M2878" s="19"/>
      <c r="N2878" s="30"/>
      <c r="O2878" s="30"/>
      <c r="P2878" s="32"/>
      <c r="Q2878" s="32"/>
      <c r="R2878" s="32"/>
      <c r="S2878" s="32"/>
      <c r="T2878" s="32"/>
      <c r="U2878" s="30"/>
    </row>
    <row r="2879" spans="1:21">
      <c r="A2879" s="29"/>
      <c r="B2879" s="29"/>
      <c r="C2879" s="29"/>
      <c r="D2879" s="29"/>
      <c r="E2879" s="29"/>
      <c r="F2879" s="29"/>
      <c r="G2879" s="29"/>
      <c r="H2879" s="29"/>
      <c r="J2879" s="29"/>
      <c r="K2879" s="29"/>
      <c r="L2879" s="19"/>
      <c r="M2879" s="19"/>
      <c r="N2879" s="30"/>
      <c r="O2879" s="30"/>
      <c r="P2879" s="32"/>
      <c r="Q2879" s="32"/>
      <c r="R2879" s="32"/>
      <c r="S2879" s="32"/>
      <c r="T2879" s="32"/>
      <c r="U2879" s="30"/>
    </row>
    <row r="2880" spans="1:21">
      <c r="A2880" s="29"/>
      <c r="B2880" s="29"/>
      <c r="C2880" s="29"/>
      <c r="D2880" s="29"/>
      <c r="E2880" s="29"/>
      <c r="F2880" s="29"/>
      <c r="G2880" s="29"/>
      <c r="H2880" s="29"/>
      <c r="J2880" s="29"/>
      <c r="K2880" s="29"/>
      <c r="L2880" s="19"/>
      <c r="M2880" s="19"/>
      <c r="N2880" s="30"/>
      <c r="O2880" s="30"/>
      <c r="P2880" s="32"/>
      <c r="Q2880" s="32"/>
      <c r="R2880" s="32"/>
      <c r="S2880" s="32"/>
      <c r="T2880" s="32"/>
      <c r="U2880" s="30"/>
    </row>
    <row r="2881" spans="1:21">
      <c r="A2881" s="29"/>
      <c r="B2881" s="29"/>
      <c r="C2881" s="29"/>
      <c r="D2881" s="29"/>
      <c r="E2881" s="29"/>
      <c r="F2881" s="29"/>
      <c r="G2881" s="29"/>
      <c r="H2881" s="29"/>
      <c r="J2881" s="29"/>
      <c r="K2881" s="29"/>
      <c r="L2881" s="19"/>
      <c r="M2881" s="19"/>
      <c r="N2881" s="30"/>
      <c r="O2881" s="30"/>
      <c r="P2881" s="32"/>
      <c r="Q2881" s="32"/>
      <c r="R2881" s="32"/>
      <c r="S2881" s="32"/>
      <c r="T2881" s="32"/>
      <c r="U2881" s="30"/>
    </row>
    <row r="2882" spans="1:21">
      <c r="A2882" s="29"/>
      <c r="B2882" s="29"/>
      <c r="C2882" s="29"/>
      <c r="D2882" s="29"/>
      <c r="E2882" s="29"/>
      <c r="F2882" s="29"/>
      <c r="G2882" s="29"/>
      <c r="H2882" s="29"/>
      <c r="J2882" s="29"/>
      <c r="K2882" s="29"/>
      <c r="L2882" s="19"/>
      <c r="M2882" s="19"/>
      <c r="N2882" s="30"/>
      <c r="O2882" s="30"/>
      <c r="P2882" s="32"/>
      <c r="Q2882" s="32"/>
      <c r="R2882" s="32"/>
      <c r="S2882" s="32"/>
      <c r="T2882" s="32"/>
      <c r="U2882" s="30"/>
    </row>
    <row r="2883" spans="1:21">
      <c r="A2883" s="29"/>
      <c r="B2883" s="29"/>
      <c r="C2883" s="29"/>
      <c r="D2883" s="29"/>
      <c r="E2883" s="29"/>
      <c r="F2883" s="29"/>
      <c r="G2883" s="29"/>
      <c r="H2883" s="29"/>
      <c r="J2883" s="29"/>
      <c r="K2883" s="29"/>
      <c r="L2883" s="19"/>
      <c r="M2883" s="19"/>
      <c r="N2883" s="30"/>
      <c r="O2883" s="30"/>
      <c r="P2883" s="32"/>
      <c r="Q2883" s="32"/>
      <c r="R2883" s="32"/>
      <c r="S2883" s="32"/>
      <c r="T2883" s="32"/>
      <c r="U2883" s="30"/>
    </row>
    <row r="2884" spans="1:21">
      <c r="A2884" s="29"/>
      <c r="B2884" s="29"/>
      <c r="C2884" s="29"/>
      <c r="D2884" s="29"/>
      <c r="E2884" s="29"/>
      <c r="F2884" s="29"/>
      <c r="G2884" s="29"/>
      <c r="H2884" s="29"/>
      <c r="J2884" s="29"/>
      <c r="K2884" s="29"/>
      <c r="L2884" s="19"/>
      <c r="M2884" s="19"/>
      <c r="N2884" s="30"/>
      <c r="O2884" s="30"/>
      <c r="P2884" s="32"/>
      <c r="Q2884" s="32"/>
      <c r="R2884" s="32"/>
      <c r="S2884" s="32"/>
      <c r="T2884" s="32"/>
      <c r="U2884" s="30"/>
    </row>
    <row r="2885" spans="1:21">
      <c r="A2885" s="29"/>
      <c r="B2885" s="29"/>
      <c r="C2885" s="29"/>
      <c r="D2885" s="29"/>
      <c r="E2885" s="29"/>
      <c r="F2885" s="29"/>
      <c r="G2885" s="29"/>
      <c r="H2885" s="29"/>
      <c r="J2885" s="29"/>
      <c r="K2885" s="29"/>
      <c r="L2885" s="19"/>
      <c r="M2885" s="19"/>
      <c r="N2885" s="30"/>
      <c r="O2885" s="30"/>
      <c r="P2885" s="32"/>
      <c r="Q2885" s="32"/>
      <c r="R2885" s="32"/>
      <c r="S2885" s="32"/>
      <c r="T2885" s="32"/>
      <c r="U2885" s="30"/>
    </row>
    <row r="2886" spans="1:21">
      <c r="A2886" s="29"/>
      <c r="B2886" s="29"/>
      <c r="C2886" s="29"/>
      <c r="D2886" s="29"/>
      <c r="E2886" s="29"/>
      <c r="F2886" s="29"/>
      <c r="G2886" s="29"/>
      <c r="H2886" s="29"/>
      <c r="J2886" s="29"/>
      <c r="K2886" s="29"/>
      <c r="L2886" s="19"/>
      <c r="M2886" s="19"/>
      <c r="N2886" s="30"/>
      <c r="O2886" s="30"/>
      <c r="P2886" s="32"/>
      <c r="Q2886" s="32"/>
      <c r="R2886" s="32"/>
      <c r="S2886" s="32"/>
      <c r="T2886" s="32"/>
      <c r="U2886" s="30"/>
    </row>
    <row r="2887" spans="1:21">
      <c r="A2887" s="29"/>
      <c r="B2887" s="29"/>
      <c r="C2887" s="29"/>
      <c r="D2887" s="29"/>
      <c r="E2887" s="29"/>
      <c r="F2887" s="29"/>
      <c r="G2887" s="29"/>
      <c r="H2887" s="29"/>
      <c r="J2887" s="29"/>
      <c r="K2887" s="29"/>
      <c r="L2887" s="19"/>
      <c r="M2887" s="19"/>
      <c r="N2887" s="30"/>
      <c r="O2887" s="30"/>
      <c r="P2887" s="32"/>
      <c r="Q2887" s="32"/>
      <c r="R2887" s="32"/>
      <c r="S2887" s="32"/>
      <c r="T2887" s="32"/>
      <c r="U2887" s="30"/>
    </row>
    <row r="2888" spans="1:21">
      <c r="A2888" s="29"/>
      <c r="B2888" s="29"/>
      <c r="C2888" s="29"/>
      <c r="D2888" s="29"/>
      <c r="E2888" s="29"/>
      <c r="F2888" s="29"/>
      <c r="G2888" s="29"/>
      <c r="H2888" s="29"/>
      <c r="J2888" s="29"/>
      <c r="K2888" s="29"/>
      <c r="L2888" s="19"/>
      <c r="M2888" s="19"/>
      <c r="N2888" s="30"/>
      <c r="O2888" s="30"/>
      <c r="P2888" s="32"/>
      <c r="Q2888" s="32"/>
      <c r="R2888" s="32"/>
      <c r="S2888" s="32"/>
      <c r="T2888" s="32"/>
      <c r="U2888" s="30"/>
    </row>
    <row r="2889" spans="1:21">
      <c r="A2889" s="29"/>
      <c r="B2889" s="29"/>
      <c r="C2889" s="29"/>
      <c r="D2889" s="29"/>
      <c r="E2889" s="29"/>
      <c r="F2889" s="29"/>
      <c r="G2889" s="29"/>
      <c r="H2889" s="29"/>
      <c r="J2889" s="29"/>
      <c r="K2889" s="29"/>
      <c r="L2889" s="19"/>
      <c r="M2889" s="19"/>
      <c r="N2889" s="30"/>
      <c r="O2889" s="30"/>
      <c r="P2889" s="32"/>
      <c r="Q2889" s="32"/>
      <c r="R2889" s="32"/>
      <c r="S2889" s="32"/>
      <c r="T2889" s="32"/>
      <c r="U2889" s="30"/>
    </row>
    <row r="2890" spans="1:21">
      <c r="A2890" s="29"/>
      <c r="B2890" s="29"/>
      <c r="C2890" s="29"/>
      <c r="D2890" s="29"/>
      <c r="E2890" s="29"/>
      <c r="F2890" s="29"/>
      <c r="G2890" s="29"/>
      <c r="H2890" s="29"/>
      <c r="J2890" s="29"/>
      <c r="K2890" s="29"/>
      <c r="L2890" s="19"/>
      <c r="M2890" s="19"/>
      <c r="N2890" s="30"/>
      <c r="O2890" s="30"/>
      <c r="P2890" s="32"/>
      <c r="Q2890" s="32"/>
      <c r="R2890" s="32"/>
      <c r="S2890" s="32"/>
      <c r="T2890" s="32"/>
      <c r="U2890" s="30"/>
    </row>
    <row r="2891" spans="1:21">
      <c r="A2891" s="29"/>
      <c r="B2891" s="29"/>
      <c r="C2891" s="29"/>
      <c r="D2891" s="29"/>
      <c r="E2891" s="29"/>
      <c r="F2891" s="29"/>
      <c r="G2891" s="29"/>
      <c r="H2891" s="29"/>
      <c r="J2891" s="29"/>
      <c r="K2891" s="29"/>
      <c r="L2891" s="19"/>
      <c r="M2891" s="19"/>
      <c r="N2891" s="30"/>
      <c r="O2891" s="30"/>
      <c r="P2891" s="32"/>
      <c r="Q2891" s="32"/>
      <c r="R2891" s="32"/>
      <c r="S2891" s="32"/>
      <c r="T2891" s="32"/>
      <c r="U2891" s="30"/>
    </row>
    <row r="2892" spans="1:21">
      <c r="A2892" s="29"/>
      <c r="B2892" s="29"/>
      <c r="C2892" s="29"/>
      <c r="D2892" s="29"/>
      <c r="E2892" s="29"/>
      <c r="F2892" s="29"/>
      <c r="G2892" s="29"/>
      <c r="H2892" s="29"/>
      <c r="J2892" s="29"/>
      <c r="K2892" s="29"/>
      <c r="L2892" s="19"/>
      <c r="M2892" s="19"/>
      <c r="N2892" s="30"/>
      <c r="O2892" s="30"/>
      <c r="P2892" s="32"/>
      <c r="Q2892" s="32"/>
      <c r="R2892" s="32"/>
      <c r="S2892" s="32"/>
      <c r="T2892" s="32"/>
      <c r="U2892" s="30"/>
    </row>
    <row r="2893" spans="1:21">
      <c r="A2893" s="29"/>
      <c r="B2893" s="29"/>
      <c r="C2893" s="29"/>
      <c r="D2893" s="29"/>
      <c r="E2893" s="29"/>
      <c r="F2893" s="29"/>
      <c r="G2893" s="29"/>
      <c r="H2893" s="29"/>
      <c r="J2893" s="29"/>
      <c r="K2893" s="29"/>
      <c r="L2893" s="19"/>
      <c r="M2893" s="19"/>
      <c r="N2893" s="30"/>
      <c r="O2893" s="30"/>
      <c r="P2893" s="32"/>
      <c r="Q2893" s="32"/>
      <c r="R2893" s="32"/>
      <c r="S2893" s="32"/>
      <c r="T2893" s="32"/>
      <c r="U2893" s="30"/>
    </row>
    <row r="2894" spans="1:21">
      <c r="A2894" s="29"/>
      <c r="B2894" s="29"/>
      <c r="C2894" s="29"/>
      <c r="D2894" s="29"/>
      <c r="E2894" s="29"/>
      <c r="F2894" s="29"/>
      <c r="G2894" s="29"/>
      <c r="H2894" s="29"/>
      <c r="J2894" s="29"/>
      <c r="K2894" s="29"/>
      <c r="L2894" s="19"/>
      <c r="M2894" s="19"/>
      <c r="N2894" s="30"/>
      <c r="O2894" s="30"/>
      <c r="P2894" s="32"/>
      <c r="Q2894" s="32"/>
      <c r="R2894" s="32"/>
      <c r="S2894" s="32"/>
      <c r="T2894" s="32"/>
      <c r="U2894" s="30"/>
    </row>
    <row r="2895" spans="1:21">
      <c r="A2895" s="29"/>
      <c r="B2895" s="29"/>
      <c r="C2895" s="29"/>
      <c r="D2895" s="29"/>
      <c r="E2895" s="29"/>
      <c r="F2895" s="29"/>
      <c r="G2895" s="29"/>
      <c r="H2895" s="29"/>
      <c r="J2895" s="29"/>
      <c r="K2895" s="29"/>
      <c r="L2895" s="19"/>
      <c r="M2895" s="19"/>
      <c r="N2895" s="30"/>
      <c r="O2895" s="30"/>
      <c r="P2895" s="32"/>
      <c r="Q2895" s="32"/>
      <c r="R2895" s="32"/>
      <c r="S2895" s="32"/>
      <c r="T2895" s="32"/>
      <c r="U2895" s="30"/>
    </row>
    <row r="2896" spans="1:21">
      <c r="A2896" s="29"/>
      <c r="B2896" s="29"/>
      <c r="C2896" s="29"/>
      <c r="D2896" s="29"/>
      <c r="E2896" s="29"/>
      <c r="F2896" s="29"/>
      <c r="G2896" s="29"/>
      <c r="H2896" s="29"/>
      <c r="J2896" s="29"/>
      <c r="K2896" s="29"/>
      <c r="L2896" s="19"/>
      <c r="M2896" s="19"/>
      <c r="N2896" s="30"/>
      <c r="O2896" s="30"/>
      <c r="P2896" s="32"/>
      <c r="Q2896" s="32"/>
      <c r="R2896" s="32"/>
      <c r="S2896" s="32"/>
      <c r="T2896" s="32"/>
      <c r="U2896" s="30"/>
    </row>
    <row r="2897" spans="1:21">
      <c r="A2897" s="29"/>
      <c r="B2897" s="29"/>
      <c r="C2897" s="29"/>
      <c r="D2897" s="29"/>
      <c r="E2897" s="29"/>
      <c r="F2897" s="29"/>
      <c r="G2897" s="29"/>
      <c r="H2897" s="29"/>
      <c r="J2897" s="29"/>
      <c r="K2897" s="29"/>
      <c r="L2897" s="19"/>
      <c r="M2897" s="19"/>
      <c r="N2897" s="30"/>
      <c r="O2897" s="30"/>
      <c r="P2897" s="32"/>
      <c r="Q2897" s="32"/>
      <c r="R2897" s="32"/>
      <c r="S2897" s="32"/>
      <c r="T2897" s="32"/>
      <c r="U2897" s="30"/>
    </row>
    <row r="2898" spans="1:21">
      <c r="A2898" s="29"/>
      <c r="B2898" s="29"/>
      <c r="C2898" s="29"/>
      <c r="D2898" s="29"/>
      <c r="E2898" s="29"/>
      <c r="F2898" s="29"/>
      <c r="G2898" s="29"/>
      <c r="H2898" s="29"/>
      <c r="J2898" s="29"/>
      <c r="K2898" s="29"/>
      <c r="L2898" s="19"/>
      <c r="M2898" s="19"/>
      <c r="N2898" s="30"/>
      <c r="O2898" s="30"/>
      <c r="P2898" s="32"/>
      <c r="Q2898" s="32"/>
      <c r="R2898" s="32"/>
      <c r="S2898" s="32"/>
      <c r="T2898" s="32"/>
      <c r="U2898" s="30"/>
    </row>
    <row r="2899" spans="1:21">
      <c r="A2899" s="29"/>
      <c r="B2899" s="29"/>
      <c r="C2899" s="29"/>
      <c r="D2899" s="29"/>
      <c r="E2899" s="29"/>
      <c r="F2899" s="29"/>
      <c r="G2899" s="29"/>
      <c r="H2899" s="29"/>
      <c r="J2899" s="29"/>
      <c r="K2899" s="29"/>
      <c r="L2899" s="19"/>
      <c r="M2899" s="19"/>
      <c r="N2899" s="30"/>
      <c r="O2899" s="30"/>
      <c r="P2899" s="32"/>
      <c r="Q2899" s="32"/>
      <c r="R2899" s="32"/>
      <c r="S2899" s="32"/>
      <c r="T2899" s="32"/>
      <c r="U2899" s="30"/>
    </row>
    <row r="2900" spans="1:21">
      <c r="A2900" s="29"/>
      <c r="B2900" s="29"/>
      <c r="C2900" s="29"/>
      <c r="D2900" s="29"/>
      <c r="E2900" s="29"/>
      <c r="F2900" s="29"/>
      <c r="G2900" s="29"/>
      <c r="H2900" s="29"/>
      <c r="J2900" s="29"/>
      <c r="K2900" s="29"/>
      <c r="L2900" s="19"/>
      <c r="M2900" s="19"/>
      <c r="N2900" s="30"/>
      <c r="O2900" s="30"/>
      <c r="P2900" s="32"/>
      <c r="Q2900" s="32"/>
      <c r="R2900" s="32"/>
      <c r="S2900" s="32"/>
      <c r="T2900" s="32"/>
      <c r="U2900" s="30"/>
    </row>
    <row r="2901" spans="1:21">
      <c r="A2901" s="29"/>
      <c r="B2901" s="29"/>
      <c r="C2901" s="29"/>
      <c r="D2901" s="29"/>
      <c r="E2901" s="29"/>
      <c r="F2901" s="29"/>
      <c r="G2901" s="29"/>
      <c r="H2901" s="29"/>
      <c r="J2901" s="29"/>
      <c r="K2901" s="29"/>
      <c r="L2901" s="19"/>
      <c r="M2901" s="19"/>
      <c r="N2901" s="30"/>
      <c r="O2901" s="30"/>
      <c r="P2901" s="32"/>
      <c r="Q2901" s="32"/>
      <c r="R2901" s="32"/>
      <c r="S2901" s="32"/>
      <c r="T2901" s="32"/>
      <c r="U2901" s="30"/>
    </row>
    <row r="2902" spans="1:21">
      <c r="A2902" s="29"/>
      <c r="B2902" s="29"/>
      <c r="C2902" s="29"/>
      <c r="D2902" s="29"/>
      <c r="E2902" s="29"/>
      <c r="F2902" s="29"/>
      <c r="G2902" s="29"/>
      <c r="H2902" s="29"/>
      <c r="J2902" s="29"/>
      <c r="K2902" s="29"/>
      <c r="L2902" s="19"/>
      <c r="M2902" s="19"/>
      <c r="N2902" s="30"/>
      <c r="O2902" s="30"/>
      <c r="P2902" s="32"/>
      <c r="Q2902" s="32"/>
      <c r="R2902" s="32"/>
      <c r="S2902" s="32"/>
      <c r="T2902" s="32"/>
      <c r="U2902" s="30"/>
    </row>
    <row r="2903" spans="1:21">
      <c r="A2903" s="29"/>
      <c r="B2903" s="29"/>
      <c r="C2903" s="29"/>
      <c r="D2903" s="29"/>
      <c r="E2903" s="29"/>
      <c r="F2903" s="29"/>
      <c r="G2903" s="29"/>
      <c r="H2903" s="29"/>
      <c r="J2903" s="29"/>
      <c r="K2903" s="29"/>
      <c r="L2903" s="19"/>
      <c r="M2903" s="19"/>
      <c r="N2903" s="30"/>
      <c r="O2903" s="30"/>
      <c r="P2903" s="32"/>
      <c r="Q2903" s="32"/>
      <c r="R2903" s="32"/>
      <c r="S2903" s="32"/>
      <c r="T2903" s="32"/>
      <c r="U2903" s="30"/>
    </row>
    <row r="2904" spans="1:21">
      <c r="A2904" s="29"/>
      <c r="B2904" s="29"/>
      <c r="C2904" s="29"/>
      <c r="D2904" s="29"/>
      <c r="E2904" s="29"/>
      <c r="F2904" s="29"/>
      <c r="G2904" s="29"/>
      <c r="H2904" s="29"/>
      <c r="J2904" s="29"/>
      <c r="K2904" s="29"/>
      <c r="L2904" s="19"/>
      <c r="M2904" s="19"/>
      <c r="N2904" s="30"/>
      <c r="O2904" s="30"/>
      <c r="P2904" s="32"/>
      <c r="Q2904" s="32"/>
      <c r="R2904" s="32"/>
      <c r="S2904" s="32"/>
      <c r="T2904" s="32"/>
      <c r="U2904" s="30"/>
    </row>
    <row r="2905" spans="1:21">
      <c r="A2905" s="29"/>
      <c r="B2905" s="29"/>
      <c r="C2905" s="29"/>
      <c r="D2905" s="29"/>
      <c r="E2905" s="29"/>
      <c r="F2905" s="29"/>
      <c r="G2905" s="29"/>
      <c r="H2905" s="29"/>
      <c r="J2905" s="29"/>
      <c r="K2905" s="29"/>
      <c r="L2905" s="19"/>
      <c r="M2905" s="19"/>
      <c r="N2905" s="30"/>
      <c r="O2905" s="30"/>
      <c r="P2905" s="32"/>
      <c r="Q2905" s="32"/>
      <c r="R2905" s="32"/>
      <c r="S2905" s="32"/>
      <c r="T2905" s="32"/>
      <c r="U2905" s="30"/>
    </row>
    <row r="2906" spans="1:21">
      <c r="A2906" s="29"/>
      <c r="B2906" s="29"/>
      <c r="C2906" s="29"/>
      <c r="D2906" s="29"/>
      <c r="E2906" s="29"/>
      <c r="F2906" s="29"/>
      <c r="G2906" s="29"/>
      <c r="H2906" s="29"/>
      <c r="J2906" s="29"/>
      <c r="K2906" s="29"/>
      <c r="L2906" s="19"/>
      <c r="M2906" s="19"/>
      <c r="N2906" s="30"/>
      <c r="O2906" s="30"/>
      <c r="P2906" s="32"/>
      <c r="Q2906" s="32"/>
      <c r="R2906" s="32"/>
      <c r="S2906" s="32"/>
      <c r="T2906" s="32"/>
      <c r="U2906" s="30"/>
    </row>
    <row r="2907" spans="1:21">
      <c r="A2907" s="29"/>
      <c r="B2907" s="29"/>
      <c r="C2907" s="29"/>
      <c r="D2907" s="29"/>
      <c r="E2907" s="29"/>
      <c r="F2907" s="29"/>
      <c r="G2907" s="29"/>
      <c r="H2907" s="29"/>
      <c r="J2907" s="29"/>
      <c r="K2907" s="29"/>
      <c r="L2907" s="19"/>
      <c r="M2907" s="19"/>
      <c r="N2907" s="30"/>
      <c r="O2907" s="30"/>
      <c r="P2907" s="32"/>
      <c r="Q2907" s="32"/>
      <c r="R2907" s="32"/>
      <c r="S2907" s="32"/>
      <c r="T2907" s="32"/>
      <c r="U2907" s="30"/>
    </row>
    <row r="2908" spans="1:21">
      <c r="A2908" s="29"/>
      <c r="B2908" s="29"/>
      <c r="C2908" s="29"/>
      <c r="D2908" s="29"/>
      <c r="E2908" s="29"/>
      <c r="F2908" s="29"/>
      <c r="G2908" s="29"/>
      <c r="H2908" s="29"/>
      <c r="J2908" s="29"/>
      <c r="K2908" s="29"/>
      <c r="L2908" s="19"/>
      <c r="M2908" s="19"/>
      <c r="N2908" s="30"/>
      <c r="O2908" s="30"/>
      <c r="P2908" s="32"/>
      <c r="Q2908" s="32"/>
      <c r="R2908" s="32"/>
      <c r="S2908" s="32"/>
      <c r="T2908" s="32"/>
      <c r="U2908" s="30"/>
    </row>
    <row r="2909" spans="1:21">
      <c r="A2909" s="29"/>
      <c r="B2909" s="29"/>
      <c r="C2909" s="29"/>
      <c r="D2909" s="29"/>
      <c r="E2909" s="29"/>
      <c r="F2909" s="29"/>
      <c r="G2909" s="29"/>
      <c r="H2909" s="29"/>
      <c r="J2909" s="29"/>
      <c r="K2909" s="29"/>
      <c r="L2909" s="19"/>
      <c r="M2909" s="19"/>
      <c r="N2909" s="30"/>
      <c r="O2909" s="30"/>
      <c r="P2909" s="32"/>
      <c r="Q2909" s="32"/>
      <c r="R2909" s="32"/>
      <c r="S2909" s="32"/>
      <c r="T2909" s="32"/>
      <c r="U2909" s="30"/>
    </row>
    <row r="2910" spans="1:21">
      <c r="A2910" s="29"/>
      <c r="B2910" s="29"/>
      <c r="C2910" s="29"/>
      <c r="D2910" s="29"/>
      <c r="E2910" s="29"/>
      <c r="F2910" s="29"/>
      <c r="G2910" s="29"/>
      <c r="H2910" s="29"/>
      <c r="J2910" s="29"/>
      <c r="K2910" s="29"/>
      <c r="L2910" s="19"/>
      <c r="M2910" s="19"/>
      <c r="N2910" s="30"/>
      <c r="O2910" s="30"/>
      <c r="P2910" s="32"/>
      <c r="Q2910" s="32"/>
      <c r="R2910" s="32"/>
      <c r="S2910" s="32"/>
      <c r="T2910" s="32"/>
      <c r="U2910" s="30"/>
    </row>
    <row r="2911" spans="1:21">
      <c r="A2911" s="29"/>
      <c r="B2911" s="29"/>
      <c r="C2911" s="29"/>
      <c r="D2911" s="29"/>
      <c r="E2911" s="29"/>
      <c r="F2911" s="29"/>
      <c r="G2911" s="29"/>
      <c r="H2911" s="29"/>
      <c r="J2911" s="29"/>
      <c r="K2911" s="29"/>
      <c r="L2911" s="19"/>
      <c r="M2911" s="19"/>
      <c r="N2911" s="30"/>
      <c r="O2911" s="30"/>
      <c r="P2911" s="32"/>
      <c r="Q2911" s="32"/>
      <c r="R2911" s="32"/>
      <c r="S2911" s="32"/>
      <c r="T2911" s="32"/>
      <c r="U2911" s="30"/>
    </row>
    <row r="2912" spans="1:21">
      <c r="A2912" s="29"/>
      <c r="B2912" s="29"/>
      <c r="C2912" s="29"/>
      <c r="D2912" s="29"/>
      <c r="E2912" s="29"/>
      <c r="F2912" s="29"/>
      <c r="G2912" s="29"/>
      <c r="H2912" s="29"/>
      <c r="J2912" s="29"/>
      <c r="K2912" s="29"/>
      <c r="L2912" s="19"/>
      <c r="M2912" s="19"/>
      <c r="N2912" s="30"/>
      <c r="O2912" s="30"/>
      <c r="P2912" s="32"/>
      <c r="Q2912" s="32"/>
      <c r="R2912" s="32"/>
      <c r="S2912" s="32"/>
      <c r="T2912" s="32"/>
      <c r="U2912" s="30"/>
    </row>
    <row r="2913" spans="1:21">
      <c r="A2913" s="29"/>
      <c r="B2913" s="29"/>
      <c r="C2913" s="29"/>
      <c r="D2913" s="29"/>
      <c r="E2913" s="29"/>
      <c r="F2913" s="29"/>
      <c r="G2913" s="29"/>
      <c r="H2913" s="29"/>
      <c r="J2913" s="29"/>
      <c r="K2913" s="29"/>
      <c r="L2913" s="19"/>
      <c r="M2913" s="19"/>
      <c r="N2913" s="30"/>
      <c r="O2913" s="30"/>
      <c r="P2913" s="32"/>
      <c r="Q2913" s="32"/>
      <c r="R2913" s="32"/>
      <c r="S2913" s="32"/>
      <c r="T2913" s="32"/>
      <c r="U2913" s="30"/>
    </row>
    <row r="2914" spans="1:21">
      <c r="A2914" s="29"/>
      <c r="B2914" s="29"/>
      <c r="C2914" s="29"/>
      <c r="D2914" s="29"/>
      <c r="E2914" s="29"/>
      <c r="F2914" s="29"/>
      <c r="G2914" s="29"/>
      <c r="H2914" s="29"/>
      <c r="J2914" s="29"/>
      <c r="K2914" s="29"/>
      <c r="L2914" s="19"/>
      <c r="M2914" s="19"/>
      <c r="N2914" s="30"/>
      <c r="O2914" s="30"/>
      <c r="P2914" s="32"/>
      <c r="Q2914" s="32"/>
      <c r="R2914" s="32"/>
      <c r="S2914" s="32"/>
      <c r="T2914" s="32"/>
      <c r="U2914" s="30"/>
    </row>
    <row r="2915" spans="1:21">
      <c r="A2915" s="29"/>
      <c r="B2915" s="29"/>
      <c r="C2915" s="29"/>
      <c r="D2915" s="29"/>
      <c r="E2915" s="29"/>
      <c r="F2915" s="29"/>
      <c r="G2915" s="29"/>
      <c r="H2915" s="29"/>
      <c r="J2915" s="29"/>
      <c r="K2915" s="29"/>
      <c r="L2915" s="19"/>
      <c r="M2915" s="19"/>
      <c r="N2915" s="30"/>
      <c r="O2915" s="30"/>
      <c r="P2915" s="32"/>
      <c r="Q2915" s="32"/>
      <c r="R2915" s="32"/>
      <c r="S2915" s="32"/>
      <c r="T2915" s="32"/>
      <c r="U2915" s="30"/>
    </row>
    <row r="2916" spans="1:21">
      <c r="A2916" s="29"/>
      <c r="B2916" s="29"/>
      <c r="C2916" s="29"/>
      <c r="D2916" s="29"/>
      <c r="E2916" s="29"/>
      <c r="F2916" s="29"/>
      <c r="G2916" s="29"/>
      <c r="H2916" s="29"/>
      <c r="J2916" s="29"/>
      <c r="K2916" s="29"/>
      <c r="L2916" s="19"/>
      <c r="M2916" s="19"/>
      <c r="N2916" s="30"/>
      <c r="O2916" s="30"/>
      <c r="P2916" s="32"/>
      <c r="Q2916" s="32"/>
      <c r="R2916" s="32"/>
      <c r="S2916" s="32"/>
      <c r="T2916" s="32"/>
      <c r="U2916" s="30"/>
    </row>
    <row r="2917" spans="1:21">
      <c r="A2917" s="29"/>
      <c r="B2917" s="29"/>
      <c r="C2917" s="29"/>
      <c r="D2917" s="29"/>
      <c r="E2917" s="29"/>
      <c r="F2917" s="29"/>
      <c r="G2917" s="29"/>
      <c r="H2917" s="29"/>
      <c r="J2917" s="29"/>
      <c r="K2917" s="29"/>
      <c r="L2917" s="19"/>
      <c r="M2917" s="19"/>
      <c r="N2917" s="30"/>
      <c r="O2917" s="30"/>
      <c r="P2917" s="32"/>
      <c r="Q2917" s="32"/>
      <c r="R2917" s="32"/>
      <c r="S2917" s="32"/>
      <c r="T2917" s="32"/>
      <c r="U2917" s="30"/>
    </row>
    <row r="2918" spans="1:21">
      <c r="A2918" s="29"/>
      <c r="B2918" s="29"/>
      <c r="C2918" s="29"/>
      <c r="D2918" s="29"/>
      <c r="E2918" s="29"/>
      <c r="F2918" s="29"/>
      <c r="G2918" s="29"/>
      <c r="H2918" s="29"/>
      <c r="J2918" s="29"/>
      <c r="K2918" s="29"/>
      <c r="L2918" s="19"/>
      <c r="M2918" s="19"/>
      <c r="N2918" s="30"/>
      <c r="O2918" s="30"/>
      <c r="P2918" s="32"/>
      <c r="Q2918" s="32"/>
      <c r="R2918" s="32"/>
      <c r="S2918" s="32"/>
      <c r="T2918" s="32"/>
      <c r="U2918" s="30"/>
    </row>
    <row r="2919" spans="1:21">
      <c r="A2919" s="29"/>
      <c r="B2919" s="29"/>
      <c r="C2919" s="29"/>
      <c r="D2919" s="29"/>
      <c r="E2919" s="29"/>
      <c r="F2919" s="29"/>
      <c r="G2919" s="29"/>
      <c r="H2919" s="29"/>
      <c r="J2919" s="29"/>
      <c r="K2919" s="29"/>
      <c r="L2919" s="19"/>
      <c r="M2919" s="19"/>
      <c r="N2919" s="30"/>
      <c r="O2919" s="30"/>
      <c r="P2919" s="32"/>
      <c r="Q2919" s="32"/>
      <c r="R2919" s="32"/>
      <c r="S2919" s="32"/>
      <c r="T2919" s="32"/>
      <c r="U2919" s="30"/>
    </row>
    <row r="2920" spans="1:21">
      <c r="A2920" s="29"/>
      <c r="B2920" s="29"/>
      <c r="C2920" s="29"/>
      <c r="D2920" s="29"/>
      <c r="E2920" s="29"/>
      <c r="F2920" s="29"/>
      <c r="G2920" s="29"/>
      <c r="H2920" s="29"/>
      <c r="J2920" s="29"/>
      <c r="K2920" s="29"/>
      <c r="L2920" s="19"/>
      <c r="M2920" s="19"/>
      <c r="N2920" s="30"/>
      <c r="O2920" s="30"/>
      <c r="P2920" s="32"/>
      <c r="Q2920" s="32"/>
      <c r="R2920" s="32"/>
      <c r="S2920" s="32"/>
      <c r="T2920" s="32"/>
      <c r="U2920" s="30"/>
    </row>
    <row r="2921" spans="1:21">
      <c r="A2921" s="29"/>
      <c r="B2921" s="29"/>
      <c r="C2921" s="29"/>
      <c r="D2921" s="29"/>
      <c r="E2921" s="29"/>
      <c r="F2921" s="29"/>
      <c r="G2921" s="29"/>
      <c r="H2921" s="29"/>
      <c r="J2921" s="29"/>
      <c r="K2921" s="29"/>
      <c r="L2921" s="19"/>
      <c r="M2921" s="19"/>
      <c r="N2921" s="30"/>
      <c r="O2921" s="30"/>
      <c r="P2921" s="32"/>
      <c r="Q2921" s="32"/>
      <c r="R2921" s="32"/>
      <c r="S2921" s="32"/>
      <c r="T2921" s="32"/>
      <c r="U2921" s="30"/>
    </row>
    <row r="2922" spans="1:21">
      <c r="A2922" s="29"/>
      <c r="B2922" s="29"/>
      <c r="C2922" s="29"/>
      <c r="D2922" s="29"/>
      <c r="E2922" s="29"/>
      <c r="F2922" s="29"/>
      <c r="G2922" s="29"/>
      <c r="H2922" s="29"/>
      <c r="J2922" s="29"/>
      <c r="K2922" s="29"/>
      <c r="L2922" s="19"/>
      <c r="M2922" s="19"/>
      <c r="N2922" s="30"/>
      <c r="O2922" s="30"/>
      <c r="P2922" s="32"/>
      <c r="Q2922" s="32"/>
      <c r="R2922" s="32"/>
      <c r="S2922" s="32"/>
      <c r="T2922" s="32"/>
      <c r="U2922" s="30"/>
    </row>
    <row r="2923" spans="1:21">
      <c r="A2923" s="29"/>
      <c r="B2923" s="29"/>
      <c r="C2923" s="29"/>
      <c r="D2923" s="29"/>
      <c r="E2923" s="29"/>
      <c r="F2923" s="29"/>
      <c r="G2923" s="29"/>
      <c r="H2923" s="29"/>
      <c r="J2923" s="29"/>
      <c r="K2923" s="29"/>
      <c r="L2923" s="19"/>
      <c r="M2923" s="19"/>
      <c r="N2923" s="30"/>
      <c r="O2923" s="30"/>
      <c r="P2923" s="32"/>
      <c r="Q2923" s="32"/>
      <c r="R2923" s="32"/>
      <c r="S2923" s="32"/>
      <c r="T2923" s="32"/>
      <c r="U2923" s="30"/>
    </row>
    <row r="2924" spans="1:21">
      <c r="A2924" s="29"/>
      <c r="B2924" s="29"/>
      <c r="C2924" s="29"/>
      <c r="D2924" s="29"/>
      <c r="E2924" s="29"/>
      <c r="F2924" s="29"/>
      <c r="G2924" s="29"/>
      <c r="H2924" s="29"/>
      <c r="J2924" s="29"/>
      <c r="K2924" s="29"/>
      <c r="L2924" s="19"/>
      <c r="M2924" s="19"/>
      <c r="N2924" s="30"/>
      <c r="O2924" s="30"/>
      <c r="P2924" s="32"/>
      <c r="Q2924" s="32"/>
      <c r="R2924" s="32"/>
      <c r="S2924" s="32"/>
      <c r="T2924" s="32"/>
      <c r="U2924" s="30"/>
    </row>
    <row r="2925" spans="1:21">
      <c r="A2925" s="29"/>
      <c r="B2925" s="29"/>
      <c r="C2925" s="29"/>
      <c r="D2925" s="29"/>
      <c r="E2925" s="29"/>
      <c r="F2925" s="29"/>
      <c r="G2925" s="29"/>
      <c r="H2925" s="29"/>
      <c r="J2925" s="29"/>
      <c r="K2925" s="29"/>
      <c r="L2925" s="19"/>
      <c r="M2925" s="19"/>
      <c r="N2925" s="30"/>
      <c r="O2925" s="30"/>
      <c r="P2925" s="32"/>
      <c r="Q2925" s="32"/>
      <c r="R2925" s="32"/>
      <c r="S2925" s="32"/>
      <c r="T2925" s="32"/>
      <c r="U2925" s="30"/>
    </row>
    <row r="2926" spans="1:21">
      <c r="A2926" s="29"/>
      <c r="B2926" s="29"/>
      <c r="C2926" s="29"/>
      <c r="D2926" s="29"/>
      <c r="E2926" s="29"/>
      <c r="F2926" s="29"/>
      <c r="G2926" s="29"/>
      <c r="H2926" s="29"/>
      <c r="J2926" s="29"/>
      <c r="K2926" s="29"/>
      <c r="L2926" s="19"/>
      <c r="M2926" s="19"/>
      <c r="N2926" s="30"/>
      <c r="O2926" s="30"/>
      <c r="P2926" s="32"/>
      <c r="Q2926" s="32"/>
      <c r="R2926" s="32"/>
      <c r="S2926" s="32"/>
      <c r="T2926" s="32"/>
      <c r="U2926" s="30"/>
    </row>
    <row r="2927" spans="1:21">
      <c r="A2927" s="29"/>
      <c r="B2927" s="29"/>
      <c r="C2927" s="29"/>
      <c r="D2927" s="29"/>
      <c r="E2927" s="29"/>
      <c r="F2927" s="29"/>
      <c r="G2927" s="29"/>
      <c r="H2927" s="29"/>
      <c r="J2927" s="29"/>
      <c r="K2927" s="29"/>
      <c r="L2927" s="19"/>
      <c r="M2927" s="19"/>
      <c r="N2927" s="30"/>
      <c r="O2927" s="30"/>
      <c r="P2927" s="32"/>
      <c r="Q2927" s="32"/>
      <c r="R2927" s="32"/>
      <c r="S2927" s="32"/>
      <c r="T2927" s="32"/>
      <c r="U2927" s="30"/>
    </row>
    <row r="2928" spans="1:21">
      <c r="A2928" s="29"/>
      <c r="B2928" s="29"/>
      <c r="C2928" s="29"/>
      <c r="D2928" s="29"/>
      <c r="E2928" s="29"/>
      <c r="F2928" s="29"/>
      <c r="G2928" s="29"/>
      <c r="H2928" s="29"/>
      <c r="J2928" s="29"/>
      <c r="K2928" s="29"/>
      <c r="L2928" s="19"/>
      <c r="M2928" s="19"/>
      <c r="N2928" s="30"/>
      <c r="O2928" s="30"/>
      <c r="P2928" s="32"/>
      <c r="Q2928" s="32"/>
      <c r="R2928" s="32"/>
      <c r="S2928" s="32"/>
      <c r="T2928" s="32"/>
      <c r="U2928" s="30"/>
    </row>
    <row r="2929" spans="1:21">
      <c r="A2929" s="29"/>
      <c r="B2929" s="29"/>
      <c r="C2929" s="29"/>
      <c r="D2929" s="29"/>
      <c r="E2929" s="29"/>
      <c r="F2929" s="29"/>
      <c r="G2929" s="29"/>
      <c r="H2929" s="29"/>
      <c r="J2929" s="29"/>
      <c r="K2929" s="29"/>
      <c r="L2929" s="19"/>
      <c r="M2929" s="19"/>
      <c r="N2929" s="30"/>
      <c r="O2929" s="30"/>
      <c r="P2929" s="32"/>
      <c r="Q2929" s="32"/>
      <c r="R2929" s="32"/>
      <c r="S2929" s="32"/>
      <c r="T2929" s="32"/>
      <c r="U2929" s="30"/>
    </row>
    <row r="2930" spans="1:21">
      <c r="A2930" s="29"/>
      <c r="B2930" s="29"/>
      <c r="C2930" s="29"/>
      <c r="D2930" s="29"/>
      <c r="E2930" s="29"/>
      <c r="F2930" s="29"/>
      <c r="G2930" s="29"/>
      <c r="H2930" s="29"/>
      <c r="J2930" s="29"/>
      <c r="K2930" s="29"/>
      <c r="L2930" s="19"/>
      <c r="M2930" s="19"/>
      <c r="N2930" s="30"/>
      <c r="O2930" s="30"/>
      <c r="P2930" s="32"/>
      <c r="Q2930" s="32"/>
      <c r="R2930" s="32"/>
      <c r="S2930" s="32"/>
      <c r="T2930" s="32"/>
      <c r="U2930" s="30"/>
    </row>
    <row r="2931" spans="1:21">
      <c r="A2931" s="29"/>
      <c r="B2931" s="29"/>
      <c r="C2931" s="29"/>
      <c r="D2931" s="29"/>
      <c r="E2931" s="29"/>
      <c r="F2931" s="29"/>
      <c r="G2931" s="29"/>
      <c r="H2931" s="29"/>
      <c r="J2931" s="29"/>
      <c r="K2931" s="29"/>
      <c r="L2931" s="19"/>
      <c r="M2931" s="19"/>
      <c r="N2931" s="30"/>
      <c r="O2931" s="30"/>
      <c r="P2931" s="32"/>
      <c r="Q2931" s="32"/>
      <c r="R2931" s="32"/>
      <c r="S2931" s="32"/>
      <c r="T2931" s="32"/>
      <c r="U2931" s="30"/>
    </row>
    <row r="2932" spans="1:21">
      <c r="A2932" s="29"/>
      <c r="B2932" s="29"/>
      <c r="C2932" s="29"/>
      <c r="D2932" s="29"/>
      <c r="E2932" s="29"/>
      <c r="F2932" s="29"/>
      <c r="G2932" s="29"/>
      <c r="H2932" s="29"/>
      <c r="J2932" s="29"/>
      <c r="K2932" s="29"/>
      <c r="L2932" s="19"/>
      <c r="M2932" s="19"/>
      <c r="N2932" s="30"/>
      <c r="O2932" s="30"/>
      <c r="P2932" s="32"/>
      <c r="Q2932" s="32"/>
      <c r="R2932" s="32"/>
      <c r="S2932" s="32"/>
      <c r="T2932" s="32"/>
      <c r="U2932" s="30"/>
    </row>
    <row r="2933" spans="1:21">
      <c r="A2933" s="29"/>
      <c r="B2933" s="29"/>
      <c r="C2933" s="29"/>
      <c r="D2933" s="29"/>
      <c r="E2933" s="29"/>
      <c r="F2933" s="29"/>
      <c r="G2933" s="29"/>
      <c r="H2933" s="29"/>
      <c r="J2933" s="29"/>
      <c r="K2933" s="29"/>
      <c r="L2933" s="19"/>
      <c r="M2933" s="19"/>
      <c r="N2933" s="30"/>
      <c r="O2933" s="30"/>
      <c r="P2933" s="32"/>
      <c r="Q2933" s="32"/>
      <c r="R2933" s="32"/>
      <c r="S2933" s="32"/>
      <c r="T2933" s="32"/>
      <c r="U2933" s="30"/>
    </row>
    <row r="2934" spans="1:21">
      <c r="A2934" s="29"/>
      <c r="B2934" s="29"/>
      <c r="C2934" s="29"/>
      <c r="D2934" s="29"/>
      <c r="E2934" s="29"/>
      <c r="F2934" s="29"/>
      <c r="G2934" s="29"/>
      <c r="H2934" s="29"/>
      <c r="J2934" s="29"/>
      <c r="K2934" s="29"/>
      <c r="L2934" s="19"/>
      <c r="M2934" s="19"/>
      <c r="N2934" s="30"/>
      <c r="O2934" s="30"/>
      <c r="P2934" s="32"/>
      <c r="Q2934" s="32"/>
      <c r="R2934" s="32"/>
      <c r="S2934" s="32"/>
      <c r="T2934" s="32"/>
      <c r="U2934" s="30"/>
    </row>
    <row r="2935" spans="1:21">
      <c r="A2935" s="29"/>
      <c r="B2935" s="29"/>
      <c r="C2935" s="29"/>
      <c r="D2935" s="29"/>
      <c r="E2935" s="29"/>
      <c r="F2935" s="29"/>
      <c r="G2935" s="29"/>
      <c r="H2935" s="29"/>
      <c r="J2935" s="29"/>
      <c r="K2935" s="29"/>
      <c r="L2935" s="19"/>
      <c r="M2935" s="19"/>
      <c r="N2935" s="30"/>
      <c r="O2935" s="30"/>
      <c r="P2935" s="32"/>
      <c r="Q2935" s="32"/>
      <c r="R2935" s="32"/>
      <c r="S2935" s="32"/>
      <c r="T2935" s="32"/>
      <c r="U2935" s="30"/>
    </row>
    <row r="2936" spans="1:21">
      <c r="A2936" s="29"/>
      <c r="B2936" s="29"/>
      <c r="C2936" s="29"/>
      <c r="D2936" s="29"/>
      <c r="E2936" s="29"/>
      <c r="F2936" s="29"/>
      <c r="G2936" s="29"/>
      <c r="H2936" s="29"/>
      <c r="J2936" s="29"/>
      <c r="K2936" s="29"/>
      <c r="L2936" s="19"/>
      <c r="M2936" s="19"/>
      <c r="N2936" s="30"/>
      <c r="O2936" s="30"/>
      <c r="P2936" s="32"/>
      <c r="Q2936" s="32"/>
      <c r="R2936" s="32"/>
      <c r="S2936" s="32"/>
      <c r="T2936" s="32"/>
      <c r="U2936" s="30"/>
    </row>
    <row r="2937" spans="1:21">
      <c r="A2937" s="29"/>
      <c r="B2937" s="29"/>
      <c r="C2937" s="29"/>
      <c r="D2937" s="29"/>
      <c r="E2937" s="29"/>
      <c r="F2937" s="29"/>
      <c r="G2937" s="29"/>
      <c r="H2937" s="29"/>
      <c r="J2937" s="29"/>
      <c r="K2937" s="29"/>
      <c r="L2937" s="19"/>
      <c r="M2937" s="19"/>
      <c r="N2937" s="30"/>
      <c r="O2937" s="30"/>
      <c r="P2937" s="32"/>
      <c r="Q2937" s="32"/>
      <c r="R2937" s="32"/>
      <c r="S2937" s="32"/>
      <c r="T2937" s="32"/>
      <c r="U2937" s="30"/>
    </row>
    <row r="2938" spans="1:21">
      <c r="A2938" s="29"/>
      <c r="B2938" s="29"/>
      <c r="C2938" s="29"/>
      <c r="D2938" s="29"/>
      <c r="E2938" s="29"/>
      <c r="F2938" s="29"/>
      <c r="G2938" s="29"/>
      <c r="H2938" s="29"/>
      <c r="J2938" s="29"/>
      <c r="K2938" s="29"/>
      <c r="L2938" s="19"/>
      <c r="M2938" s="19"/>
      <c r="N2938" s="30"/>
      <c r="O2938" s="30"/>
      <c r="P2938" s="32"/>
      <c r="Q2938" s="32"/>
      <c r="R2938" s="32"/>
      <c r="S2938" s="32"/>
      <c r="T2938" s="32"/>
      <c r="U2938" s="30"/>
    </row>
    <row r="2939" spans="1:21">
      <c r="A2939" s="29"/>
      <c r="B2939" s="29"/>
      <c r="C2939" s="29"/>
      <c r="D2939" s="29"/>
      <c r="E2939" s="29"/>
      <c r="F2939" s="29"/>
      <c r="G2939" s="29"/>
      <c r="H2939" s="29"/>
      <c r="J2939" s="29"/>
      <c r="K2939" s="29"/>
      <c r="L2939" s="19"/>
      <c r="M2939" s="19"/>
      <c r="N2939" s="30"/>
      <c r="O2939" s="30"/>
      <c r="P2939" s="32"/>
      <c r="Q2939" s="32"/>
      <c r="R2939" s="32"/>
      <c r="S2939" s="32"/>
      <c r="T2939" s="32"/>
      <c r="U2939" s="30"/>
    </row>
    <row r="2940" spans="1:21">
      <c r="A2940" s="29"/>
      <c r="B2940" s="29"/>
      <c r="C2940" s="29"/>
      <c r="D2940" s="29"/>
      <c r="E2940" s="29"/>
      <c r="F2940" s="29"/>
      <c r="G2940" s="29"/>
      <c r="H2940" s="29"/>
      <c r="J2940" s="29"/>
      <c r="K2940" s="29"/>
      <c r="L2940" s="19"/>
      <c r="M2940" s="19"/>
      <c r="N2940" s="30"/>
      <c r="O2940" s="30"/>
      <c r="P2940" s="32"/>
      <c r="Q2940" s="32"/>
      <c r="R2940" s="32"/>
      <c r="S2940" s="32"/>
      <c r="T2940" s="32"/>
      <c r="U2940" s="30"/>
    </row>
    <row r="2941" spans="1:21">
      <c r="A2941" s="29"/>
      <c r="B2941" s="29"/>
      <c r="C2941" s="29"/>
      <c r="D2941" s="29"/>
      <c r="E2941" s="29"/>
      <c r="F2941" s="29"/>
      <c r="G2941" s="29"/>
      <c r="H2941" s="29"/>
      <c r="J2941" s="29"/>
      <c r="K2941" s="29"/>
      <c r="L2941" s="19"/>
      <c r="M2941" s="19"/>
      <c r="N2941" s="30"/>
      <c r="O2941" s="30"/>
      <c r="P2941" s="32"/>
      <c r="Q2941" s="32"/>
      <c r="R2941" s="32"/>
      <c r="S2941" s="32"/>
      <c r="T2941" s="32"/>
      <c r="U2941" s="30"/>
    </row>
    <row r="2942" spans="1:21">
      <c r="A2942" s="29"/>
      <c r="B2942" s="29"/>
      <c r="C2942" s="29"/>
      <c r="D2942" s="29"/>
      <c r="E2942" s="29"/>
      <c r="F2942" s="29"/>
      <c r="G2942" s="29"/>
      <c r="H2942" s="29"/>
      <c r="J2942" s="29"/>
      <c r="K2942" s="29"/>
      <c r="L2942" s="19"/>
      <c r="M2942" s="19"/>
      <c r="N2942" s="30"/>
      <c r="O2942" s="30"/>
      <c r="P2942" s="32"/>
      <c r="Q2942" s="32"/>
      <c r="R2942" s="32"/>
      <c r="S2942" s="32"/>
      <c r="T2942" s="32"/>
      <c r="U2942" s="30"/>
    </row>
    <row r="2943" spans="1:21">
      <c r="A2943" s="29"/>
      <c r="B2943" s="29"/>
      <c r="C2943" s="29"/>
      <c r="D2943" s="29"/>
      <c r="E2943" s="29"/>
      <c r="F2943" s="29"/>
      <c r="G2943" s="29"/>
      <c r="H2943" s="29"/>
      <c r="J2943" s="29"/>
      <c r="K2943" s="29"/>
      <c r="L2943" s="19"/>
      <c r="M2943" s="19"/>
      <c r="N2943" s="30"/>
      <c r="O2943" s="30"/>
      <c r="P2943" s="32"/>
      <c r="Q2943" s="32"/>
      <c r="R2943" s="32"/>
      <c r="S2943" s="32"/>
      <c r="T2943" s="32"/>
      <c r="U2943" s="30"/>
    </row>
    <row r="2944" spans="1:21">
      <c r="A2944" s="29"/>
      <c r="B2944" s="29"/>
      <c r="C2944" s="29"/>
      <c r="D2944" s="29"/>
      <c r="E2944" s="29"/>
      <c r="F2944" s="29"/>
      <c r="G2944" s="29"/>
      <c r="H2944" s="29"/>
      <c r="J2944" s="29"/>
      <c r="K2944" s="29"/>
      <c r="L2944" s="19"/>
      <c r="M2944" s="19"/>
      <c r="N2944" s="30"/>
      <c r="O2944" s="30"/>
      <c r="P2944" s="32"/>
      <c r="Q2944" s="32"/>
      <c r="R2944" s="32"/>
      <c r="S2944" s="32"/>
      <c r="T2944" s="32"/>
      <c r="U2944" s="30"/>
    </row>
    <row r="2945" spans="1:21">
      <c r="A2945" s="29"/>
      <c r="B2945" s="29"/>
      <c r="C2945" s="29"/>
      <c r="D2945" s="29"/>
      <c r="E2945" s="29"/>
      <c r="F2945" s="29"/>
      <c r="G2945" s="29"/>
      <c r="H2945" s="29"/>
      <c r="J2945" s="29"/>
      <c r="K2945" s="29"/>
      <c r="L2945" s="19"/>
      <c r="M2945" s="19"/>
      <c r="N2945" s="30"/>
      <c r="O2945" s="30"/>
      <c r="P2945" s="32"/>
      <c r="Q2945" s="32"/>
      <c r="R2945" s="32"/>
      <c r="S2945" s="32"/>
      <c r="T2945" s="32"/>
      <c r="U2945" s="30"/>
    </row>
    <row r="2946" spans="1:21">
      <c r="A2946" s="29"/>
      <c r="B2946" s="29"/>
      <c r="C2946" s="29"/>
      <c r="D2946" s="29"/>
      <c r="E2946" s="29"/>
      <c r="F2946" s="29"/>
      <c r="G2946" s="29"/>
      <c r="H2946" s="29"/>
      <c r="J2946" s="29"/>
      <c r="K2946" s="29"/>
      <c r="L2946" s="19"/>
      <c r="M2946" s="19"/>
      <c r="N2946" s="30"/>
      <c r="O2946" s="30"/>
      <c r="P2946" s="32"/>
      <c r="Q2946" s="32"/>
      <c r="R2946" s="32"/>
      <c r="S2946" s="32"/>
      <c r="T2946" s="32"/>
      <c r="U2946" s="30"/>
    </row>
    <row r="2947" spans="1:21">
      <c r="A2947" s="29"/>
      <c r="B2947" s="29"/>
      <c r="C2947" s="29"/>
      <c r="D2947" s="29"/>
      <c r="E2947" s="29"/>
      <c r="F2947" s="29"/>
      <c r="G2947" s="29"/>
      <c r="H2947" s="29"/>
      <c r="J2947" s="29"/>
      <c r="K2947" s="29"/>
      <c r="L2947" s="19"/>
      <c r="M2947" s="19"/>
      <c r="N2947" s="30"/>
      <c r="O2947" s="30"/>
      <c r="P2947" s="32"/>
      <c r="Q2947" s="32"/>
      <c r="R2947" s="32"/>
      <c r="S2947" s="32"/>
      <c r="T2947" s="32"/>
      <c r="U2947" s="30"/>
    </row>
    <row r="2948" spans="1:21">
      <c r="A2948" s="29"/>
      <c r="B2948" s="29"/>
      <c r="C2948" s="29"/>
      <c r="D2948" s="29"/>
      <c r="E2948" s="29"/>
      <c r="F2948" s="29"/>
      <c r="G2948" s="29"/>
      <c r="H2948" s="29"/>
      <c r="J2948" s="29"/>
      <c r="K2948" s="29"/>
      <c r="L2948" s="19"/>
      <c r="M2948" s="19"/>
      <c r="N2948" s="30"/>
      <c r="O2948" s="30"/>
      <c r="P2948" s="32"/>
      <c r="Q2948" s="32"/>
      <c r="R2948" s="32"/>
      <c r="S2948" s="32"/>
      <c r="T2948" s="32"/>
      <c r="U2948" s="30"/>
    </row>
    <row r="2949" spans="1:21">
      <c r="A2949" s="29"/>
      <c r="B2949" s="29"/>
      <c r="C2949" s="29"/>
      <c r="D2949" s="29"/>
      <c r="E2949" s="29"/>
      <c r="F2949" s="29"/>
      <c r="G2949" s="29"/>
      <c r="H2949" s="29"/>
      <c r="J2949" s="29"/>
      <c r="K2949" s="29"/>
      <c r="L2949" s="19"/>
      <c r="M2949" s="19"/>
      <c r="N2949" s="30"/>
      <c r="O2949" s="30"/>
      <c r="P2949" s="32"/>
      <c r="Q2949" s="32"/>
      <c r="R2949" s="32"/>
      <c r="S2949" s="32"/>
      <c r="T2949" s="32"/>
      <c r="U2949" s="30"/>
    </row>
    <row r="2950" spans="1:21">
      <c r="A2950" s="29"/>
      <c r="B2950" s="29"/>
      <c r="C2950" s="29"/>
      <c r="D2950" s="29"/>
      <c r="E2950" s="29"/>
      <c r="F2950" s="29"/>
      <c r="G2950" s="29"/>
      <c r="H2950" s="29"/>
      <c r="J2950" s="29"/>
      <c r="K2950" s="29"/>
      <c r="L2950" s="19"/>
      <c r="M2950" s="19"/>
      <c r="N2950" s="30"/>
      <c r="O2950" s="30"/>
      <c r="P2950" s="32"/>
      <c r="Q2950" s="32"/>
      <c r="R2950" s="32"/>
      <c r="S2950" s="32"/>
      <c r="T2950" s="32"/>
      <c r="U2950" s="30"/>
    </row>
    <row r="2951" spans="1:21">
      <c r="A2951" s="29"/>
      <c r="B2951" s="29"/>
      <c r="C2951" s="29"/>
      <c r="D2951" s="29"/>
      <c r="E2951" s="29"/>
      <c r="F2951" s="29"/>
      <c r="G2951" s="29"/>
      <c r="H2951" s="29"/>
      <c r="J2951" s="29"/>
      <c r="K2951" s="29"/>
      <c r="L2951" s="19"/>
      <c r="M2951" s="19"/>
      <c r="N2951" s="30"/>
      <c r="O2951" s="30"/>
      <c r="P2951" s="32"/>
      <c r="Q2951" s="32"/>
      <c r="R2951" s="32"/>
      <c r="S2951" s="32"/>
      <c r="T2951" s="32"/>
      <c r="U2951" s="30"/>
    </row>
    <row r="2952" spans="1:21">
      <c r="A2952" s="29"/>
      <c r="B2952" s="29"/>
      <c r="C2952" s="29"/>
      <c r="D2952" s="29"/>
      <c r="E2952" s="29"/>
      <c r="F2952" s="29"/>
      <c r="G2952" s="29"/>
      <c r="H2952" s="29"/>
      <c r="J2952" s="29"/>
      <c r="K2952" s="29"/>
      <c r="L2952" s="19"/>
      <c r="M2952" s="19"/>
      <c r="N2952" s="30"/>
      <c r="O2952" s="30"/>
      <c r="P2952" s="32"/>
      <c r="Q2952" s="32"/>
      <c r="R2952" s="32"/>
      <c r="S2952" s="32"/>
      <c r="T2952" s="32"/>
      <c r="U2952" s="30"/>
    </row>
    <row r="2953" spans="1:21">
      <c r="A2953" s="29"/>
      <c r="B2953" s="29"/>
      <c r="C2953" s="29"/>
      <c r="D2953" s="29"/>
      <c r="E2953" s="29"/>
      <c r="F2953" s="29"/>
      <c r="G2953" s="29"/>
      <c r="H2953" s="29"/>
      <c r="J2953" s="29"/>
      <c r="K2953" s="29"/>
      <c r="L2953" s="19"/>
      <c r="M2953" s="19"/>
      <c r="N2953" s="30"/>
      <c r="O2953" s="30"/>
      <c r="P2953" s="32"/>
      <c r="Q2953" s="32"/>
      <c r="R2953" s="32"/>
      <c r="S2953" s="32"/>
      <c r="T2953" s="32"/>
      <c r="U2953" s="30"/>
    </row>
    <row r="2954" spans="1:21">
      <c r="A2954" s="29"/>
      <c r="B2954" s="29"/>
      <c r="C2954" s="29"/>
      <c r="D2954" s="29"/>
      <c r="E2954" s="29"/>
      <c r="F2954" s="29"/>
      <c r="G2954" s="29"/>
      <c r="H2954" s="29"/>
      <c r="J2954" s="29"/>
      <c r="K2954" s="29"/>
      <c r="L2954" s="19"/>
      <c r="M2954" s="19"/>
      <c r="N2954" s="30"/>
      <c r="O2954" s="30"/>
      <c r="P2954" s="32"/>
      <c r="Q2954" s="32"/>
      <c r="R2954" s="32"/>
      <c r="S2954" s="32"/>
      <c r="T2954" s="32"/>
      <c r="U2954" s="30"/>
    </row>
    <row r="2955" spans="1:21">
      <c r="A2955" s="29"/>
      <c r="B2955" s="29"/>
      <c r="C2955" s="29"/>
      <c r="D2955" s="29"/>
      <c r="E2955" s="29"/>
      <c r="F2955" s="29"/>
      <c r="G2955" s="29"/>
      <c r="H2955" s="29"/>
      <c r="J2955" s="29"/>
      <c r="K2955" s="29"/>
      <c r="L2955" s="19"/>
      <c r="M2955" s="19"/>
      <c r="N2955" s="30"/>
      <c r="O2955" s="30"/>
      <c r="P2955" s="32"/>
      <c r="Q2955" s="32"/>
      <c r="R2955" s="32"/>
      <c r="S2955" s="32"/>
      <c r="T2955" s="32"/>
      <c r="U2955" s="30"/>
    </row>
    <row r="2956" spans="1:21">
      <c r="A2956" s="29"/>
      <c r="B2956" s="29"/>
      <c r="C2956" s="29"/>
      <c r="D2956" s="29"/>
      <c r="E2956" s="29"/>
      <c r="F2956" s="29"/>
      <c r="G2956" s="29"/>
      <c r="H2956" s="29"/>
      <c r="J2956" s="29"/>
      <c r="K2956" s="29"/>
      <c r="L2956" s="19"/>
      <c r="M2956" s="19"/>
      <c r="N2956" s="30"/>
      <c r="O2956" s="30"/>
      <c r="P2956" s="32"/>
      <c r="Q2956" s="32"/>
      <c r="R2956" s="32"/>
      <c r="S2956" s="32"/>
      <c r="T2956" s="32"/>
      <c r="U2956" s="30"/>
    </row>
    <row r="2957" spans="1:21">
      <c r="A2957" s="29"/>
      <c r="B2957" s="29"/>
      <c r="C2957" s="29"/>
      <c r="D2957" s="29"/>
      <c r="E2957" s="29"/>
      <c r="F2957" s="29"/>
      <c r="G2957" s="29"/>
      <c r="H2957" s="29"/>
      <c r="J2957" s="29"/>
      <c r="K2957" s="29"/>
      <c r="L2957" s="19"/>
      <c r="M2957" s="19"/>
      <c r="N2957" s="30"/>
      <c r="O2957" s="30"/>
      <c r="P2957" s="32"/>
      <c r="Q2957" s="32"/>
      <c r="R2957" s="32"/>
      <c r="S2957" s="32"/>
      <c r="T2957" s="32"/>
      <c r="U2957" s="30"/>
    </row>
    <row r="2958" spans="1:21">
      <c r="A2958" s="29"/>
      <c r="B2958" s="29"/>
      <c r="C2958" s="29"/>
      <c r="D2958" s="29"/>
      <c r="E2958" s="29"/>
      <c r="F2958" s="29"/>
      <c r="G2958" s="29"/>
      <c r="H2958" s="29"/>
      <c r="J2958" s="29"/>
      <c r="K2958" s="29"/>
      <c r="L2958" s="19"/>
      <c r="M2958" s="19"/>
      <c r="N2958" s="30"/>
      <c r="O2958" s="30"/>
      <c r="P2958" s="32"/>
      <c r="Q2958" s="32"/>
      <c r="R2958" s="32"/>
      <c r="S2958" s="32"/>
      <c r="T2958" s="32"/>
      <c r="U2958" s="30"/>
    </row>
    <row r="2959" spans="1:21">
      <c r="A2959" s="29"/>
      <c r="B2959" s="29"/>
      <c r="C2959" s="29"/>
      <c r="D2959" s="29"/>
      <c r="E2959" s="29"/>
      <c r="F2959" s="29"/>
      <c r="G2959" s="29"/>
      <c r="H2959" s="29"/>
      <c r="J2959" s="29"/>
      <c r="K2959" s="29"/>
      <c r="L2959" s="19"/>
      <c r="M2959" s="19"/>
      <c r="N2959" s="30"/>
      <c r="O2959" s="30"/>
      <c r="P2959" s="32"/>
      <c r="Q2959" s="32"/>
      <c r="R2959" s="32"/>
      <c r="S2959" s="32"/>
      <c r="T2959" s="32"/>
      <c r="U2959" s="30"/>
    </row>
    <row r="2960" spans="1:21">
      <c r="A2960" s="29"/>
      <c r="B2960" s="29"/>
      <c r="C2960" s="29"/>
      <c r="D2960" s="29"/>
      <c r="E2960" s="29"/>
      <c r="F2960" s="29"/>
      <c r="G2960" s="29"/>
      <c r="H2960" s="29"/>
      <c r="J2960" s="29"/>
      <c r="K2960" s="29"/>
      <c r="L2960" s="19"/>
      <c r="M2960" s="19"/>
      <c r="N2960" s="30"/>
      <c r="O2960" s="30"/>
      <c r="P2960" s="32"/>
      <c r="Q2960" s="32"/>
      <c r="R2960" s="32"/>
      <c r="S2960" s="32"/>
      <c r="T2960" s="32"/>
      <c r="U2960" s="30"/>
    </row>
    <row r="2961" spans="1:21">
      <c r="A2961" s="29"/>
      <c r="B2961" s="29"/>
      <c r="C2961" s="29"/>
      <c r="D2961" s="29"/>
      <c r="E2961" s="29"/>
      <c r="F2961" s="29"/>
      <c r="G2961" s="29"/>
      <c r="H2961" s="29"/>
      <c r="J2961" s="29"/>
      <c r="K2961" s="29"/>
      <c r="L2961" s="19"/>
      <c r="M2961" s="19"/>
      <c r="N2961" s="30"/>
      <c r="O2961" s="30"/>
      <c r="P2961" s="32"/>
      <c r="Q2961" s="32"/>
      <c r="R2961" s="32"/>
      <c r="S2961" s="32"/>
      <c r="T2961" s="32"/>
      <c r="U2961" s="30"/>
    </row>
    <row r="2962" spans="1:21">
      <c r="A2962" s="29"/>
      <c r="B2962" s="29"/>
      <c r="C2962" s="29"/>
      <c r="D2962" s="29"/>
      <c r="E2962" s="29"/>
      <c r="F2962" s="29"/>
      <c r="G2962" s="29"/>
      <c r="H2962" s="29"/>
      <c r="J2962" s="29"/>
      <c r="K2962" s="29"/>
      <c r="L2962" s="19"/>
      <c r="M2962" s="19"/>
      <c r="N2962" s="30"/>
      <c r="O2962" s="30"/>
      <c r="P2962" s="32"/>
      <c r="Q2962" s="32"/>
      <c r="R2962" s="32"/>
      <c r="S2962" s="32"/>
      <c r="T2962" s="32"/>
      <c r="U2962" s="30"/>
    </row>
    <row r="2963" spans="1:21">
      <c r="A2963" s="29"/>
      <c r="B2963" s="29"/>
      <c r="C2963" s="29"/>
      <c r="D2963" s="29"/>
      <c r="E2963" s="29"/>
      <c r="F2963" s="29"/>
      <c r="G2963" s="29"/>
      <c r="H2963" s="29"/>
      <c r="J2963" s="29"/>
      <c r="K2963" s="29"/>
      <c r="L2963" s="19"/>
      <c r="M2963" s="19"/>
      <c r="N2963" s="30"/>
      <c r="O2963" s="30"/>
      <c r="P2963" s="32"/>
      <c r="Q2963" s="32"/>
      <c r="R2963" s="32"/>
      <c r="S2963" s="32"/>
      <c r="T2963" s="32"/>
      <c r="U2963" s="30"/>
    </row>
    <row r="2964" spans="1:21">
      <c r="A2964" s="29"/>
      <c r="B2964" s="29"/>
      <c r="C2964" s="29"/>
      <c r="D2964" s="29"/>
      <c r="E2964" s="29"/>
      <c r="F2964" s="29"/>
      <c r="G2964" s="29"/>
      <c r="H2964" s="29"/>
      <c r="J2964" s="29"/>
      <c r="K2964" s="29"/>
      <c r="L2964" s="19"/>
      <c r="M2964" s="19"/>
      <c r="N2964" s="30"/>
      <c r="O2964" s="30"/>
      <c r="P2964" s="32"/>
      <c r="Q2964" s="32"/>
      <c r="R2964" s="32"/>
      <c r="S2964" s="32"/>
      <c r="T2964" s="32"/>
      <c r="U2964" s="30"/>
    </row>
    <row r="2965" spans="1:21">
      <c r="A2965" s="29"/>
      <c r="B2965" s="29"/>
      <c r="C2965" s="29"/>
      <c r="D2965" s="29"/>
      <c r="E2965" s="29"/>
      <c r="F2965" s="29"/>
      <c r="G2965" s="29"/>
      <c r="H2965" s="29"/>
      <c r="J2965" s="29"/>
      <c r="K2965" s="29"/>
      <c r="L2965" s="19"/>
      <c r="M2965" s="19"/>
      <c r="N2965" s="30"/>
      <c r="O2965" s="30"/>
      <c r="P2965" s="32"/>
      <c r="Q2965" s="32"/>
      <c r="R2965" s="32"/>
      <c r="S2965" s="32"/>
      <c r="T2965" s="32"/>
      <c r="U2965" s="30"/>
    </row>
    <row r="2966" spans="1:21">
      <c r="A2966" s="29"/>
      <c r="B2966" s="29"/>
      <c r="C2966" s="29"/>
      <c r="D2966" s="29"/>
      <c r="E2966" s="29"/>
      <c r="F2966" s="29"/>
      <c r="G2966" s="29"/>
      <c r="H2966" s="29"/>
      <c r="J2966" s="29"/>
      <c r="K2966" s="29"/>
      <c r="L2966" s="19"/>
      <c r="M2966" s="19"/>
      <c r="N2966" s="30"/>
      <c r="O2966" s="30"/>
      <c r="P2966" s="32"/>
      <c r="Q2966" s="32"/>
      <c r="R2966" s="32"/>
      <c r="S2966" s="32"/>
      <c r="T2966" s="32"/>
      <c r="U2966" s="30"/>
    </row>
    <row r="2967" spans="1:21">
      <c r="A2967" s="29"/>
      <c r="B2967" s="29"/>
      <c r="C2967" s="29"/>
      <c r="D2967" s="29"/>
      <c r="E2967" s="29"/>
      <c r="F2967" s="29"/>
      <c r="G2967" s="29"/>
      <c r="H2967" s="29"/>
      <c r="J2967" s="29"/>
      <c r="K2967" s="29"/>
      <c r="L2967" s="19"/>
      <c r="M2967" s="19"/>
      <c r="N2967" s="30"/>
      <c r="O2967" s="30"/>
      <c r="P2967" s="32"/>
      <c r="Q2967" s="32"/>
      <c r="R2967" s="32"/>
      <c r="S2967" s="32"/>
      <c r="T2967" s="32"/>
      <c r="U2967" s="30"/>
    </row>
    <row r="2968" spans="1:21">
      <c r="A2968" s="29"/>
      <c r="B2968" s="29"/>
      <c r="C2968" s="29"/>
      <c r="D2968" s="29"/>
      <c r="E2968" s="29"/>
      <c r="F2968" s="29"/>
      <c r="G2968" s="29"/>
      <c r="H2968" s="29"/>
      <c r="J2968" s="29"/>
      <c r="K2968" s="29"/>
      <c r="L2968" s="19"/>
      <c r="M2968" s="19"/>
      <c r="N2968" s="30"/>
      <c r="O2968" s="30"/>
      <c r="P2968" s="32"/>
      <c r="Q2968" s="32"/>
      <c r="R2968" s="32"/>
      <c r="S2968" s="32"/>
      <c r="T2968" s="32"/>
      <c r="U2968" s="30"/>
    </row>
    <row r="2969" spans="1:21">
      <c r="A2969" s="29"/>
      <c r="B2969" s="29"/>
      <c r="C2969" s="29"/>
      <c r="D2969" s="29"/>
      <c r="E2969" s="29"/>
      <c r="F2969" s="29"/>
      <c r="G2969" s="29"/>
      <c r="H2969" s="29"/>
      <c r="J2969" s="29"/>
      <c r="K2969" s="29"/>
      <c r="L2969" s="19"/>
      <c r="M2969" s="19"/>
      <c r="N2969" s="30"/>
      <c r="O2969" s="30"/>
      <c r="P2969" s="32"/>
      <c r="Q2969" s="32"/>
      <c r="R2969" s="32"/>
      <c r="S2969" s="32"/>
      <c r="T2969" s="32"/>
      <c r="U2969" s="30"/>
    </row>
    <row r="2970" spans="1:21">
      <c r="A2970" s="29"/>
      <c r="B2970" s="29"/>
      <c r="C2970" s="29"/>
      <c r="D2970" s="29"/>
      <c r="E2970" s="29"/>
      <c r="F2970" s="29"/>
      <c r="G2970" s="29"/>
      <c r="H2970" s="29"/>
      <c r="J2970" s="29"/>
      <c r="K2970" s="29"/>
      <c r="L2970" s="19"/>
      <c r="M2970" s="19"/>
      <c r="N2970" s="30"/>
      <c r="O2970" s="30"/>
      <c r="P2970" s="32"/>
      <c r="Q2970" s="32"/>
      <c r="R2970" s="32"/>
      <c r="S2970" s="32"/>
      <c r="T2970" s="32"/>
      <c r="U2970" s="30"/>
    </row>
    <row r="2971" spans="1:21">
      <c r="A2971" s="29"/>
      <c r="B2971" s="29"/>
      <c r="C2971" s="29"/>
      <c r="D2971" s="29"/>
      <c r="E2971" s="29"/>
      <c r="F2971" s="29"/>
      <c r="G2971" s="29"/>
      <c r="H2971" s="29"/>
      <c r="J2971" s="29"/>
      <c r="K2971" s="29"/>
      <c r="L2971" s="19"/>
      <c r="M2971" s="19"/>
      <c r="N2971" s="30"/>
      <c r="O2971" s="30"/>
      <c r="P2971" s="32"/>
      <c r="Q2971" s="32"/>
      <c r="R2971" s="32"/>
      <c r="S2971" s="32"/>
      <c r="T2971" s="32"/>
      <c r="U2971" s="30"/>
    </row>
    <row r="2972" spans="1:21">
      <c r="A2972" s="29"/>
      <c r="B2972" s="29"/>
      <c r="C2972" s="29"/>
      <c r="D2972" s="29"/>
      <c r="E2972" s="29"/>
      <c r="F2972" s="29"/>
      <c r="G2972" s="29"/>
      <c r="H2972" s="29"/>
      <c r="J2972" s="29"/>
      <c r="K2972" s="29"/>
      <c r="L2972" s="19"/>
      <c r="M2972" s="19"/>
      <c r="N2972" s="30"/>
      <c r="O2972" s="30"/>
      <c r="P2972" s="32"/>
      <c r="Q2972" s="32"/>
      <c r="R2972" s="32"/>
      <c r="S2972" s="32"/>
      <c r="T2972" s="32"/>
      <c r="U2972" s="30"/>
    </row>
    <row r="2973" spans="1:21">
      <c r="A2973" s="29"/>
      <c r="B2973" s="29"/>
      <c r="C2973" s="29"/>
      <c r="D2973" s="29"/>
      <c r="E2973" s="29"/>
      <c r="F2973" s="29"/>
      <c r="G2973" s="29"/>
      <c r="H2973" s="29"/>
      <c r="J2973" s="29"/>
      <c r="K2973" s="29"/>
      <c r="L2973" s="19"/>
      <c r="M2973" s="19"/>
      <c r="N2973" s="30"/>
      <c r="O2973" s="30"/>
      <c r="P2973" s="32"/>
      <c r="Q2973" s="32"/>
      <c r="R2973" s="32"/>
      <c r="S2973" s="32"/>
      <c r="T2973" s="32"/>
      <c r="U2973" s="30"/>
    </row>
    <row r="2974" spans="1:21">
      <c r="A2974" s="29"/>
      <c r="B2974" s="29"/>
      <c r="C2974" s="29"/>
      <c r="D2974" s="29"/>
      <c r="E2974" s="29"/>
      <c r="F2974" s="29"/>
      <c r="G2974" s="29"/>
      <c r="H2974" s="29"/>
      <c r="J2974" s="29"/>
      <c r="K2974" s="29"/>
      <c r="L2974" s="19"/>
      <c r="M2974" s="19"/>
      <c r="N2974" s="30"/>
      <c r="O2974" s="30"/>
      <c r="P2974" s="32"/>
      <c r="Q2974" s="32"/>
      <c r="R2974" s="32"/>
      <c r="S2974" s="32"/>
      <c r="T2974" s="32"/>
      <c r="U2974" s="30"/>
    </row>
    <row r="2975" spans="1:21">
      <c r="A2975" s="29"/>
      <c r="B2975" s="29"/>
      <c r="C2975" s="29"/>
      <c r="D2975" s="29"/>
      <c r="E2975" s="29"/>
      <c r="F2975" s="29"/>
      <c r="G2975" s="29"/>
      <c r="H2975" s="29"/>
      <c r="J2975" s="29"/>
      <c r="K2975" s="29"/>
      <c r="L2975" s="19"/>
      <c r="M2975" s="19"/>
      <c r="N2975" s="30"/>
      <c r="O2975" s="30"/>
      <c r="P2975" s="32"/>
      <c r="Q2975" s="32"/>
      <c r="R2975" s="32"/>
      <c r="S2975" s="32"/>
      <c r="T2975" s="32"/>
      <c r="U2975" s="30"/>
    </row>
    <row r="2976" spans="1:21">
      <c r="A2976" s="29"/>
      <c r="B2976" s="29"/>
      <c r="C2976" s="29"/>
      <c r="D2976" s="29"/>
      <c r="E2976" s="29"/>
      <c r="F2976" s="29"/>
      <c r="G2976" s="29"/>
      <c r="H2976" s="29"/>
      <c r="J2976" s="29"/>
      <c r="K2976" s="29"/>
      <c r="L2976" s="19"/>
      <c r="M2976" s="19"/>
      <c r="N2976" s="30"/>
      <c r="O2976" s="30"/>
      <c r="P2976" s="32"/>
      <c r="Q2976" s="32"/>
      <c r="R2976" s="32"/>
      <c r="S2976" s="32"/>
      <c r="T2976" s="32"/>
      <c r="U2976" s="30"/>
    </row>
    <row r="2977" spans="1:21">
      <c r="A2977" s="29"/>
      <c r="B2977" s="29"/>
      <c r="C2977" s="29"/>
      <c r="D2977" s="29"/>
      <c r="E2977" s="29"/>
      <c r="F2977" s="29"/>
      <c r="G2977" s="29"/>
      <c r="H2977" s="29"/>
      <c r="J2977" s="29"/>
      <c r="K2977" s="29"/>
      <c r="L2977" s="19"/>
      <c r="M2977" s="19"/>
      <c r="N2977" s="30"/>
      <c r="O2977" s="30"/>
      <c r="P2977" s="32"/>
      <c r="Q2977" s="32"/>
      <c r="R2977" s="32"/>
      <c r="S2977" s="32"/>
      <c r="T2977" s="32"/>
      <c r="U2977" s="30"/>
    </row>
    <row r="2978" spans="1:21">
      <c r="A2978" s="29"/>
      <c r="B2978" s="29"/>
      <c r="C2978" s="29"/>
      <c r="D2978" s="29"/>
      <c r="E2978" s="29"/>
      <c r="F2978" s="29"/>
      <c r="G2978" s="29"/>
      <c r="H2978" s="29"/>
      <c r="J2978" s="29"/>
      <c r="K2978" s="29"/>
      <c r="L2978" s="19"/>
      <c r="M2978" s="19"/>
      <c r="N2978" s="30"/>
      <c r="O2978" s="30"/>
      <c r="P2978" s="32"/>
      <c r="Q2978" s="32"/>
      <c r="R2978" s="32"/>
      <c r="S2978" s="32"/>
      <c r="T2978" s="32"/>
      <c r="U2978" s="30"/>
    </row>
    <row r="2979" spans="1:21">
      <c r="A2979" s="29"/>
      <c r="B2979" s="29"/>
      <c r="C2979" s="29"/>
      <c r="D2979" s="29"/>
      <c r="E2979" s="29"/>
      <c r="F2979" s="29"/>
      <c r="G2979" s="29"/>
      <c r="H2979" s="29"/>
      <c r="J2979" s="29"/>
      <c r="K2979" s="29"/>
      <c r="L2979" s="19"/>
      <c r="M2979" s="19"/>
      <c r="N2979" s="30"/>
      <c r="O2979" s="30"/>
      <c r="P2979" s="32"/>
      <c r="Q2979" s="32"/>
      <c r="R2979" s="32"/>
      <c r="S2979" s="32"/>
      <c r="T2979" s="32"/>
      <c r="U2979" s="30"/>
    </row>
    <row r="2980" spans="1:21">
      <c r="A2980" s="29"/>
      <c r="B2980" s="29"/>
      <c r="C2980" s="29"/>
      <c r="D2980" s="29"/>
      <c r="E2980" s="29"/>
      <c r="F2980" s="29"/>
      <c r="G2980" s="29"/>
      <c r="H2980" s="29"/>
      <c r="J2980" s="29"/>
      <c r="K2980" s="29"/>
      <c r="L2980" s="19"/>
      <c r="M2980" s="19"/>
      <c r="N2980" s="30"/>
      <c r="O2980" s="30"/>
      <c r="P2980" s="32"/>
      <c r="Q2980" s="32"/>
      <c r="R2980" s="32"/>
      <c r="S2980" s="32"/>
      <c r="T2980" s="32"/>
      <c r="U2980" s="30"/>
    </row>
    <row r="2981" spans="1:21">
      <c r="A2981" s="29"/>
      <c r="B2981" s="29"/>
      <c r="C2981" s="29"/>
      <c r="D2981" s="29"/>
      <c r="E2981" s="29"/>
      <c r="F2981" s="29"/>
      <c r="G2981" s="29"/>
      <c r="H2981" s="29"/>
      <c r="J2981" s="29"/>
      <c r="K2981" s="29"/>
      <c r="L2981" s="19"/>
      <c r="M2981" s="19"/>
      <c r="N2981" s="30"/>
      <c r="O2981" s="30"/>
      <c r="P2981" s="32"/>
      <c r="Q2981" s="32"/>
      <c r="R2981" s="32"/>
      <c r="S2981" s="32"/>
      <c r="T2981" s="32"/>
      <c r="U2981" s="30"/>
    </row>
    <row r="2982" spans="1:21">
      <c r="A2982" s="29"/>
      <c r="B2982" s="29"/>
      <c r="C2982" s="29"/>
      <c r="D2982" s="29"/>
      <c r="E2982" s="29"/>
      <c r="F2982" s="29"/>
      <c r="G2982" s="29"/>
      <c r="H2982" s="29"/>
      <c r="J2982" s="29"/>
      <c r="K2982" s="29"/>
      <c r="L2982" s="19"/>
      <c r="M2982" s="19"/>
      <c r="N2982" s="30"/>
      <c r="O2982" s="30"/>
      <c r="P2982" s="32"/>
      <c r="Q2982" s="32"/>
      <c r="R2982" s="32"/>
      <c r="S2982" s="32"/>
      <c r="T2982" s="32"/>
      <c r="U2982" s="30"/>
    </row>
    <row r="2983" spans="1:21">
      <c r="A2983" s="29"/>
      <c r="B2983" s="29"/>
      <c r="C2983" s="29"/>
      <c r="D2983" s="29"/>
      <c r="E2983" s="29"/>
      <c r="F2983" s="29"/>
      <c r="G2983" s="29"/>
      <c r="H2983" s="29"/>
      <c r="J2983" s="29"/>
      <c r="K2983" s="29"/>
      <c r="L2983" s="19"/>
      <c r="M2983" s="19"/>
      <c r="N2983" s="30"/>
      <c r="O2983" s="30"/>
      <c r="P2983" s="32"/>
      <c r="Q2983" s="32"/>
      <c r="R2983" s="32"/>
      <c r="S2983" s="32"/>
      <c r="T2983" s="32"/>
      <c r="U2983" s="30"/>
    </row>
    <row r="2984" spans="1:21">
      <c r="A2984" s="29"/>
      <c r="B2984" s="29"/>
      <c r="C2984" s="29"/>
      <c r="D2984" s="29"/>
      <c r="E2984" s="29"/>
      <c r="F2984" s="29"/>
      <c r="G2984" s="29"/>
      <c r="H2984" s="29"/>
      <c r="J2984" s="29"/>
      <c r="K2984" s="29"/>
      <c r="L2984" s="19"/>
      <c r="M2984" s="19"/>
      <c r="N2984" s="30"/>
      <c r="O2984" s="30"/>
      <c r="P2984" s="32"/>
      <c r="Q2984" s="32"/>
      <c r="R2984" s="32"/>
      <c r="S2984" s="32"/>
      <c r="T2984" s="32"/>
      <c r="U2984" s="30"/>
    </row>
    <row r="2985" spans="1:21">
      <c r="A2985" s="29"/>
      <c r="B2985" s="29"/>
      <c r="C2985" s="29"/>
      <c r="D2985" s="29"/>
      <c r="E2985" s="29"/>
      <c r="F2985" s="29"/>
      <c r="G2985" s="29"/>
      <c r="H2985" s="29"/>
      <c r="J2985" s="29"/>
      <c r="K2985" s="29"/>
      <c r="L2985" s="19"/>
      <c r="M2985" s="19"/>
      <c r="N2985" s="30"/>
      <c r="O2985" s="30"/>
      <c r="P2985" s="32"/>
      <c r="Q2985" s="32"/>
      <c r="R2985" s="32"/>
      <c r="S2985" s="32"/>
      <c r="T2985" s="32"/>
      <c r="U2985" s="30"/>
    </row>
    <row r="2986" spans="1:21">
      <c r="A2986" s="29"/>
      <c r="B2986" s="29"/>
      <c r="C2986" s="29"/>
      <c r="D2986" s="29"/>
      <c r="E2986" s="29"/>
      <c r="F2986" s="29"/>
      <c r="G2986" s="29"/>
      <c r="H2986" s="29"/>
      <c r="J2986" s="29"/>
      <c r="K2986" s="29"/>
      <c r="L2986" s="19"/>
      <c r="M2986" s="19"/>
      <c r="N2986" s="30"/>
      <c r="O2986" s="30"/>
      <c r="P2986" s="32"/>
      <c r="Q2986" s="32"/>
      <c r="R2986" s="32"/>
      <c r="S2986" s="32"/>
      <c r="T2986" s="32"/>
      <c r="U2986" s="30"/>
    </row>
    <row r="2987" spans="1:21">
      <c r="A2987" s="29"/>
      <c r="B2987" s="29"/>
      <c r="C2987" s="29"/>
      <c r="D2987" s="29"/>
      <c r="E2987" s="29"/>
      <c r="F2987" s="29"/>
      <c r="G2987" s="29"/>
      <c r="H2987" s="29"/>
      <c r="J2987" s="29"/>
      <c r="K2987" s="29"/>
      <c r="L2987" s="19"/>
      <c r="M2987" s="19"/>
      <c r="N2987" s="30"/>
      <c r="O2987" s="30"/>
      <c r="P2987" s="32"/>
      <c r="Q2987" s="32"/>
      <c r="R2987" s="32"/>
      <c r="S2987" s="32"/>
      <c r="T2987" s="32"/>
      <c r="U2987" s="30"/>
    </row>
    <row r="2988" spans="1:21">
      <c r="A2988" s="29"/>
      <c r="B2988" s="29"/>
      <c r="C2988" s="29"/>
      <c r="D2988" s="29"/>
      <c r="E2988" s="29"/>
      <c r="F2988" s="29"/>
      <c r="G2988" s="29"/>
      <c r="H2988" s="29"/>
      <c r="J2988" s="29"/>
      <c r="K2988" s="29"/>
      <c r="L2988" s="19"/>
      <c r="M2988" s="19"/>
      <c r="N2988" s="30"/>
      <c r="O2988" s="30"/>
      <c r="P2988" s="32"/>
      <c r="Q2988" s="32"/>
      <c r="R2988" s="32"/>
      <c r="S2988" s="32"/>
      <c r="T2988" s="32"/>
      <c r="U2988" s="30"/>
    </row>
    <row r="2989" spans="1:21">
      <c r="A2989" s="29"/>
      <c r="B2989" s="29"/>
      <c r="C2989" s="29"/>
      <c r="D2989" s="29"/>
      <c r="E2989" s="29"/>
      <c r="F2989" s="29"/>
      <c r="G2989" s="29"/>
      <c r="H2989" s="29"/>
      <c r="J2989" s="29"/>
      <c r="K2989" s="29"/>
      <c r="L2989" s="19"/>
      <c r="M2989" s="19"/>
      <c r="N2989" s="30"/>
      <c r="O2989" s="30"/>
      <c r="P2989" s="32"/>
      <c r="Q2989" s="32"/>
      <c r="R2989" s="32"/>
      <c r="S2989" s="32"/>
      <c r="T2989" s="32"/>
      <c r="U2989" s="30"/>
    </row>
    <row r="2990" spans="1:21">
      <c r="A2990" s="29"/>
      <c r="B2990" s="29"/>
      <c r="C2990" s="29"/>
      <c r="D2990" s="29"/>
      <c r="E2990" s="29"/>
      <c r="F2990" s="29"/>
      <c r="G2990" s="29"/>
      <c r="H2990" s="29"/>
      <c r="J2990" s="29"/>
      <c r="K2990" s="29"/>
      <c r="L2990" s="19"/>
      <c r="M2990" s="19"/>
      <c r="N2990" s="30"/>
      <c r="O2990" s="30"/>
      <c r="P2990" s="32"/>
      <c r="Q2990" s="32"/>
      <c r="R2990" s="32"/>
      <c r="S2990" s="32"/>
      <c r="T2990" s="32"/>
      <c r="U2990" s="30"/>
    </row>
    <row r="2991" spans="1:21">
      <c r="A2991" s="29"/>
      <c r="B2991" s="29"/>
      <c r="C2991" s="29"/>
      <c r="D2991" s="29"/>
      <c r="E2991" s="29"/>
      <c r="F2991" s="29"/>
      <c r="G2991" s="29"/>
      <c r="H2991" s="29"/>
      <c r="J2991" s="29"/>
      <c r="K2991" s="29"/>
      <c r="L2991" s="19"/>
      <c r="M2991" s="19"/>
      <c r="N2991" s="30"/>
      <c r="O2991" s="30"/>
      <c r="P2991" s="32"/>
      <c r="Q2991" s="32"/>
      <c r="R2991" s="32"/>
      <c r="S2991" s="32"/>
      <c r="T2991" s="32"/>
      <c r="U2991" s="30"/>
    </row>
    <row r="2992" spans="1:21">
      <c r="A2992" s="29"/>
      <c r="B2992" s="29"/>
      <c r="C2992" s="29"/>
      <c r="D2992" s="29"/>
      <c r="E2992" s="29"/>
      <c r="F2992" s="29"/>
      <c r="G2992" s="29"/>
      <c r="H2992" s="29"/>
      <c r="J2992" s="29"/>
      <c r="K2992" s="29"/>
      <c r="L2992" s="19"/>
      <c r="M2992" s="19"/>
      <c r="N2992" s="30"/>
      <c r="O2992" s="30"/>
      <c r="P2992" s="32"/>
      <c r="Q2992" s="32"/>
      <c r="R2992" s="32"/>
      <c r="S2992" s="32"/>
      <c r="T2992" s="32"/>
      <c r="U2992" s="30"/>
    </row>
    <row r="2993" spans="1:21">
      <c r="A2993" s="29"/>
      <c r="B2993" s="29"/>
      <c r="C2993" s="29"/>
      <c r="D2993" s="29"/>
      <c r="E2993" s="29"/>
      <c r="F2993" s="29"/>
      <c r="G2993" s="29"/>
      <c r="H2993" s="29"/>
      <c r="J2993" s="29"/>
      <c r="K2993" s="29"/>
      <c r="L2993" s="19"/>
      <c r="M2993" s="19"/>
      <c r="N2993" s="30"/>
      <c r="O2993" s="30"/>
      <c r="P2993" s="32"/>
      <c r="Q2993" s="32"/>
      <c r="R2993" s="32"/>
      <c r="S2993" s="32"/>
      <c r="T2993" s="32"/>
      <c r="U2993" s="30"/>
    </row>
    <row r="2994" spans="1:21">
      <c r="A2994" s="29"/>
      <c r="B2994" s="29"/>
      <c r="C2994" s="29"/>
      <c r="D2994" s="29"/>
      <c r="E2994" s="29"/>
      <c r="F2994" s="29"/>
      <c r="G2994" s="29"/>
      <c r="H2994" s="29"/>
      <c r="J2994" s="29"/>
      <c r="K2994" s="29"/>
      <c r="L2994" s="19"/>
      <c r="M2994" s="19"/>
      <c r="N2994" s="30"/>
      <c r="O2994" s="30"/>
      <c r="P2994" s="32"/>
      <c r="Q2994" s="32"/>
      <c r="R2994" s="32"/>
      <c r="S2994" s="32"/>
      <c r="T2994" s="32"/>
      <c r="U2994" s="30"/>
    </row>
    <row r="2995" spans="1:21">
      <c r="A2995" s="29"/>
      <c r="B2995" s="29"/>
      <c r="C2995" s="29"/>
      <c r="D2995" s="29"/>
      <c r="E2995" s="29"/>
      <c r="F2995" s="29"/>
      <c r="G2995" s="29"/>
      <c r="H2995" s="29"/>
      <c r="J2995" s="29"/>
      <c r="K2995" s="29"/>
      <c r="L2995" s="19"/>
      <c r="M2995" s="19"/>
      <c r="N2995" s="30"/>
      <c r="O2995" s="30"/>
      <c r="P2995" s="32"/>
      <c r="Q2995" s="32"/>
      <c r="R2995" s="32"/>
      <c r="S2995" s="32"/>
      <c r="T2995" s="32"/>
      <c r="U2995" s="30"/>
    </row>
    <row r="2996" spans="1:21">
      <c r="A2996" s="29"/>
      <c r="B2996" s="29"/>
      <c r="C2996" s="29"/>
      <c r="D2996" s="29"/>
      <c r="E2996" s="29"/>
      <c r="F2996" s="29"/>
      <c r="G2996" s="29"/>
      <c r="H2996" s="29"/>
      <c r="J2996" s="29"/>
      <c r="K2996" s="29"/>
      <c r="L2996" s="19"/>
      <c r="M2996" s="19"/>
      <c r="N2996" s="30"/>
      <c r="O2996" s="30"/>
      <c r="P2996" s="32"/>
      <c r="Q2996" s="32"/>
      <c r="R2996" s="32"/>
      <c r="S2996" s="32"/>
      <c r="T2996" s="32"/>
      <c r="U2996" s="30"/>
    </row>
    <row r="2997" spans="1:21">
      <c r="A2997" s="29"/>
      <c r="B2997" s="29"/>
      <c r="C2997" s="29"/>
      <c r="D2997" s="29"/>
      <c r="E2997" s="29"/>
      <c r="F2997" s="29"/>
      <c r="G2997" s="29"/>
      <c r="H2997" s="29"/>
      <c r="J2997" s="29"/>
      <c r="K2997" s="29"/>
      <c r="L2997" s="19"/>
      <c r="M2997" s="19"/>
      <c r="N2997" s="30"/>
      <c r="O2997" s="30"/>
      <c r="P2997" s="32"/>
      <c r="Q2997" s="32"/>
      <c r="R2997" s="32"/>
      <c r="S2997" s="32"/>
      <c r="T2997" s="32"/>
      <c r="U2997" s="30"/>
    </row>
    <row r="2998" spans="1:21">
      <c r="A2998" s="29"/>
      <c r="B2998" s="29"/>
      <c r="C2998" s="29"/>
      <c r="D2998" s="29"/>
      <c r="E2998" s="29"/>
      <c r="F2998" s="29"/>
      <c r="G2998" s="29"/>
      <c r="H2998" s="29"/>
      <c r="J2998" s="29"/>
      <c r="K2998" s="29"/>
      <c r="L2998" s="19"/>
      <c r="M2998" s="19"/>
      <c r="N2998" s="30"/>
      <c r="O2998" s="30"/>
      <c r="P2998" s="32"/>
      <c r="Q2998" s="32"/>
      <c r="R2998" s="32"/>
      <c r="S2998" s="32"/>
      <c r="T2998" s="32"/>
      <c r="U2998" s="30"/>
    </row>
    <row r="2999" spans="1:21">
      <c r="A2999" s="29"/>
      <c r="B2999" s="29"/>
      <c r="C2999" s="29"/>
      <c r="D2999" s="29"/>
      <c r="E2999" s="29"/>
      <c r="F2999" s="29"/>
      <c r="G2999" s="29"/>
      <c r="H2999" s="29"/>
      <c r="J2999" s="29"/>
      <c r="K2999" s="29"/>
      <c r="L2999" s="19"/>
      <c r="M2999" s="19"/>
      <c r="N2999" s="30"/>
      <c r="O2999" s="30"/>
      <c r="P2999" s="32"/>
      <c r="Q2999" s="32"/>
      <c r="R2999" s="32"/>
      <c r="S2999" s="32"/>
      <c r="T2999" s="32"/>
      <c r="U2999" s="30"/>
    </row>
  </sheetData>
  <autoFilter ref="A9:U186" xr:uid="{40A4B7A3-F207-4AF4-8579-95FFC9A7072F}"/>
  <dataConsolidate/>
  <mergeCells count="1">
    <mergeCell ref="B2:C2"/>
  </mergeCells>
  <conditionalFormatting sqref="A10:U2999">
    <cfRule type="expression" dxfId="16" priority="1">
      <formula>($B10&lt;&gt;$B11)</formula>
    </cfRule>
    <cfRule type="expression" dxfId="15" priority="2">
      <formula>($B10&lt;&gt;"")</formula>
    </cfRule>
  </conditionalFormatting>
  <conditionalFormatting sqref="G10:G2999">
    <cfRule type="cellIs" dxfId="14" priority="216" operator="equal">
      <formula>"Fulfilled"</formula>
    </cfRule>
    <cfRule type="cellIs" dxfId="13" priority="217" operator="equal">
      <formula>"Not verified"</formula>
    </cfRule>
    <cfRule type="cellIs" dxfId="12" priority="218" operator="equal">
      <formula>"Fullfilled"</formula>
    </cfRule>
    <cfRule type="cellIs" dxfId="11" priority="219" operator="equal">
      <formula>"N/A"</formula>
    </cfRule>
    <cfRule type="cellIs" dxfId="10" priority="220" operator="equal">
      <formula>"Open"</formula>
    </cfRule>
  </conditionalFormatting>
  <conditionalFormatting sqref="P8:T8">
    <cfRule type="dataBar" priority="7">
      <dataBar showValue="0">
        <cfvo type="min"/>
        <cfvo type="max"/>
        <color rgb="FF63C384"/>
      </dataBar>
      <extLst>
        <ext xmlns:x14="http://schemas.microsoft.com/office/spreadsheetml/2009/9/main" uri="{B025F937-C7B1-47D3-B67F-A62EFF666E3E}">
          <x14:id>{9539AB88-4F2A-4CB7-BCCB-E840D31820E2}</x14:id>
        </ext>
      </extLst>
    </cfRule>
  </conditionalFormatting>
  <hyperlinks>
    <hyperlink ref="L645" r:id="rId1" tooltip="https://learn.microsoft.com/azure/cloud-adoption-framework/ready/landing-zone/design-area/multi-tenant/considerations-recommendations" display="More info" xr:uid="{D33913D3-FCAA-421F-A611-E1C979221EF5}"/>
    <hyperlink ref="L646" r:id="rId2" tooltip="https://learn.microsoft.com/azure/cloud-adoption-framework/ready/landing-zone/design-area/multi-tenant/considerations-recommendations" display="More info" xr:uid="{4F583EFD-C730-4D3B-B8BF-3D8A1323CB9B}"/>
    <hyperlink ref="L647" r:id="rId3" tooltip="https://learn.microsoft.com/azure/cloud-adoption-framework/ready/landing-zone/design-area/multi-tenant/considerations-recommendations" display="More info" xr:uid="{C397EDC8-3A92-43FB-906B-7430F664837A}"/>
    <hyperlink ref="L648" r:id="rId4" tooltip="https://learn.microsoft.com/azure/cloud-adoption-framework/ready/landing-zone/design-area/multi-tenant/considerations-recommendations" display="More info" xr:uid="{0ABC1F35-01E5-4425-A2D3-EAC4AC421592}"/>
    <hyperlink ref="L649" r:id="rId5" tooltip="https://learn.microsoft.com/azure/cloud-adoption-framework/ready/landing-zone/design-area/multi-tenant/considerations-recommendations" display="More info" xr:uid="{3FD2141C-1FB9-429D-8512-F5B39C9F39BF}"/>
    <hyperlink ref="L650" r:id="rId6" tooltip="https://learn.microsoft.com/azure/cloud-adoption-framework/ready/landing-zone/design-area/multi-tenant/considerations-recommendations" display="More info" xr:uid="{6D5295BC-3768-4988-94A0-2085DE0C3A0E}"/>
    <hyperlink ref="L651" r:id="rId7" tooltip="https://learn.microsoft.com/azure/cloud-adoption-framework/ready/landing-zone/design-area/multi-tenant/considerations-recommendations" display="More info" xr:uid="{4174325C-E767-4430-9B49-8DFE3D07DAFD}"/>
    <hyperlink ref="L652" r:id="rId8" tooltip="https://learn.microsoft.com/azure/cloud-adoption-framework/ready/landing-zone/design-area/multi-tenant/considerations-recommendations" display="More info" xr:uid="{3DB25AC2-28EA-40F3-97CD-7CF75F9A1E9F}"/>
    <hyperlink ref="L653" r:id="rId9" tooltip="https://learn.microsoft.com/azure/cloud-adoption-framework/ready/landing-zone/design-area/multi-tenant/considerations-recommendations" display="More info" xr:uid="{995DA565-77C1-44CD-8D8E-BC5148301E23}"/>
    <hyperlink ref="L654" r:id="rId10" tooltip="https://learn.microsoft.com/azure/cloud-adoption-framework/ready/landing-zone/design-area/multi-tenant/considerations-recommendations" display="More info" xr:uid="{DDFB683A-7DF0-424A-BC38-3B523A61187A}"/>
    <hyperlink ref="L655" r:id="rId11" tooltip="https://learn.microsoft.com/azure/cloud-adoption-framework/ready/landing-zone/design-area/multi-tenant/considerations-recommendations" display="More info" xr:uid="{90A77042-066D-480A-9A3B-0E7C48238BD1}"/>
    <hyperlink ref="L656" r:id="rId12" tooltip="https://learn.microsoft.com/azure/cloud-adoption-framework/ready/landing-zone/design-area/multi-tenant/considerations-recommendations" display="More info" xr:uid="{527C9EFC-CD6D-4204-ABF6-5A976CBC2AFD}"/>
    <hyperlink ref="L657" r:id="rId13" tooltip="https://learn.microsoft.com/azure/cloud-adoption-framework/ready/landing-zone/design-area/multi-tenant/considerations-recommendations" display="More info" xr:uid="{7EE3FEA7-BC77-4700-8F0F-120F8982F5B1}"/>
    <hyperlink ref="L658" r:id="rId14" tooltip="https://learn.microsoft.com/azure/cloud-adoption-framework/ready/landing-zone/design-area/multi-tenant/considerations-recommendations" display="More info" xr:uid="{4B6DC4AC-725D-4AD7-9288-89BEB8E05C65}"/>
    <hyperlink ref="L659" r:id="rId15" tooltip="https://learn.microsoft.com/azure/cloud-adoption-framework/ready/landing-zone/design-area/multi-tenant/considerations-recommendations" display="More info" xr:uid="{A68D3629-E8D9-4E04-AEE7-724FC414CAF9}"/>
    <hyperlink ref="L660" r:id="rId16" tooltip="https://learn.microsoft.com/azure/cloud-adoption-framework/ready/landing-zone/design-area/multi-tenant/considerations-recommendations" display="More info" xr:uid="{AA802DE8-79A7-41A8-92BB-40C2397F63F0}"/>
    <hyperlink ref="L661" r:id="rId17" tooltip="https://learn.microsoft.com/azure/cloud-adoption-framework/ready/landing-zone/design-area/multi-tenant/considerations-recommendations" display="More info" xr:uid="{AA2DF750-D2B2-4175-B42B-902063ED7347}"/>
    <hyperlink ref="L662" r:id="rId18" tooltip="https://learn.microsoft.com/azure/cloud-adoption-framework/ready/landing-zone/design-area/multi-tenant/considerations-recommendations" display="More info" xr:uid="{7A462CC9-74C1-46C6-912C-F62967EFDCB2}"/>
    <hyperlink ref="L663" r:id="rId19" tooltip="https://learn.microsoft.com/azure/cloud-adoption-framework/ready/landing-zone/design-area/multi-tenant/considerations-recommendations" display="More info" xr:uid="{A437A27A-64FD-4C64-9A24-CB1CFF1FFD6D}"/>
    <hyperlink ref="L664" r:id="rId20" tooltip="https://learn.microsoft.com/azure/cloud-adoption-framework/ready/landing-zone/design-area/multi-tenant/considerations-recommendations" display="More info" xr:uid="{472B8338-EA0E-4540-82DB-0660BA10398A}"/>
    <hyperlink ref="L665" r:id="rId21" tooltip="https://learn.microsoft.com/azure/cloud-adoption-framework/ready/landing-zone/design-area/multi-tenant/considerations-recommendations" display="More info" xr:uid="{A1B35F1D-3478-4982-A663-E243C5AE7F33}"/>
    <hyperlink ref="L666" r:id="rId22" tooltip="https://learn.microsoft.com/azure/cloud-adoption-framework/ready/landing-zone/design-area/multi-tenant/considerations-recommendations" display="More info" xr:uid="{574138C3-1761-4866-AA9F-7719BC118883}"/>
    <hyperlink ref="L667" r:id="rId23" tooltip="https://learn.microsoft.com/azure/cloud-adoption-framework/ready/landing-zone/design-area/multi-tenant/considerations-recommendations" display="More info" xr:uid="{99867684-A5B6-4C50-A36B-80BE891AB435}"/>
    <hyperlink ref="L668" r:id="rId24" tooltip="https://learn.microsoft.com/azure/cloud-adoption-framework/ready/landing-zone/design-area/multi-tenant/considerations-recommendations" display="More info" xr:uid="{6EED57DE-9EFC-4E15-A82A-3DA6382D1C39}"/>
    <hyperlink ref="L669" r:id="rId25" tooltip="https://learn.microsoft.com/azure/cloud-adoption-framework/ready/landing-zone/design-area/multi-tenant/considerations-recommendations" display="More info" xr:uid="{FC0F8199-97A6-4177-8250-CF6695A6D2F6}"/>
    <hyperlink ref="L670" r:id="rId26" tooltip="https://learn.microsoft.com/azure/cloud-adoption-framework/ready/landing-zone/design-area/multi-tenant/considerations-recommendations" display="More info" xr:uid="{57E0C499-DCA6-4A6F-B8CE-6FFAC916AFA1}"/>
    <hyperlink ref="L671" r:id="rId27" tooltip="https://learn.microsoft.com/azure/cloud-adoption-framework/ready/landing-zone/design-area/multi-tenant/considerations-recommendations" display="More info" xr:uid="{1CF2F6AC-AFF9-4FED-AA03-BEA68811AE8B}"/>
    <hyperlink ref="L672" r:id="rId28" tooltip="https://learn.microsoft.com/azure/cloud-adoption-framework/ready/landing-zone/design-area/multi-tenant/considerations-recommendations" display="More info" xr:uid="{861CD4E6-4E09-4D6D-890D-56048150D88D}"/>
    <hyperlink ref="L673" r:id="rId29" tooltip="https://learn.microsoft.com/azure/cloud-adoption-framework/ready/landing-zone/design-area/multi-tenant/considerations-recommendations" display="More info" xr:uid="{82CD3CB7-5056-4D66-B437-209047058518}"/>
    <hyperlink ref="L674" r:id="rId30" tooltip="https://learn.microsoft.com/azure/cloud-adoption-framework/ready/landing-zone/design-area/multi-tenant/considerations-recommendations" display="More info" xr:uid="{0D2B5D69-A308-4E59-834C-72EB6FF878D7}"/>
    <hyperlink ref="L675" r:id="rId31" tooltip="https://learn.microsoft.com/azure/cloud-adoption-framework/ready/landing-zone/design-area/multi-tenant/considerations-recommendations" display="More info" xr:uid="{0597210A-3EA2-40DF-8DC3-8910501DD32B}"/>
    <hyperlink ref="L676" r:id="rId32" tooltip="https://learn.microsoft.com/azure/cloud-adoption-framework/ready/landing-zone/design-area/multi-tenant/considerations-recommendations" display="More info" xr:uid="{AEED9BDF-20B9-477A-8866-B34BD6B9046C}"/>
    <hyperlink ref="L677" r:id="rId33" tooltip="https://learn.microsoft.com/azure/cloud-adoption-framework/ready/landing-zone/design-area/multi-tenant/considerations-recommendations" display="More info" xr:uid="{B6891AF7-A528-4675-B4A7-CB71DFE8C618}"/>
    <hyperlink ref="L678" r:id="rId34" tooltip="https://learn.microsoft.com/azure/cloud-adoption-framework/ready/landing-zone/design-area/multi-tenant/considerations-recommendations" display="More info" xr:uid="{74C277AA-2455-404D-9EFF-6C613555200D}"/>
    <hyperlink ref="L679" r:id="rId35" tooltip="https://learn.microsoft.com/azure/cloud-adoption-framework/ready/landing-zone/design-area/multi-tenant/considerations-recommendations" display="More info" xr:uid="{0348D2F0-5CF6-4CA3-8B52-C087D458C963}"/>
    <hyperlink ref="L680" r:id="rId36" tooltip="https://learn.microsoft.com/azure/cloud-adoption-framework/ready/landing-zone/design-area/multi-tenant/considerations-recommendations" display="More info" xr:uid="{320016B3-96B9-45D5-9233-56249DB77B38}"/>
    <hyperlink ref="L681" r:id="rId37" tooltip="https://learn.microsoft.com/azure/cloud-adoption-framework/ready/landing-zone/design-area/multi-tenant/considerations-recommendations" display="More info" xr:uid="{E55FE5C1-537E-4F6B-B537-2DBB4D93AC67}"/>
    <hyperlink ref="L682" r:id="rId38" tooltip="https://learn.microsoft.com/azure/cloud-adoption-framework/ready/landing-zone/design-area/multi-tenant/considerations-recommendations" display="More info" xr:uid="{C6CAE65D-CFB7-4307-94B3-FB5F8221F0E5}"/>
    <hyperlink ref="L683" r:id="rId39" tooltip="https://learn.microsoft.com/azure/cloud-adoption-framework/ready/landing-zone/design-area/multi-tenant/considerations-recommendations" display="More info" xr:uid="{DC5BC1A2-360A-458C-B1C7-1643181FC31F}"/>
    <hyperlink ref="L684" r:id="rId40" tooltip="https://learn.microsoft.com/azure/cloud-adoption-framework/ready/landing-zone/design-area/multi-tenant/considerations-recommendations" display="More info" xr:uid="{16D5F2EE-6FB2-413E-8039-31DEDCD6E4E7}"/>
    <hyperlink ref="L685" r:id="rId41" tooltip="https://learn.microsoft.com/azure/cloud-adoption-framework/ready/landing-zone/design-area/multi-tenant/considerations-recommendations" display="More info" xr:uid="{8DA1D81B-F6BF-4863-BC9F-F59F8861C364}"/>
    <hyperlink ref="L686" r:id="rId42" tooltip="https://learn.microsoft.com/azure/cloud-adoption-framework/ready/landing-zone/design-area/multi-tenant/considerations-recommendations" display="More info" xr:uid="{8FCBF16B-EF0E-428A-A788-420CF206382E}"/>
    <hyperlink ref="L687" r:id="rId43" tooltip="https://learn.microsoft.com/azure/cloud-adoption-framework/ready/landing-zone/design-area/multi-tenant/considerations-recommendations" display="More info" xr:uid="{DE11C6BB-0549-4E99-810D-8986CEFBD017}"/>
    <hyperlink ref="L688" r:id="rId44" tooltip="https://learn.microsoft.com/azure/cloud-adoption-framework/ready/landing-zone/design-area/multi-tenant/considerations-recommendations" display="More info" xr:uid="{109FE762-C97E-44AC-B37B-498E08364EB8}"/>
    <hyperlink ref="L689" r:id="rId45" tooltip="https://learn.microsoft.com/azure/cloud-adoption-framework/ready/landing-zone/design-area/multi-tenant/considerations-recommendations" display="More info" xr:uid="{B1D8265B-7296-4474-A590-20564EE652E0}"/>
    <hyperlink ref="L690" r:id="rId46" tooltip="https://learn.microsoft.com/azure/cloud-adoption-framework/ready/landing-zone/design-area/multi-tenant/considerations-recommendations" display="More info" xr:uid="{C38E62E1-1B1D-4B2C-ACF6-CA5558F11FF5}"/>
    <hyperlink ref="L691" r:id="rId47" tooltip="https://learn.microsoft.com/azure/cloud-adoption-framework/ready/landing-zone/design-area/multi-tenant/considerations-recommendations" display="More info" xr:uid="{E0C32300-727B-4D2C-AF4B-6B1CDC1163B5}"/>
    <hyperlink ref="L692" r:id="rId48" tooltip="https://learn.microsoft.com/azure/cloud-adoption-framework/ready/landing-zone/design-area/multi-tenant/considerations-recommendations" display="More info" xr:uid="{D63872D1-8C53-4F8C-B204-BC0E23F0E890}"/>
    <hyperlink ref="L693" r:id="rId49" tooltip="https://learn.microsoft.com/azure/cloud-adoption-framework/ready/landing-zone/design-area/multi-tenant/considerations-recommendations" display="More info" xr:uid="{A28C4AD5-1884-4110-9250-4A8233E4C735}"/>
    <hyperlink ref="L694" r:id="rId50" tooltip="https://learn.microsoft.com/azure/cloud-adoption-framework/ready/landing-zone/design-area/multi-tenant/considerations-recommendations" display="More info" xr:uid="{B542B70C-D76B-42B4-A93E-E5800CE223C2}"/>
    <hyperlink ref="L695" r:id="rId51" tooltip="https://learn.microsoft.com/azure/cloud-adoption-framework/ready/landing-zone/design-area/multi-tenant/considerations-recommendations" display="More info" xr:uid="{DEA1423F-C406-40B5-BC44-F2FEAD537264}"/>
    <hyperlink ref="L696" r:id="rId52" tooltip="https://learn.microsoft.com/azure/cloud-adoption-framework/ready/landing-zone/design-area/multi-tenant/considerations-recommendations" display="More info" xr:uid="{174C52DB-AAED-4D58-AE5D-23C383045D00}"/>
    <hyperlink ref="L697" r:id="rId53" tooltip="https://learn.microsoft.com/azure/cloud-adoption-framework/ready/landing-zone/design-area/multi-tenant/considerations-recommendations" display="More info" xr:uid="{5834E911-0AAD-4733-BF83-8425C587FB71}"/>
    <hyperlink ref="L698" r:id="rId54" tooltip="https://learn.microsoft.com/azure/cloud-adoption-framework/ready/landing-zone/design-area/multi-tenant/considerations-recommendations" display="More info" xr:uid="{26DEAA91-5B21-4755-8F13-883DF972662B}"/>
    <hyperlink ref="L699" r:id="rId55" tooltip="https://learn.microsoft.com/azure/cloud-adoption-framework/ready/landing-zone/design-area/multi-tenant/considerations-recommendations" display="More info" xr:uid="{298D9C96-257A-4609-A68C-490DF205D281}"/>
    <hyperlink ref="L700" r:id="rId56" tooltip="https://learn.microsoft.com/azure/cloud-adoption-framework/ready/landing-zone/design-area/multi-tenant/considerations-recommendations" display="More info" xr:uid="{285E7C80-4094-455D-AB77-2E5615C40674}"/>
    <hyperlink ref="L701" r:id="rId57" tooltip="https://learn.microsoft.com/azure/cloud-adoption-framework/ready/landing-zone/design-area/multi-tenant/considerations-recommendations" display="More info" xr:uid="{74AC5737-1BCA-48F1-B6C9-E3694C461857}"/>
    <hyperlink ref="L702" r:id="rId58" tooltip="https://learn.microsoft.com/azure/cloud-adoption-framework/ready/landing-zone/design-area/multi-tenant/considerations-recommendations" display="More info" xr:uid="{F5B12877-950F-4D40-B4E5-143C75F6EB34}"/>
    <hyperlink ref="L703" r:id="rId59" tooltip="https://learn.microsoft.com/azure/cloud-adoption-framework/ready/landing-zone/design-area/multi-tenant/considerations-recommendations" display="More info" xr:uid="{56F6B5D2-20D1-46AA-8761-526C98042E57}"/>
    <hyperlink ref="L704" r:id="rId60" tooltip="https://learn.microsoft.com/azure/cloud-adoption-framework/ready/landing-zone/design-area/multi-tenant/considerations-recommendations" display="More info" xr:uid="{3A4FC461-FC79-40BC-B910-6542D5D54DC0}"/>
    <hyperlink ref="L705" r:id="rId61" tooltip="https://learn.microsoft.com/azure/cloud-adoption-framework/ready/landing-zone/design-area/multi-tenant/considerations-recommendations" display="More info" xr:uid="{F521F7FF-0E51-457E-B0E4-23751728522B}"/>
    <hyperlink ref="L706" r:id="rId62" tooltip="https://learn.microsoft.com/azure/cloud-adoption-framework/ready/landing-zone/design-area/multi-tenant/considerations-recommendations" display="More info" xr:uid="{4EF0F8D9-768C-4BCE-BC44-E298D1D2BBF5}"/>
    <hyperlink ref="L707" r:id="rId63" tooltip="https://learn.microsoft.com/azure/cloud-adoption-framework/ready/landing-zone/design-area/multi-tenant/considerations-recommendations" display="More info" xr:uid="{B0B3BA9C-3584-49ED-8745-66A1D063E6AF}"/>
    <hyperlink ref="L708" r:id="rId64" tooltip="https://learn.microsoft.com/azure/cloud-adoption-framework/ready/landing-zone/design-area/multi-tenant/considerations-recommendations" display="More info" xr:uid="{F32306C9-9472-436E-8818-9409DF7883BC}"/>
    <hyperlink ref="L709" r:id="rId65" tooltip="https://learn.microsoft.com/azure/cloud-adoption-framework/ready/landing-zone/design-area/multi-tenant/considerations-recommendations" display="More info" xr:uid="{3775D31E-C811-4875-B733-10F7DD132D0E}"/>
    <hyperlink ref="L710" r:id="rId66" tooltip="https://learn.microsoft.com/azure/cloud-adoption-framework/ready/landing-zone/design-area/multi-tenant/considerations-recommendations" display="More info" xr:uid="{A9B45C63-ACD8-46C9-97E1-8FE8A4F7049A}"/>
    <hyperlink ref="L711" r:id="rId67" tooltip="https://learn.microsoft.com/azure/cloud-adoption-framework/ready/landing-zone/design-area/multi-tenant/considerations-recommendations" display="More info" xr:uid="{446C9F3B-5D6E-4905-9AC4-058AC6EE02F0}"/>
    <hyperlink ref="L712" r:id="rId68" tooltip="https://learn.microsoft.com/azure/cloud-adoption-framework/ready/landing-zone/design-area/multi-tenant/considerations-recommendations" display="More info" xr:uid="{E31F2279-5AE6-4C6D-A571-41932EB219DA}"/>
    <hyperlink ref="L713" r:id="rId69" tooltip="https://learn.microsoft.com/azure/cloud-adoption-framework/ready/landing-zone/design-area/multi-tenant/considerations-recommendations" display="More info" xr:uid="{BA52E021-17D2-47C1-B4C3-9FD225E123D3}"/>
    <hyperlink ref="L714" r:id="rId70" tooltip="https://learn.microsoft.com/azure/cloud-adoption-framework/ready/landing-zone/design-area/multi-tenant/considerations-recommendations" display="More info" xr:uid="{BF421B09-843D-4C25-AC43-3365F75415E1}"/>
    <hyperlink ref="L715" r:id="rId71" tooltip="https://learn.microsoft.com/azure/cloud-adoption-framework/ready/landing-zone/design-area/multi-tenant/considerations-recommendations" display="More info" xr:uid="{9E86F42E-F213-4DDC-A895-FF14089C344E}"/>
    <hyperlink ref="L716" r:id="rId72" tooltip="https://learn.microsoft.com/azure/cloud-adoption-framework/ready/landing-zone/design-area/multi-tenant/considerations-recommendations" display="More info" xr:uid="{4015263D-4D4B-4D81-BFF0-E6CCB1465F0B}"/>
    <hyperlink ref="L717" r:id="rId73" tooltip="https://learn.microsoft.com/azure/cloud-adoption-framework/ready/landing-zone/design-area/multi-tenant/considerations-recommendations" display="More info" xr:uid="{8ECD8526-E492-4FDE-8364-0E4632DC959A}"/>
    <hyperlink ref="L718" r:id="rId74" tooltip="https://learn.microsoft.com/azure/cloud-adoption-framework/ready/landing-zone/design-area/multi-tenant/considerations-recommendations" display="More info" xr:uid="{528A20AC-425B-45C2-8EC7-45BD8CC6E60B}"/>
    <hyperlink ref="L719" r:id="rId75" tooltip="https://learn.microsoft.com/azure/cloud-adoption-framework/ready/landing-zone/design-area/multi-tenant/considerations-recommendations" display="More info" xr:uid="{8D194FE4-6BAD-4309-8955-92EE75307F38}"/>
    <hyperlink ref="L720" r:id="rId76" tooltip="https://learn.microsoft.com/azure/cloud-adoption-framework/ready/landing-zone/design-area/multi-tenant/considerations-recommendations" display="More info" xr:uid="{FA472E8E-B3FD-4929-91BA-AF2EF6935B91}"/>
    <hyperlink ref="L721" r:id="rId77" tooltip="https://learn.microsoft.com/azure/cloud-adoption-framework/ready/landing-zone/design-area/multi-tenant/considerations-recommendations" display="More info" xr:uid="{07CE05E2-33E9-4AB4-B7AB-EC71322CC708}"/>
    <hyperlink ref="L722" r:id="rId78" tooltip="https://learn.microsoft.com/azure/cloud-adoption-framework/ready/landing-zone/design-area/multi-tenant/considerations-recommendations" display="More info" xr:uid="{7685E80F-4A0F-4DE9-B2EF-48BF952EAD0C}"/>
    <hyperlink ref="L723" r:id="rId79" tooltip="https://learn.microsoft.com/azure/cloud-adoption-framework/ready/landing-zone/design-area/multi-tenant/considerations-recommendations" display="More info" xr:uid="{9B8F39C0-1D27-489A-9112-915B85E37E45}"/>
    <hyperlink ref="L724" r:id="rId80" tooltip="https://learn.microsoft.com/azure/cloud-adoption-framework/ready/landing-zone/design-area/multi-tenant/considerations-recommendations" display="More info" xr:uid="{A9FA8692-EC67-4F19-8356-0A6E6788753C}"/>
    <hyperlink ref="L725" r:id="rId81" tooltip="https://learn.microsoft.com/azure/cloud-adoption-framework/ready/landing-zone/design-area/multi-tenant/considerations-recommendations" display="More info" xr:uid="{7875DBE3-1A6B-4BC3-B7CB-927AE0305CE6}"/>
    <hyperlink ref="L726" r:id="rId82" tooltip="https://learn.microsoft.com/azure/cloud-adoption-framework/ready/landing-zone/design-area/multi-tenant/considerations-recommendations" display="More info" xr:uid="{47FB747B-FB42-4C38-BD0B-030B90EB72C4}"/>
    <hyperlink ref="L727" r:id="rId83" tooltip="https://learn.microsoft.com/azure/cloud-adoption-framework/ready/landing-zone/design-area/multi-tenant/considerations-recommendations" display="More info" xr:uid="{929EAA37-060C-4C8C-9DE6-385444672981}"/>
    <hyperlink ref="L728" r:id="rId84" tooltip="https://learn.microsoft.com/azure/cloud-adoption-framework/ready/landing-zone/design-area/multi-tenant/considerations-recommendations" display="More info" xr:uid="{36CFCEDF-B770-42F6-BFD6-F3A803A1F8C2}"/>
    <hyperlink ref="L729" r:id="rId85" tooltip="https://learn.microsoft.com/azure/cloud-adoption-framework/ready/landing-zone/design-area/multi-tenant/considerations-recommendations" display="More info" xr:uid="{422B8291-C201-4097-B9CA-68DFF3E9D90F}"/>
    <hyperlink ref="L730" r:id="rId86" tooltip="https://learn.microsoft.com/azure/cloud-adoption-framework/ready/landing-zone/design-area/multi-tenant/considerations-recommendations" display="More info" xr:uid="{AB07B4E8-5E1E-4808-BFE1-5649735C85B0}"/>
    <hyperlink ref="L731" r:id="rId87" tooltip="https://learn.microsoft.com/azure/cloud-adoption-framework/ready/landing-zone/design-area/multi-tenant/considerations-recommendations" display="More info" xr:uid="{A6F30A4D-B8F9-41C2-9D10-5DD9773E114B}"/>
    <hyperlink ref="L732" r:id="rId88" tooltip="https://learn.microsoft.com/azure/cloud-adoption-framework/ready/landing-zone/design-area/multi-tenant/considerations-recommendations" display="More info" xr:uid="{89C43397-8506-407E-B5B4-6B90543A4F8B}"/>
    <hyperlink ref="L733" r:id="rId89" tooltip="https://learn.microsoft.com/azure/cloud-adoption-framework/ready/landing-zone/design-area/multi-tenant/considerations-recommendations" display="More info" xr:uid="{6EDAFC86-9F8D-4D0C-935D-060CC573A445}"/>
    <hyperlink ref="L734" r:id="rId90" tooltip="https://learn.microsoft.com/azure/cloud-adoption-framework/ready/landing-zone/design-area/multi-tenant/considerations-recommendations" display="More info" xr:uid="{81F87D10-D1E2-42BE-BA5B-B0E255F7A9FE}"/>
    <hyperlink ref="L735" r:id="rId91" tooltip="https://learn.microsoft.com/azure/cloud-adoption-framework/ready/landing-zone/design-area/multi-tenant/considerations-recommendations" display="More info" xr:uid="{A145E466-4533-4BAB-B20A-7B4E2ADDBA24}"/>
    <hyperlink ref="L736" r:id="rId92" tooltip="https://learn.microsoft.com/azure/cloud-adoption-framework/ready/landing-zone/design-area/multi-tenant/considerations-recommendations" display="More info" xr:uid="{CBA6E5E3-5465-4330-B868-D4E9CD202BD9}"/>
    <hyperlink ref="L737" r:id="rId93" tooltip="https://learn.microsoft.com/azure/cloud-adoption-framework/ready/landing-zone/design-area/multi-tenant/considerations-recommendations" display="More info" xr:uid="{66DB2053-D070-4D20-A281-26449F7337A2}"/>
    <hyperlink ref="L738" r:id="rId94" tooltip="https://learn.microsoft.com/azure/cloud-adoption-framework/ready/landing-zone/design-area/multi-tenant/considerations-recommendations" display="More info" xr:uid="{DCCEDC4E-1E8B-47B7-9110-127AE1A67F87}"/>
    <hyperlink ref="L739" r:id="rId95" tooltip="https://learn.microsoft.com/azure/cloud-adoption-framework/ready/landing-zone/design-area/multi-tenant/considerations-recommendations" display="More info" xr:uid="{70A2A46C-A497-47FA-BC8E-5DBF1435A63C}"/>
    <hyperlink ref="L740" r:id="rId96" tooltip="https://learn.microsoft.com/azure/cloud-adoption-framework/ready/landing-zone/design-area/multi-tenant/considerations-recommendations" display="More info" xr:uid="{5C192255-154C-45A1-A7A8-2F1567D3E5AB}"/>
    <hyperlink ref="L741" r:id="rId97" tooltip="https://learn.microsoft.com/azure/cloud-adoption-framework/ready/landing-zone/design-area/multi-tenant/considerations-recommendations" display="More info" xr:uid="{97F2FE6E-40F7-4917-BF57-56781E8A1C98}"/>
    <hyperlink ref="L742" r:id="rId98" tooltip="https://learn.microsoft.com/azure/cloud-adoption-framework/ready/landing-zone/design-area/multi-tenant/considerations-recommendations" display="More info" xr:uid="{6C6ABFD2-0D2B-4335-AA18-6493329881A5}"/>
    <hyperlink ref="L743" r:id="rId99" tooltip="https://learn.microsoft.com/azure/cloud-adoption-framework/ready/landing-zone/design-area/multi-tenant/considerations-recommendations" display="More info" xr:uid="{F565392C-5342-4ABE-B36D-2D205EF0BA6B}"/>
    <hyperlink ref="L744" r:id="rId100" tooltip="https://learn.microsoft.com/azure/cloud-adoption-framework/ready/landing-zone/design-area/multi-tenant/considerations-recommendations" display="More info" xr:uid="{F0F1ADBF-58EF-4CA1-A1E2-53B3971F937E}"/>
    <hyperlink ref="L745" r:id="rId101" tooltip="https://learn.microsoft.com/azure/cloud-adoption-framework/ready/landing-zone/design-area/multi-tenant/considerations-recommendations" display="More info" xr:uid="{8BDF03F7-CCCC-4772-BAA2-2B75A2A60696}"/>
    <hyperlink ref="L746" r:id="rId102" tooltip="https://learn.microsoft.com/azure/cloud-adoption-framework/ready/landing-zone/design-area/multi-tenant/considerations-recommendations" display="More info" xr:uid="{C1F41A4E-9FCE-460C-A619-D2F82D9E7C00}"/>
    <hyperlink ref="L747" r:id="rId103" tooltip="https://learn.microsoft.com/azure/cloud-adoption-framework/ready/landing-zone/design-area/multi-tenant/considerations-recommendations" display="More info" xr:uid="{2623F924-9CDB-49F7-B9D7-DD0620D290B7}"/>
    <hyperlink ref="L748" r:id="rId104" tooltip="https://learn.microsoft.com/azure/cloud-adoption-framework/ready/landing-zone/design-area/multi-tenant/considerations-recommendations" display="More info" xr:uid="{1E7BD018-4BBD-41F2-A818-176566597D07}"/>
    <hyperlink ref="L749" r:id="rId105" tooltip="https://learn.microsoft.com/azure/cloud-adoption-framework/ready/landing-zone/design-area/multi-tenant/considerations-recommendations" display="More info" xr:uid="{2AE89739-3475-4151-B743-BFE599F69D4B}"/>
    <hyperlink ref="L750" r:id="rId106" tooltip="https://learn.microsoft.com/azure/cloud-adoption-framework/ready/landing-zone/design-area/multi-tenant/considerations-recommendations" display="More info" xr:uid="{F38B02B9-D113-4D17-B1F6-91D2A42C3E44}"/>
    <hyperlink ref="L751" r:id="rId107" tooltip="https://learn.microsoft.com/azure/cloud-adoption-framework/ready/landing-zone/design-area/multi-tenant/considerations-recommendations" display="More info" xr:uid="{681808D1-22BA-4709-9EA6-07C9436E945D}"/>
    <hyperlink ref="L752" r:id="rId108" tooltip="https://learn.microsoft.com/azure/cloud-adoption-framework/ready/landing-zone/design-area/multi-tenant/considerations-recommendations" display="More info" xr:uid="{3D0B3872-8D2E-47A0-A7A3-9591CA03AB49}"/>
    <hyperlink ref="L753" r:id="rId109" tooltip="https://learn.microsoft.com/azure/cloud-adoption-framework/ready/landing-zone/design-area/multi-tenant/considerations-recommendations" display="More info" xr:uid="{34A30272-0673-47F4-B9C6-238833700CFB}"/>
    <hyperlink ref="L754" r:id="rId110" tooltip="https://learn.microsoft.com/azure/cloud-adoption-framework/ready/landing-zone/design-area/multi-tenant/considerations-recommendations" display="More info" xr:uid="{8D488577-F86E-40C3-B6CD-684C685236EC}"/>
    <hyperlink ref="L755" r:id="rId111" tooltip="https://learn.microsoft.com/azure/cloud-adoption-framework/ready/landing-zone/design-area/multi-tenant/considerations-recommendations" display="More info" xr:uid="{71582712-5B53-4EE6-8A19-6FBD028C8E7C}"/>
    <hyperlink ref="L756" r:id="rId112" tooltip="https://learn.microsoft.com/azure/cloud-adoption-framework/ready/landing-zone/design-area/multi-tenant/considerations-recommendations" display="More info" xr:uid="{7C8D64F6-405B-4BBB-BC68-D47D309276E6}"/>
    <hyperlink ref="L757" r:id="rId113" tooltip="https://learn.microsoft.com/azure/cloud-adoption-framework/ready/landing-zone/design-area/multi-tenant/considerations-recommendations" display="More info" xr:uid="{7D3FA312-2B52-4F98-BE4D-39393C06C6FF}"/>
    <hyperlink ref="L758" r:id="rId114" tooltip="https://learn.microsoft.com/azure/cloud-adoption-framework/ready/landing-zone/design-area/multi-tenant/considerations-recommendations" display="More info" xr:uid="{54B9EE62-F2C5-4FBF-9E4D-632FCD20751D}"/>
    <hyperlink ref="L759" r:id="rId115" tooltip="https://learn.microsoft.com/azure/cloud-adoption-framework/ready/landing-zone/design-area/multi-tenant/considerations-recommendations" display="More info" xr:uid="{BB44BE18-5D16-4CFD-AFFE-0F280F219232}"/>
    <hyperlink ref="L760" r:id="rId116" tooltip="https://learn.microsoft.com/azure/cloud-adoption-framework/ready/landing-zone/design-area/multi-tenant/considerations-recommendations" display="More info" xr:uid="{C5D5B827-A23A-4E0E-BAFC-69F28CF5D6C8}"/>
    <hyperlink ref="L761" r:id="rId117" tooltip="https://learn.microsoft.com/azure/cloud-adoption-framework/ready/landing-zone/design-area/multi-tenant/considerations-recommendations" display="More info" xr:uid="{B7E9AFD0-37AD-47BF-8A05-41704E982AA8}"/>
    <hyperlink ref="L762" r:id="rId118" tooltip="https://learn.microsoft.com/azure/cloud-adoption-framework/ready/landing-zone/design-area/multi-tenant/considerations-recommendations" display="More info" xr:uid="{82CE7E35-58A0-4E4E-A5DF-611263D1C619}"/>
    <hyperlink ref="L763" r:id="rId119" tooltip="https://learn.microsoft.com/azure/cloud-adoption-framework/ready/landing-zone/design-area/multi-tenant/considerations-recommendations" display="More info" xr:uid="{7EF2037D-DEE1-41E4-AB0C-ECCE907AF2E0}"/>
    <hyperlink ref="L764" r:id="rId120" tooltip="https://learn.microsoft.com/azure/cloud-adoption-framework/ready/landing-zone/design-area/multi-tenant/considerations-recommendations" display="More info" xr:uid="{016E4707-CD95-4EE0-A2CD-A4BB101F2045}"/>
    <hyperlink ref="L765" r:id="rId121" tooltip="https://learn.microsoft.com/azure/cloud-adoption-framework/ready/landing-zone/design-area/multi-tenant/considerations-recommendations" display="More info" xr:uid="{1473088C-FF14-403D-A041-83CA0DA4789D}"/>
    <hyperlink ref="L766" r:id="rId122" tooltip="https://learn.microsoft.com/azure/cloud-adoption-framework/ready/landing-zone/design-area/multi-tenant/considerations-recommendations" display="More info" xr:uid="{FA834536-2D76-4484-A26E-284F7353FF74}"/>
    <hyperlink ref="L767" r:id="rId123" tooltip="https://learn.microsoft.com/azure/cloud-adoption-framework/ready/landing-zone/design-area/multi-tenant/considerations-recommendations" display="More info" xr:uid="{39226803-2754-4E7F-A6ED-CAFF55200749}"/>
    <hyperlink ref="L768" r:id="rId124" tooltip="https://learn.microsoft.com/azure/cloud-adoption-framework/ready/landing-zone/design-area/multi-tenant/considerations-recommendations" display="More info" xr:uid="{2052D58F-60AC-4336-BF93-5A6E7BC0641B}"/>
    <hyperlink ref="L769" r:id="rId125" tooltip="https://learn.microsoft.com/azure/cloud-adoption-framework/ready/landing-zone/design-area/multi-tenant/considerations-recommendations" display="More info" xr:uid="{55DAEB7B-415D-41FB-A92B-081A06ABCDD7}"/>
    <hyperlink ref="L770" r:id="rId126" tooltip="https://learn.microsoft.com/azure/cloud-adoption-framework/ready/landing-zone/design-area/multi-tenant/considerations-recommendations" display="More info" xr:uid="{3C4E00B6-4EE8-41AE-8B84-05C558B05608}"/>
    <hyperlink ref="L771" r:id="rId127" tooltip="https://learn.microsoft.com/azure/cloud-adoption-framework/ready/landing-zone/design-area/multi-tenant/considerations-recommendations" display="More info" xr:uid="{BFD10DF4-A162-4E5E-903E-F2707AF0C968}"/>
    <hyperlink ref="L772" r:id="rId128" tooltip="https://learn.microsoft.com/azure/cloud-adoption-framework/ready/landing-zone/design-area/multi-tenant/considerations-recommendations" display="More info" xr:uid="{AC6320C6-8344-468A-8CBE-7055F5F77CE7}"/>
    <hyperlink ref="L773" r:id="rId129" tooltip="https://learn.microsoft.com/azure/cloud-adoption-framework/ready/landing-zone/design-area/multi-tenant/considerations-recommendations" display="More info" xr:uid="{8F9419FF-1129-4D00-B793-810350967093}"/>
    <hyperlink ref="L774" r:id="rId130" tooltip="https://learn.microsoft.com/azure/cloud-adoption-framework/ready/landing-zone/design-area/multi-tenant/considerations-recommendations" display="More info" xr:uid="{1F646549-8D6E-4534-94BE-8D9F9DDD7B6C}"/>
    <hyperlink ref="L775" r:id="rId131" tooltip="https://learn.microsoft.com/azure/cloud-adoption-framework/ready/landing-zone/design-area/multi-tenant/considerations-recommendations" display="More info" xr:uid="{FD2969B8-1ED4-4A3D-AB6B-C0E2E074FAB3}"/>
    <hyperlink ref="L776" r:id="rId132" tooltip="https://learn.microsoft.com/azure/cloud-adoption-framework/ready/landing-zone/design-area/multi-tenant/considerations-recommendations" display="More info" xr:uid="{11AF25DC-633B-4F41-AF37-9C8AE5F8A2A9}"/>
    <hyperlink ref="L777" r:id="rId133" tooltip="https://learn.microsoft.com/azure/cloud-adoption-framework/ready/landing-zone/design-area/multi-tenant/considerations-recommendations" display="More info" xr:uid="{78A54F69-F6F6-4FF7-9B66-B16F5A56DFBC}"/>
    <hyperlink ref="L778" r:id="rId134" tooltip="https://learn.microsoft.com/azure/cloud-adoption-framework/ready/landing-zone/design-area/multi-tenant/considerations-recommendations" display="More info" xr:uid="{89D03A52-4A15-4481-B59C-46B3AD26C227}"/>
    <hyperlink ref="L779" r:id="rId135" tooltip="https://learn.microsoft.com/azure/cloud-adoption-framework/ready/landing-zone/design-area/multi-tenant/considerations-recommendations" display="More info" xr:uid="{13B12950-6B17-45D4-B0A1-C4165F6C8937}"/>
    <hyperlink ref="L780" r:id="rId136" tooltip="https://learn.microsoft.com/azure/cloud-adoption-framework/ready/landing-zone/design-area/multi-tenant/considerations-recommendations" display="More info" xr:uid="{FD8926FC-BF5E-4351-B029-E7F91AB9F5DB}"/>
    <hyperlink ref="L781" r:id="rId137" tooltip="https://learn.microsoft.com/azure/cloud-adoption-framework/ready/landing-zone/design-area/multi-tenant/considerations-recommendations" display="More info" xr:uid="{6A794345-5C07-4634-A8EA-9687C8C1D298}"/>
    <hyperlink ref="L782" r:id="rId138" tooltip="https://learn.microsoft.com/azure/cloud-adoption-framework/ready/landing-zone/design-area/multi-tenant/considerations-recommendations" display="More info" xr:uid="{B1981ED1-2AEA-4E46-8DA8-7029F06AEF1F}"/>
    <hyperlink ref="L783" r:id="rId139" tooltip="https://learn.microsoft.com/azure/cloud-adoption-framework/ready/landing-zone/design-area/multi-tenant/considerations-recommendations" display="More info" xr:uid="{AA67CC55-B1C3-4203-8E09-AC59562B8627}"/>
    <hyperlink ref="L784" r:id="rId140" tooltip="https://learn.microsoft.com/azure/cloud-adoption-framework/ready/landing-zone/design-area/multi-tenant/considerations-recommendations" display="More info" xr:uid="{129856DC-EAEB-4984-BC59-DADCCA7E69FB}"/>
    <hyperlink ref="L785" r:id="rId141" tooltip="https://learn.microsoft.com/azure/cloud-adoption-framework/ready/landing-zone/design-area/multi-tenant/considerations-recommendations" display="More info" xr:uid="{F2546711-4AFA-4D0F-AC6F-0732CD756DB3}"/>
    <hyperlink ref="L786" r:id="rId142" tooltip="https://learn.microsoft.com/azure/cloud-adoption-framework/ready/landing-zone/design-area/multi-tenant/considerations-recommendations" display="More info" xr:uid="{E008629B-4F6D-479E-8BB4-D182CB24D6A4}"/>
    <hyperlink ref="L787" r:id="rId143" tooltip="https://learn.microsoft.com/azure/cloud-adoption-framework/ready/landing-zone/design-area/multi-tenant/considerations-recommendations" display="More info" xr:uid="{36BE7B0D-29BE-4DBD-8F30-96F83060F2D5}"/>
    <hyperlink ref="L788" r:id="rId144" tooltip="https://learn.microsoft.com/azure/cloud-adoption-framework/ready/landing-zone/design-area/multi-tenant/considerations-recommendations" display="More info" xr:uid="{B859A019-1AD5-451A-84C4-41A5ED7AC968}"/>
    <hyperlink ref="L789" r:id="rId145" tooltip="https://learn.microsoft.com/azure/cloud-adoption-framework/ready/landing-zone/design-area/multi-tenant/considerations-recommendations" display="More info" xr:uid="{8CA22E31-969B-40C9-BBBB-7904FB71043B}"/>
    <hyperlink ref="L790" r:id="rId146" tooltip="https://learn.microsoft.com/azure/cloud-adoption-framework/ready/landing-zone/design-area/multi-tenant/considerations-recommendations" display="More info" xr:uid="{343425E5-3F93-4AE4-890E-BDA2C8AFE582}"/>
    <hyperlink ref="L791" r:id="rId147" tooltip="https://learn.microsoft.com/azure/cloud-adoption-framework/ready/landing-zone/design-area/multi-tenant/considerations-recommendations" display="More info" xr:uid="{6558E4A6-F572-4934-8911-BA924EC1D320}"/>
    <hyperlink ref="L792" r:id="rId148" tooltip="https://learn.microsoft.com/azure/cloud-adoption-framework/ready/landing-zone/design-area/multi-tenant/considerations-recommendations" display="More info" xr:uid="{13B4016D-9354-4F9F-9A4D-1D905318C247}"/>
    <hyperlink ref="L793" r:id="rId149" tooltip="https://learn.microsoft.com/azure/cloud-adoption-framework/ready/landing-zone/design-area/multi-tenant/considerations-recommendations" display="More info" xr:uid="{D7F7E3DF-6F6C-4629-B817-598147CEC601}"/>
    <hyperlink ref="L794" r:id="rId150" tooltip="https://learn.microsoft.com/azure/cloud-adoption-framework/ready/landing-zone/design-area/multi-tenant/considerations-recommendations" display="More info" xr:uid="{E128437A-EA3D-46AE-A219-D29067EBADDB}"/>
    <hyperlink ref="L795" r:id="rId151" tooltip="https://learn.microsoft.com/azure/cloud-adoption-framework/ready/landing-zone/design-area/multi-tenant/considerations-recommendations" display="More info" xr:uid="{BC8D1194-C8C5-4C7C-8486-818101FEB1AB}"/>
    <hyperlink ref="L796" r:id="rId152" tooltip="https://learn.microsoft.com/azure/cloud-adoption-framework/ready/landing-zone/design-area/multi-tenant/considerations-recommendations" display="More info" xr:uid="{D34160FA-1448-4CF1-805A-7C0C2B35DEB1}"/>
    <hyperlink ref="L797" r:id="rId153" tooltip="https://learn.microsoft.com/azure/cloud-adoption-framework/ready/landing-zone/design-area/multi-tenant/considerations-recommendations" display="More info" xr:uid="{B4154F4B-7787-42A4-ADC4-6C69A292E032}"/>
    <hyperlink ref="L798" r:id="rId154" tooltip="https://learn.microsoft.com/azure/cloud-adoption-framework/ready/landing-zone/design-area/multi-tenant/considerations-recommendations" display="More info" xr:uid="{B982DCCD-5F63-4EF7-BBFB-51EE4F354030}"/>
    <hyperlink ref="L799" r:id="rId155" tooltip="https://learn.microsoft.com/azure/cloud-adoption-framework/ready/landing-zone/design-area/multi-tenant/considerations-recommendations" display="More info" xr:uid="{A29913B3-BE62-4BD9-AA8B-24B2E0A30E21}"/>
    <hyperlink ref="L800" r:id="rId156" tooltip="https://learn.microsoft.com/azure/cloud-adoption-framework/ready/landing-zone/design-area/multi-tenant/considerations-recommendations" display="More info" xr:uid="{25068FF4-E0CC-463F-820E-AE73B701EDAA}"/>
    <hyperlink ref="L801" r:id="rId157" tooltip="https://learn.microsoft.com/azure/cloud-adoption-framework/ready/landing-zone/design-area/multi-tenant/considerations-recommendations" display="More info" xr:uid="{3C88F166-7748-4EDC-98A9-27AB674D258C}"/>
    <hyperlink ref="L802" r:id="rId158" tooltip="https://learn.microsoft.com/azure/cloud-adoption-framework/ready/landing-zone/design-area/multi-tenant/considerations-recommendations" display="More info" xr:uid="{43905D98-1858-4AAA-860A-FF0261082E91}"/>
    <hyperlink ref="L803" r:id="rId159" tooltip="https://learn.microsoft.com/azure/cloud-adoption-framework/ready/landing-zone/design-area/multi-tenant/considerations-recommendations" display="More info" xr:uid="{16530A95-92A6-4083-B234-90F1A31BFFDB}"/>
    <hyperlink ref="L804" r:id="rId160" tooltip="https://learn.microsoft.com/azure/cloud-adoption-framework/ready/landing-zone/design-area/multi-tenant/considerations-recommendations" display="More info" xr:uid="{1DFA4D42-034A-4F40-9829-47785A9065CC}"/>
    <hyperlink ref="L805" r:id="rId161" tooltip="https://learn.microsoft.com/azure/cloud-adoption-framework/ready/landing-zone/design-area/multi-tenant/considerations-recommendations" display="More info" xr:uid="{B857AD9A-931E-44AE-84B7-1BD915C477E7}"/>
    <hyperlink ref="L806" r:id="rId162" tooltip="https://learn.microsoft.com/azure/cloud-adoption-framework/ready/landing-zone/design-area/multi-tenant/considerations-recommendations" display="More info" xr:uid="{ABE0CB1E-AEB0-4C1D-BA1C-F802358107EB}"/>
    <hyperlink ref="L807" r:id="rId163" tooltip="https://learn.microsoft.com/azure/cloud-adoption-framework/ready/landing-zone/design-area/multi-tenant/considerations-recommendations" display="More info" xr:uid="{63C0F5A3-12AA-4C48-959E-9E00E02FE2ED}"/>
    <hyperlink ref="L808" r:id="rId164" tooltip="https://learn.microsoft.com/azure/cloud-adoption-framework/ready/landing-zone/design-area/multi-tenant/considerations-recommendations" display="More info" xr:uid="{16D83F8B-6813-4B20-97F3-AF775282CA5D}"/>
    <hyperlink ref="L809" r:id="rId165" tooltip="https://learn.microsoft.com/azure/cloud-adoption-framework/ready/landing-zone/design-area/multi-tenant/considerations-recommendations" display="More info" xr:uid="{CDD116FF-C088-4EA6-9105-AB34CA325DF3}"/>
    <hyperlink ref="L810" r:id="rId166" tooltip="https://learn.microsoft.com/azure/cloud-adoption-framework/ready/landing-zone/design-area/multi-tenant/considerations-recommendations" display="More info" xr:uid="{8CB6C935-6FEC-48EA-BFF9-03CC8402E002}"/>
    <hyperlink ref="L811" r:id="rId167" tooltip="https://learn.microsoft.com/azure/cloud-adoption-framework/ready/landing-zone/design-area/multi-tenant/considerations-recommendations" display="More info" xr:uid="{A16A70FC-DBC4-42B3-B4BF-29C863A5EBE1}"/>
    <hyperlink ref="L812" r:id="rId168" tooltip="https://learn.microsoft.com/azure/cloud-adoption-framework/ready/landing-zone/design-area/multi-tenant/considerations-recommendations" display="More info" xr:uid="{5AC2F1F2-F8CB-453A-AA9E-FF1EEC9CCDC0}"/>
    <hyperlink ref="L813" r:id="rId169" tooltip="https://learn.microsoft.com/azure/cloud-adoption-framework/ready/landing-zone/design-area/multi-tenant/considerations-recommendations" display="More info" xr:uid="{86DEF52F-B7CF-48B1-B9C1-8EBCAAB34E42}"/>
    <hyperlink ref="L814" r:id="rId170" tooltip="https://learn.microsoft.com/azure/cloud-adoption-framework/ready/landing-zone/design-area/multi-tenant/considerations-recommendations" display="More info" xr:uid="{354B9CEE-5563-443E-92DA-D49BAA004BBB}"/>
    <hyperlink ref="L815" r:id="rId171" tooltip="https://learn.microsoft.com/azure/cloud-adoption-framework/ready/landing-zone/design-area/multi-tenant/considerations-recommendations" display="More info" xr:uid="{506DAC3A-3F82-4DD3-85D6-85CB2A073933}"/>
    <hyperlink ref="L816" r:id="rId172" tooltip="https://learn.microsoft.com/azure/cloud-adoption-framework/ready/landing-zone/design-area/multi-tenant/considerations-recommendations" display="More info" xr:uid="{DAAFED36-2219-4CB0-B362-099575341122}"/>
    <hyperlink ref="L817" r:id="rId173" tooltip="https://learn.microsoft.com/azure/cloud-adoption-framework/ready/landing-zone/design-area/multi-tenant/considerations-recommendations" display="More info" xr:uid="{F3FE65B6-44C0-484F-8309-9485F63FF947}"/>
    <hyperlink ref="L818" r:id="rId174" tooltip="https://learn.microsoft.com/azure/cloud-adoption-framework/ready/landing-zone/design-area/multi-tenant/considerations-recommendations" display="More info" xr:uid="{DD250737-BABF-44EA-9CB7-FC36013D0838}"/>
    <hyperlink ref="L819" r:id="rId175" tooltip="https://learn.microsoft.com/azure/cloud-adoption-framework/ready/landing-zone/design-area/multi-tenant/considerations-recommendations" display="More info" xr:uid="{C16FC4F4-F163-4544-8C6E-261AF18F4F6C}"/>
    <hyperlink ref="L820" r:id="rId176" tooltip="https://learn.microsoft.com/azure/cloud-adoption-framework/ready/landing-zone/design-area/multi-tenant/considerations-recommendations" display="More info" xr:uid="{8926944F-7990-44D7-A286-C9FCF6F8E922}"/>
    <hyperlink ref="L821" r:id="rId177" tooltip="https://learn.microsoft.com/azure/cloud-adoption-framework/ready/landing-zone/design-area/multi-tenant/considerations-recommendations" display="More info" xr:uid="{D63540B9-D9EF-4CB1-95DD-A4E3AFE189ED}"/>
    <hyperlink ref="L822" r:id="rId178" tooltip="https://learn.microsoft.com/azure/cloud-adoption-framework/ready/landing-zone/design-area/multi-tenant/considerations-recommendations" display="More info" xr:uid="{EC337AA0-1AB5-4D55-A51D-7936F6A80D30}"/>
    <hyperlink ref="L823" r:id="rId179" tooltip="https://learn.microsoft.com/azure/cloud-adoption-framework/ready/landing-zone/design-area/multi-tenant/considerations-recommendations" display="More info" xr:uid="{473427CA-3BD1-4910-9BD3-A41D3805A9DB}"/>
    <hyperlink ref="L824" r:id="rId180" tooltip="https://learn.microsoft.com/azure/cloud-adoption-framework/ready/landing-zone/design-area/multi-tenant/considerations-recommendations" display="More info" xr:uid="{4FE8F2C6-2BFD-40A9-AD48-6C46700E8F92}"/>
    <hyperlink ref="L825" r:id="rId181" tooltip="https://learn.microsoft.com/azure/cloud-adoption-framework/ready/landing-zone/design-area/multi-tenant/considerations-recommendations" display="More info" xr:uid="{FAE87B40-FBE1-44E9-AE27-BA20CA3D6308}"/>
    <hyperlink ref="L826" r:id="rId182" tooltip="https://learn.microsoft.com/azure/cloud-adoption-framework/ready/landing-zone/design-area/multi-tenant/considerations-recommendations" display="More info" xr:uid="{78A117CD-0431-4358-A43A-E546ABEEC617}"/>
    <hyperlink ref="L827" r:id="rId183" tooltip="https://learn.microsoft.com/azure/cloud-adoption-framework/ready/landing-zone/design-area/multi-tenant/considerations-recommendations" display="More info" xr:uid="{27BEE578-7549-4270-BFA1-9C32E3130B54}"/>
    <hyperlink ref="L828" r:id="rId184" tooltip="https://learn.microsoft.com/azure/cloud-adoption-framework/ready/landing-zone/design-area/multi-tenant/considerations-recommendations" display="More info" xr:uid="{47ADFC54-5D6D-4C66-B09B-D942E1E7041B}"/>
    <hyperlink ref="L829" r:id="rId185" tooltip="https://learn.microsoft.com/azure/cloud-adoption-framework/ready/landing-zone/design-area/multi-tenant/considerations-recommendations" display="More info" xr:uid="{98E9925A-05EC-40A4-89A5-DE2B16CB2D9E}"/>
    <hyperlink ref="L830" r:id="rId186" tooltip="https://learn.microsoft.com/azure/cloud-adoption-framework/ready/landing-zone/design-area/multi-tenant/considerations-recommendations" display="More info" xr:uid="{32C3EBC0-2D88-4582-9CBC-89189BB70846}"/>
    <hyperlink ref="L831" r:id="rId187" tooltip="https://learn.microsoft.com/azure/cloud-adoption-framework/ready/landing-zone/design-area/multi-tenant/considerations-recommendations" display="More info" xr:uid="{F0AA9C42-8E4E-4252-B8DE-FF2269260C27}"/>
    <hyperlink ref="L832" r:id="rId188" tooltip="https://learn.microsoft.com/azure/cloud-adoption-framework/ready/landing-zone/design-area/multi-tenant/considerations-recommendations" display="More info" xr:uid="{E13E1C6C-DFBE-4199-B0F7-F75075577FD7}"/>
    <hyperlink ref="L833" r:id="rId189" tooltip="https://learn.microsoft.com/azure/cloud-adoption-framework/ready/landing-zone/design-area/multi-tenant/considerations-recommendations" display="More info" xr:uid="{6DBE6777-7CA3-44C6-BC78-D7C145D73B03}"/>
    <hyperlink ref="L834" r:id="rId190" tooltip="https://learn.microsoft.com/azure/cloud-adoption-framework/ready/landing-zone/design-area/multi-tenant/considerations-recommendations" display="More info" xr:uid="{6EBD12CC-24B9-44B1-B6A3-F5CF004133AD}"/>
    <hyperlink ref="L835" r:id="rId191" tooltip="https://learn.microsoft.com/azure/cloud-adoption-framework/ready/landing-zone/design-area/multi-tenant/considerations-recommendations" display="More info" xr:uid="{32EE2D55-5E45-46BA-A560-19D48D5B925E}"/>
    <hyperlink ref="L836" r:id="rId192" tooltip="https://learn.microsoft.com/azure/cloud-adoption-framework/ready/landing-zone/design-area/multi-tenant/considerations-recommendations" display="More info" xr:uid="{E2587A4E-E7D5-401C-99DB-D59017417A3C}"/>
    <hyperlink ref="L837" r:id="rId193" tooltip="https://learn.microsoft.com/azure/cloud-adoption-framework/ready/landing-zone/design-area/multi-tenant/considerations-recommendations" display="More info" xr:uid="{FE143B0A-EEB0-44F2-A71E-1B1147A89905}"/>
    <hyperlink ref="L838" r:id="rId194" tooltip="https://learn.microsoft.com/azure/cloud-adoption-framework/ready/landing-zone/design-area/multi-tenant/considerations-recommendations" display="More info" xr:uid="{EBB38E7A-F0D8-4F8F-B4C2-04C34AFE82C9}"/>
    <hyperlink ref="L839" r:id="rId195" tooltip="https://learn.microsoft.com/azure/cloud-adoption-framework/ready/landing-zone/design-area/multi-tenant/considerations-recommendations" display="More info" xr:uid="{96DD6076-BFD5-4837-A43A-4CB7B1E9D9E7}"/>
    <hyperlink ref="L840" r:id="rId196" tooltip="https://learn.microsoft.com/azure/cloud-adoption-framework/ready/landing-zone/design-area/multi-tenant/considerations-recommendations" display="More info" xr:uid="{F03C779B-B3DB-41CD-9AFC-56070D3A44D8}"/>
    <hyperlink ref="L841" r:id="rId197" tooltip="https://learn.microsoft.com/azure/cloud-adoption-framework/ready/landing-zone/design-area/multi-tenant/considerations-recommendations" display="More info" xr:uid="{DDEA65FF-9A62-4A23-94A5-F39F71EB2874}"/>
    <hyperlink ref="L842" r:id="rId198" tooltip="https://learn.microsoft.com/azure/cloud-adoption-framework/ready/landing-zone/design-area/multi-tenant/considerations-recommendations" display="More info" xr:uid="{FB0C5C36-510A-4BAE-AB8F-DAD5A2F782F2}"/>
    <hyperlink ref="L843" r:id="rId199" tooltip="https://learn.microsoft.com/azure/cloud-adoption-framework/ready/landing-zone/design-area/multi-tenant/considerations-recommendations" display="More info" xr:uid="{172469CA-2892-4407-BE1B-7E95C72356EB}"/>
    <hyperlink ref="L844" r:id="rId200" tooltip="https://learn.microsoft.com/azure/cloud-adoption-framework/ready/landing-zone/design-area/multi-tenant/considerations-recommendations" display="More info" xr:uid="{E075C997-763B-4369-9708-A4266C9FE2BE}"/>
    <hyperlink ref="L845" r:id="rId201" tooltip="https://learn.microsoft.com/azure/cloud-adoption-framework/ready/landing-zone/design-area/multi-tenant/considerations-recommendations" display="More info" xr:uid="{69700869-2E11-427F-B905-2CD19AC817F2}"/>
    <hyperlink ref="L846" r:id="rId202" tooltip="https://learn.microsoft.com/azure/cloud-adoption-framework/ready/landing-zone/design-area/multi-tenant/considerations-recommendations" display="More info" xr:uid="{F8D36C0D-3857-4F6B-AD75-0B72F616567E}"/>
    <hyperlink ref="L847" r:id="rId203" tooltip="https://learn.microsoft.com/azure/cloud-adoption-framework/ready/landing-zone/design-area/multi-tenant/considerations-recommendations" display="More info" xr:uid="{8047FC78-C548-4761-93E0-6C4711588970}"/>
    <hyperlink ref="L848" r:id="rId204" tooltip="https://learn.microsoft.com/azure/cloud-adoption-framework/ready/landing-zone/design-area/multi-tenant/considerations-recommendations" display="More info" xr:uid="{9454F52D-DAFB-417C-B84D-1E800B65DF27}"/>
    <hyperlink ref="L849" r:id="rId205" tooltip="https://learn.microsoft.com/azure/cloud-adoption-framework/ready/landing-zone/design-area/multi-tenant/considerations-recommendations" display="More info" xr:uid="{452C9547-6329-4C68-867E-91FD6B868EFE}"/>
    <hyperlink ref="L850" r:id="rId206" tooltip="https://learn.microsoft.com/azure/cloud-adoption-framework/ready/landing-zone/design-area/multi-tenant/considerations-recommendations" display="More info" xr:uid="{F1ABFA43-9181-4F7D-9333-C527146C173B}"/>
    <hyperlink ref="L851" r:id="rId207" tooltip="https://learn.microsoft.com/azure/cloud-adoption-framework/ready/landing-zone/design-area/multi-tenant/considerations-recommendations" display="More info" xr:uid="{AAA5FCF6-D5B2-468D-9DF7-EC8C7500FBB6}"/>
    <hyperlink ref="L852" r:id="rId208" tooltip="https://learn.microsoft.com/azure/cloud-adoption-framework/ready/landing-zone/design-area/multi-tenant/considerations-recommendations" display="More info" xr:uid="{7AF645D5-9E2D-456F-A5AA-25810F9817F5}"/>
    <hyperlink ref="L853" r:id="rId209" tooltip="https://learn.microsoft.com/azure/cloud-adoption-framework/ready/landing-zone/design-area/multi-tenant/considerations-recommendations" display="More info" xr:uid="{A30E004D-4366-46C9-B837-A72510D6B0BF}"/>
    <hyperlink ref="L854" r:id="rId210" tooltip="https://learn.microsoft.com/azure/cloud-adoption-framework/ready/landing-zone/design-area/multi-tenant/considerations-recommendations" display="More info" xr:uid="{563AC5E9-DA5B-46BF-80E9-F85554A62F76}"/>
    <hyperlink ref="L855" r:id="rId211" tooltip="https://learn.microsoft.com/azure/cloud-adoption-framework/ready/landing-zone/design-area/multi-tenant/considerations-recommendations" display="More info" xr:uid="{3AEAD3F8-6AF5-4479-BC87-B5D965D193D2}"/>
    <hyperlink ref="L856" r:id="rId212" tooltip="https://learn.microsoft.com/azure/cloud-adoption-framework/ready/landing-zone/design-area/multi-tenant/considerations-recommendations" display="More info" xr:uid="{00BC07CE-96FB-4D33-99E0-EBEBE6B39ED9}"/>
    <hyperlink ref="L857" r:id="rId213" tooltip="https://learn.microsoft.com/azure/cloud-adoption-framework/ready/landing-zone/design-area/multi-tenant/considerations-recommendations" display="More info" xr:uid="{091C4500-0896-4FE6-B7C6-B3E049780A2A}"/>
    <hyperlink ref="L858" r:id="rId214" tooltip="https://learn.microsoft.com/azure/cloud-adoption-framework/ready/landing-zone/design-area/multi-tenant/considerations-recommendations" display="More info" xr:uid="{FDAD51BD-84BB-421D-98C5-3430CA21D9CF}"/>
    <hyperlink ref="L859" r:id="rId215" tooltip="https://learn.microsoft.com/azure/cloud-adoption-framework/ready/landing-zone/design-area/multi-tenant/considerations-recommendations" display="More info" xr:uid="{05EDF4A5-04DA-4BE2-934F-D05C3A809FF2}"/>
    <hyperlink ref="L860" r:id="rId216" tooltip="https://learn.microsoft.com/azure/cloud-adoption-framework/ready/landing-zone/design-area/multi-tenant/considerations-recommendations" display="More info" xr:uid="{7BED362E-3FE4-49CA-AE1B-C9CBBB1E6FCA}"/>
    <hyperlink ref="L861" r:id="rId217" tooltip="https://learn.microsoft.com/azure/cloud-adoption-framework/ready/landing-zone/design-area/multi-tenant/considerations-recommendations" display="More info" xr:uid="{2E6D6C08-AB82-4E54-AE67-1DCEB4E938E2}"/>
    <hyperlink ref="L862" r:id="rId218" tooltip="https://learn.microsoft.com/azure/cloud-adoption-framework/ready/landing-zone/design-area/multi-tenant/considerations-recommendations" display="More info" xr:uid="{9EBAD98B-4F85-4C91-9D29-B9D916BEC8E9}"/>
    <hyperlink ref="L863" r:id="rId219" tooltip="https://learn.microsoft.com/azure/cloud-adoption-framework/ready/landing-zone/design-area/multi-tenant/considerations-recommendations" display="More info" xr:uid="{0AAB115A-EAF6-424C-B205-8B10B7022828}"/>
    <hyperlink ref="L864" r:id="rId220" tooltip="https://learn.microsoft.com/azure/cloud-adoption-framework/ready/landing-zone/design-area/multi-tenant/considerations-recommendations" display="More info" xr:uid="{29EED419-5B3F-4289-8F16-17ABE604F520}"/>
    <hyperlink ref="L865" r:id="rId221" tooltip="https://learn.microsoft.com/azure/cloud-adoption-framework/ready/landing-zone/design-area/multi-tenant/considerations-recommendations" display="More info" xr:uid="{896AD3ED-00AF-4A58-BB91-E88DD9CA9450}"/>
    <hyperlink ref="L866" r:id="rId222" tooltip="https://learn.microsoft.com/azure/cloud-adoption-framework/ready/landing-zone/design-area/multi-tenant/considerations-recommendations" display="More info" xr:uid="{FB71C4B3-2C18-4DB5-AE2D-087FF0F8A9A8}"/>
    <hyperlink ref="L867" r:id="rId223" tooltip="https://learn.microsoft.com/azure/cloud-adoption-framework/ready/landing-zone/design-area/multi-tenant/considerations-recommendations" display="More info" xr:uid="{BCDF2AB1-E60F-4048-8CEC-AF209273C689}"/>
    <hyperlink ref="L868" r:id="rId224" tooltip="https://learn.microsoft.com/azure/cloud-adoption-framework/ready/landing-zone/design-area/multi-tenant/considerations-recommendations" display="More info" xr:uid="{6F580AD1-E271-49FF-9DF4-313A1E69ABED}"/>
    <hyperlink ref="L869" r:id="rId225" tooltip="https://learn.microsoft.com/azure/cloud-adoption-framework/ready/landing-zone/design-area/multi-tenant/considerations-recommendations" display="More info" xr:uid="{C8831CED-1333-4785-98EB-71D63CA04CD3}"/>
    <hyperlink ref="L870" r:id="rId226" tooltip="https://learn.microsoft.com/azure/cloud-adoption-framework/ready/landing-zone/design-area/multi-tenant/considerations-recommendations" display="More info" xr:uid="{F4E1D3CF-3024-4193-9342-4ADC76F93F2D}"/>
    <hyperlink ref="L871" r:id="rId227" tooltip="https://learn.microsoft.com/azure/cloud-adoption-framework/ready/landing-zone/design-area/multi-tenant/considerations-recommendations" display="More info" xr:uid="{CEB16F3C-8065-4304-B592-C194CB18AB2A}"/>
    <hyperlink ref="L872" r:id="rId228" tooltip="https://learn.microsoft.com/azure/cloud-adoption-framework/ready/landing-zone/design-area/multi-tenant/considerations-recommendations" display="More info" xr:uid="{926CC430-2489-4931-85C7-5ED67764E700}"/>
    <hyperlink ref="L873" r:id="rId229" tooltip="https://learn.microsoft.com/azure/cloud-adoption-framework/ready/landing-zone/design-area/multi-tenant/considerations-recommendations" display="More info" xr:uid="{8A49F812-8C6B-43CD-9993-9F27ED7737F0}"/>
    <hyperlink ref="L874" r:id="rId230" tooltip="https://learn.microsoft.com/azure/cloud-adoption-framework/ready/landing-zone/design-area/multi-tenant/considerations-recommendations" display="More info" xr:uid="{F2D84D1C-9CDC-4B6C-9378-5BCFF65DC215}"/>
    <hyperlink ref="L875" r:id="rId231" tooltip="https://learn.microsoft.com/azure/cloud-adoption-framework/ready/landing-zone/design-area/multi-tenant/considerations-recommendations" display="More info" xr:uid="{211E5362-C397-46F0-8A65-531E2C0BA022}"/>
    <hyperlink ref="L876" r:id="rId232" tooltip="https://learn.microsoft.com/azure/cloud-adoption-framework/ready/landing-zone/design-area/multi-tenant/considerations-recommendations" display="More info" xr:uid="{90F1EDB4-1417-4866-A943-86BC7CC5F454}"/>
    <hyperlink ref="L877" r:id="rId233" tooltip="https://learn.microsoft.com/azure/cloud-adoption-framework/ready/landing-zone/design-area/multi-tenant/considerations-recommendations" display="More info" xr:uid="{15DD3F70-D427-4DE1-9C48-C6F66C699EE8}"/>
    <hyperlink ref="L878" r:id="rId234" tooltip="https://learn.microsoft.com/azure/cloud-adoption-framework/ready/landing-zone/design-area/multi-tenant/considerations-recommendations" display="More info" xr:uid="{F99DF6F3-27FC-46E8-9BF7-720DE3BCD463}"/>
    <hyperlink ref="L879" r:id="rId235" tooltip="https://learn.microsoft.com/azure/cloud-adoption-framework/ready/landing-zone/design-area/multi-tenant/considerations-recommendations" display="More info" xr:uid="{60847B86-D87A-4FEE-B48C-06475E451BD3}"/>
    <hyperlink ref="L880" r:id="rId236" tooltip="https://learn.microsoft.com/azure/cloud-adoption-framework/ready/landing-zone/design-area/multi-tenant/considerations-recommendations" display="More info" xr:uid="{D0027A99-EFBF-4D7B-8B06-65DE2D7F54AD}"/>
    <hyperlink ref="L881" r:id="rId237" tooltip="https://learn.microsoft.com/azure/cloud-adoption-framework/ready/landing-zone/design-area/multi-tenant/considerations-recommendations" display="More info" xr:uid="{49C010DC-6800-4A5D-8C26-37F5BD1C4BE2}"/>
    <hyperlink ref="L882" r:id="rId238" tooltip="https://learn.microsoft.com/azure/cloud-adoption-framework/ready/landing-zone/design-area/multi-tenant/considerations-recommendations" display="More info" xr:uid="{03907BF4-AF81-43A9-BDFC-2008FE146C8A}"/>
    <hyperlink ref="L883" r:id="rId239" tooltip="https://learn.microsoft.com/azure/cloud-adoption-framework/ready/landing-zone/design-area/multi-tenant/considerations-recommendations" display="More info" xr:uid="{DD41EAB5-DD60-4B5B-9A76-457AC41980B0}"/>
    <hyperlink ref="L884" r:id="rId240" tooltip="https://learn.microsoft.com/azure/cloud-adoption-framework/ready/landing-zone/design-area/multi-tenant/considerations-recommendations" display="More info" xr:uid="{4DE1B21D-EEA7-4190-8F81-BD93912F4E1B}"/>
    <hyperlink ref="L885" r:id="rId241" tooltip="https://learn.microsoft.com/azure/cloud-adoption-framework/ready/landing-zone/design-area/multi-tenant/considerations-recommendations" display="More info" xr:uid="{6B180957-B260-4FF9-B956-FDBEE4A10978}"/>
    <hyperlink ref="L886" r:id="rId242" tooltip="https://learn.microsoft.com/azure/cloud-adoption-framework/ready/landing-zone/design-area/multi-tenant/considerations-recommendations" display="More info" xr:uid="{82E92493-BE46-4FD4-B698-EE8372AE4E96}"/>
    <hyperlink ref="L887" r:id="rId243" tooltip="https://learn.microsoft.com/azure/cloud-adoption-framework/ready/landing-zone/design-area/multi-tenant/considerations-recommendations" display="More info" xr:uid="{CDB048AD-1DEA-42D6-BE00-E22B1F9076E7}"/>
    <hyperlink ref="L888" r:id="rId244" tooltip="https://learn.microsoft.com/azure/cloud-adoption-framework/ready/landing-zone/design-area/multi-tenant/considerations-recommendations" display="More info" xr:uid="{BEA4F7F5-B092-4C94-AA00-AFBCB8F82E24}"/>
    <hyperlink ref="L889" r:id="rId245" tooltip="https://learn.microsoft.com/azure/cloud-adoption-framework/ready/landing-zone/design-area/multi-tenant/considerations-recommendations" display="More info" xr:uid="{0EA253E0-0F8E-4876-97BD-03D51333CA5A}"/>
    <hyperlink ref="L890" r:id="rId246" tooltip="https://learn.microsoft.com/azure/cloud-adoption-framework/ready/landing-zone/design-area/multi-tenant/considerations-recommendations" display="More info" xr:uid="{27D8A4CA-A347-476E-8268-D5995353845A}"/>
    <hyperlink ref="L891" r:id="rId247" tooltip="https://learn.microsoft.com/azure/cloud-adoption-framework/ready/landing-zone/design-area/multi-tenant/considerations-recommendations" display="More info" xr:uid="{F501484F-BBEC-4AC2-83D4-DA8411FFDB81}"/>
    <hyperlink ref="L892" r:id="rId248" tooltip="https://learn.microsoft.com/azure/cloud-adoption-framework/ready/landing-zone/design-area/multi-tenant/considerations-recommendations" display="More info" xr:uid="{D17E3AAD-14AF-4B59-9FE7-4D2A0EEA0C35}"/>
    <hyperlink ref="L893" r:id="rId249" tooltip="https://learn.microsoft.com/azure/cloud-adoption-framework/ready/landing-zone/design-area/multi-tenant/considerations-recommendations" display="More info" xr:uid="{BADBF289-6F82-44E4-98F2-F5FA405E7E7E}"/>
    <hyperlink ref="L894" r:id="rId250" tooltip="https://learn.microsoft.com/azure/cloud-adoption-framework/ready/landing-zone/design-area/multi-tenant/considerations-recommendations" display="More info" xr:uid="{80DC1B1E-F3E4-468B-A9FA-1B744E0B68FE}"/>
    <hyperlink ref="L895" r:id="rId251" tooltip="https://learn.microsoft.com/azure/cloud-adoption-framework/ready/landing-zone/design-area/multi-tenant/considerations-recommendations" display="More info" xr:uid="{BA7430FE-C47A-4E89-BFBA-8A59FF9D48A4}"/>
    <hyperlink ref="L896" r:id="rId252" tooltip="https://learn.microsoft.com/azure/cloud-adoption-framework/ready/landing-zone/design-area/multi-tenant/considerations-recommendations" display="More info" xr:uid="{A893CB12-C262-412B-9DD5-0E6668565DA8}"/>
    <hyperlink ref="L897" r:id="rId253" tooltip="https://learn.microsoft.com/azure/cloud-adoption-framework/ready/landing-zone/design-area/multi-tenant/considerations-recommendations" display="More info" xr:uid="{6DF18195-22C7-4D72-87CC-A48D759E44CD}"/>
    <hyperlink ref="L898" r:id="rId254" tooltip="https://learn.microsoft.com/azure/cloud-adoption-framework/ready/landing-zone/design-area/multi-tenant/considerations-recommendations" display="More info" xr:uid="{F7A30B79-D1E8-4390-B670-28F37B87838A}"/>
    <hyperlink ref="L899" r:id="rId255" tooltip="https://learn.microsoft.com/azure/cloud-adoption-framework/ready/landing-zone/design-area/multi-tenant/considerations-recommendations" display="More info" xr:uid="{0BA96900-B37D-4852-9637-A3601D8E3079}"/>
    <hyperlink ref="L900" r:id="rId256" tooltip="https://learn.microsoft.com/azure/cloud-adoption-framework/ready/landing-zone/design-area/multi-tenant/considerations-recommendations" display="More info" xr:uid="{1329BC1C-3765-4733-89D7-E66B670D912A}"/>
    <hyperlink ref="L901" r:id="rId257" tooltip="https://learn.microsoft.com/azure/cloud-adoption-framework/ready/landing-zone/design-area/multi-tenant/considerations-recommendations" display="More info" xr:uid="{9DADE5A8-1686-40B0-80AB-485037A6DB62}"/>
    <hyperlink ref="L902" r:id="rId258" tooltip="https://learn.microsoft.com/azure/cloud-adoption-framework/ready/landing-zone/design-area/multi-tenant/considerations-recommendations" display="More info" xr:uid="{ECC5D9A7-6C99-4727-8962-839F5144B00C}"/>
    <hyperlink ref="L903" r:id="rId259" tooltip="https://learn.microsoft.com/azure/cloud-adoption-framework/ready/landing-zone/design-area/multi-tenant/considerations-recommendations" display="More info" xr:uid="{3982F9F5-7B12-4B7B-8A09-283545E173C5}"/>
    <hyperlink ref="L904" r:id="rId260" tooltip="https://learn.microsoft.com/azure/cloud-adoption-framework/ready/landing-zone/design-area/multi-tenant/considerations-recommendations" display="More info" xr:uid="{82964642-86A1-4CCF-85F5-929B736AFA49}"/>
    <hyperlink ref="L905" r:id="rId261" tooltip="https://learn.microsoft.com/azure/cloud-adoption-framework/ready/landing-zone/design-area/multi-tenant/considerations-recommendations" display="More info" xr:uid="{64556CC0-9090-4C07-BF6E-86C93D54F027}"/>
    <hyperlink ref="L906" r:id="rId262" tooltip="https://learn.microsoft.com/azure/cloud-adoption-framework/ready/landing-zone/design-area/multi-tenant/considerations-recommendations" display="More info" xr:uid="{C01EDACD-B402-4EFD-A160-91D8DED2BF7C}"/>
    <hyperlink ref="L907" r:id="rId263" tooltip="https://learn.microsoft.com/azure/cloud-adoption-framework/ready/landing-zone/design-area/multi-tenant/considerations-recommendations" display="More info" xr:uid="{34F82F7C-9074-4D71-A42D-7B64BD521EA1}"/>
    <hyperlink ref="L908" r:id="rId264" tooltip="https://learn.microsoft.com/azure/cloud-adoption-framework/ready/landing-zone/design-area/multi-tenant/considerations-recommendations" display="More info" xr:uid="{8FA4AFDA-65B0-49F4-8F1A-31610A864EAC}"/>
    <hyperlink ref="L909" r:id="rId265" tooltip="https://learn.microsoft.com/azure/cloud-adoption-framework/ready/landing-zone/design-area/multi-tenant/considerations-recommendations" display="More info" xr:uid="{F46FA874-EA6D-47EF-91F2-D651D2566DF7}"/>
    <hyperlink ref="L910" r:id="rId266" tooltip="https://learn.microsoft.com/azure/cloud-adoption-framework/ready/landing-zone/design-area/multi-tenant/considerations-recommendations" display="More info" xr:uid="{9AF752BD-835A-4635-97D0-C1F266F61317}"/>
    <hyperlink ref="L911" r:id="rId267" tooltip="https://learn.microsoft.com/azure/cloud-adoption-framework/ready/landing-zone/design-area/multi-tenant/considerations-recommendations" display="More info" xr:uid="{A8D3BEF5-A040-4DB6-AB03-35AE8124BFF9}"/>
    <hyperlink ref="L912" r:id="rId268" tooltip="https://learn.microsoft.com/azure/cloud-adoption-framework/ready/landing-zone/design-area/multi-tenant/considerations-recommendations" display="More info" xr:uid="{CE9AA8B7-D999-4ECC-81C8-C1B451D6A726}"/>
    <hyperlink ref="L913" r:id="rId269" tooltip="https://learn.microsoft.com/azure/cloud-adoption-framework/ready/landing-zone/design-area/multi-tenant/considerations-recommendations" display="More info" xr:uid="{9BAF7099-E6E4-459E-8DD5-8A2280CC3127}"/>
    <hyperlink ref="L914" r:id="rId270" tooltip="https://learn.microsoft.com/azure/cloud-adoption-framework/ready/landing-zone/design-area/multi-tenant/considerations-recommendations" display="More info" xr:uid="{A867BD46-694F-40A2-8321-E5D3FD17266D}"/>
    <hyperlink ref="L915" r:id="rId271" tooltip="https://learn.microsoft.com/azure/cloud-adoption-framework/ready/landing-zone/design-area/multi-tenant/considerations-recommendations" display="More info" xr:uid="{3647F60E-708F-463F-AF3F-965C495A208F}"/>
    <hyperlink ref="L916" r:id="rId272" tooltip="https://learn.microsoft.com/azure/cloud-adoption-framework/ready/landing-zone/design-area/multi-tenant/considerations-recommendations" display="More info" xr:uid="{E9369D73-ABFD-496C-A582-BAB356DA6FB1}"/>
    <hyperlink ref="L917" r:id="rId273" tooltip="https://learn.microsoft.com/azure/cloud-adoption-framework/ready/landing-zone/design-area/multi-tenant/considerations-recommendations" display="More info" xr:uid="{2AE4C6EA-4240-43BE-A03C-1E597B4CC48C}"/>
    <hyperlink ref="L918" r:id="rId274" tooltip="https://learn.microsoft.com/azure/cloud-adoption-framework/ready/landing-zone/design-area/multi-tenant/considerations-recommendations" display="More info" xr:uid="{1D477794-B45E-4318-AAB2-369B5F061999}"/>
    <hyperlink ref="L919" r:id="rId275" tooltip="https://learn.microsoft.com/azure/cloud-adoption-framework/ready/landing-zone/design-area/multi-tenant/considerations-recommendations" display="More info" xr:uid="{C5C8D138-6992-495D-B96A-3CC3516EB475}"/>
    <hyperlink ref="L920" r:id="rId276" tooltip="https://learn.microsoft.com/azure/cloud-adoption-framework/ready/landing-zone/design-area/multi-tenant/considerations-recommendations" display="More info" xr:uid="{DFA824F1-D84E-49A1-8808-889545B7AD76}"/>
    <hyperlink ref="L921" r:id="rId277" tooltip="https://learn.microsoft.com/azure/cloud-adoption-framework/ready/landing-zone/design-area/multi-tenant/considerations-recommendations" display="More info" xr:uid="{6560C414-1B04-4E0D-ADA9-1B9A085C0A21}"/>
    <hyperlink ref="L922" r:id="rId278" tooltip="https://learn.microsoft.com/azure/cloud-adoption-framework/ready/landing-zone/design-area/multi-tenant/considerations-recommendations" display="More info" xr:uid="{C022B696-EEE7-4CEC-9B77-10288FDEF06C}"/>
    <hyperlink ref="L923" r:id="rId279" tooltip="https://learn.microsoft.com/azure/cloud-adoption-framework/ready/landing-zone/design-area/multi-tenant/considerations-recommendations" display="More info" xr:uid="{ED8CD2C1-232D-4577-BF72-CED07DBB4B76}"/>
    <hyperlink ref="L924" r:id="rId280" tooltip="https://learn.microsoft.com/azure/cloud-adoption-framework/ready/landing-zone/design-area/multi-tenant/considerations-recommendations" display="More info" xr:uid="{728A6EB0-0E99-4DAD-9273-EA3567B4594E}"/>
    <hyperlink ref="L925" r:id="rId281" tooltip="https://learn.microsoft.com/azure/cloud-adoption-framework/ready/landing-zone/design-area/multi-tenant/considerations-recommendations" display="More info" xr:uid="{47F61C52-BA81-4C17-833D-AF74E35409CD}"/>
    <hyperlink ref="L926" r:id="rId282" tooltip="https://learn.microsoft.com/azure/cloud-adoption-framework/ready/landing-zone/design-area/multi-tenant/considerations-recommendations" display="More info" xr:uid="{E2DF8D11-832D-4689-ABF0-6A2934A865AE}"/>
    <hyperlink ref="L927" r:id="rId283" tooltip="https://learn.microsoft.com/azure/cloud-adoption-framework/ready/landing-zone/design-area/multi-tenant/considerations-recommendations" display="More info" xr:uid="{A7E47B82-563D-4973-86EC-C18DE2C4FD48}"/>
    <hyperlink ref="L928" r:id="rId284" tooltip="https://learn.microsoft.com/azure/cloud-adoption-framework/ready/landing-zone/design-area/multi-tenant/considerations-recommendations" display="More info" xr:uid="{7F6621BF-C634-48A1-8107-6E1FEC878F34}"/>
    <hyperlink ref="L929" r:id="rId285" tooltip="https://learn.microsoft.com/azure/cloud-adoption-framework/ready/landing-zone/design-area/multi-tenant/considerations-recommendations" display="More info" xr:uid="{70BD965B-A245-4C95-812F-C95927E98D48}"/>
    <hyperlink ref="L930" r:id="rId286" tooltip="https://learn.microsoft.com/azure/cloud-adoption-framework/ready/landing-zone/design-area/multi-tenant/considerations-recommendations" display="More info" xr:uid="{A9AB0025-0439-4B8A-A8DC-77CA014F731F}"/>
    <hyperlink ref="L931" r:id="rId287" tooltip="https://learn.microsoft.com/azure/cloud-adoption-framework/ready/landing-zone/design-area/multi-tenant/considerations-recommendations" display="More info" xr:uid="{88F0D9E8-8FE1-4B32-8D50-108DC47DF4DA}"/>
    <hyperlink ref="L932" r:id="rId288" tooltip="https://learn.microsoft.com/azure/cloud-adoption-framework/ready/landing-zone/design-area/multi-tenant/considerations-recommendations" display="More info" xr:uid="{40F012CF-1998-40D7-95EA-9D89194EA991}"/>
    <hyperlink ref="L933" r:id="rId289" tooltip="https://learn.microsoft.com/azure/cloud-adoption-framework/ready/landing-zone/design-area/multi-tenant/considerations-recommendations" display="More info" xr:uid="{0F660977-A7BD-4DDD-9FA0-8A175EFCE38D}"/>
    <hyperlink ref="L934" r:id="rId290" tooltip="https://learn.microsoft.com/azure/cloud-adoption-framework/ready/landing-zone/design-area/multi-tenant/considerations-recommendations" display="More info" xr:uid="{88EAF18A-ABE9-42C3-91E4-83B39B47D2DA}"/>
    <hyperlink ref="L935" r:id="rId291" tooltip="https://learn.microsoft.com/azure/cloud-adoption-framework/ready/landing-zone/design-area/multi-tenant/considerations-recommendations" display="More info" xr:uid="{1C4102AB-430E-4220-A6A5-5B62CEB46F96}"/>
    <hyperlink ref="L936" r:id="rId292" tooltip="https://learn.microsoft.com/azure/cloud-adoption-framework/ready/landing-zone/design-area/multi-tenant/considerations-recommendations" display="More info" xr:uid="{DFDAD697-9BE5-4EE1-B5F0-65E8E0790932}"/>
    <hyperlink ref="L937" r:id="rId293" tooltip="https://learn.microsoft.com/azure/cloud-adoption-framework/ready/landing-zone/design-area/multi-tenant/considerations-recommendations" display="More info" xr:uid="{AF712E00-5D21-4C07-80E2-6D4F0ECD1CB9}"/>
    <hyperlink ref="L938" r:id="rId294" tooltip="https://learn.microsoft.com/azure/cloud-adoption-framework/ready/landing-zone/design-area/multi-tenant/considerations-recommendations" display="More info" xr:uid="{89D8D532-5099-4A94-A6FB-46798248F8B3}"/>
    <hyperlink ref="L939" r:id="rId295" tooltip="https://learn.microsoft.com/azure/cloud-adoption-framework/ready/landing-zone/design-area/multi-tenant/considerations-recommendations" display="More info" xr:uid="{A3E872FB-6353-4290-8F4F-8F29DB0C05DB}"/>
    <hyperlink ref="L940" r:id="rId296" tooltip="https://learn.microsoft.com/azure/cloud-adoption-framework/ready/landing-zone/design-area/multi-tenant/considerations-recommendations" display="More info" xr:uid="{5C017A91-F945-4FE0-9A09-CF1E8D099B8D}"/>
    <hyperlink ref="L941" r:id="rId297" tooltip="https://learn.microsoft.com/azure/cloud-adoption-framework/ready/landing-zone/design-area/multi-tenant/considerations-recommendations" display="More info" xr:uid="{B07F9D70-A677-4F4C-902B-6DF7C8DECA83}"/>
    <hyperlink ref="L942" r:id="rId298" tooltip="https://learn.microsoft.com/azure/cloud-adoption-framework/ready/landing-zone/design-area/multi-tenant/considerations-recommendations" display="More info" xr:uid="{010DF178-89AF-409E-9A32-C07AE5B94158}"/>
    <hyperlink ref="L943" r:id="rId299" tooltip="https://learn.microsoft.com/azure/cloud-adoption-framework/ready/landing-zone/design-area/multi-tenant/considerations-recommendations" display="More info" xr:uid="{E979D299-FFE7-4512-8B64-3E2A31F1A818}"/>
    <hyperlink ref="L944" r:id="rId300" tooltip="https://learn.microsoft.com/azure/cloud-adoption-framework/ready/landing-zone/design-area/multi-tenant/considerations-recommendations" display="More info" xr:uid="{5E0F7BBE-E827-4F35-881F-48C946A45CB7}"/>
    <hyperlink ref="L945" r:id="rId301" tooltip="https://learn.microsoft.com/azure/cloud-adoption-framework/ready/landing-zone/design-area/multi-tenant/considerations-recommendations" display="More info" xr:uid="{F2755AF9-A989-4B5C-81E1-A242316EADA6}"/>
    <hyperlink ref="L946" r:id="rId302" tooltip="https://learn.microsoft.com/azure/cloud-adoption-framework/ready/landing-zone/design-area/multi-tenant/considerations-recommendations" display="More info" xr:uid="{5D5B7B2E-5B09-4BE9-97EE-421781F76339}"/>
    <hyperlink ref="L947" r:id="rId303" tooltip="https://learn.microsoft.com/azure/cloud-adoption-framework/ready/landing-zone/design-area/multi-tenant/considerations-recommendations" display="More info" xr:uid="{2325D57D-A5D1-43C9-9E98-B48721E141B5}"/>
    <hyperlink ref="L948" r:id="rId304" tooltip="https://learn.microsoft.com/azure/cloud-adoption-framework/ready/landing-zone/design-area/multi-tenant/considerations-recommendations" display="More info" xr:uid="{BE75C7E9-5AB7-4F79-9885-27EBD50C6DD5}"/>
    <hyperlink ref="L949" r:id="rId305" tooltip="https://learn.microsoft.com/azure/cloud-adoption-framework/ready/landing-zone/design-area/multi-tenant/considerations-recommendations" display="More info" xr:uid="{36DD691D-B6B4-459F-B63D-C7517A51C592}"/>
    <hyperlink ref="L950" r:id="rId306" tooltip="https://learn.microsoft.com/azure/cloud-adoption-framework/ready/landing-zone/design-area/multi-tenant/considerations-recommendations" display="More info" xr:uid="{35467508-1474-4813-8437-F757EAED21AE}"/>
    <hyperlink ref="L951" r:id="rId307" tooltip="https://learn.microsoft.com/azure/cloud-adoption-framework/ready/landing-zone/design-area/multi-tenant/considerations-recommendations" display="More info" xr:uid="{97610E17-5379-4EE8-9770-2E76B8731576}"/>
    <hyperlink ref="L952" r:id="rId308" tooltip="https://learn.microsoft.com/azure/cloud-adoption-framework/ready/landing-zone/design-area/multi-tenant/considerations-recommendations" display="More info" xr:uid="{9456FE20-CE54-4BF0-B531-CA9B9879F556}"/>
    <hyperlink ref="L953" r:id="rId309" tooltip="https://learn.microsoft.com/azure/cloud-adoption-framework/ready/landing-zone/design-area/multi-tenant/considerations-recommendations" display="More info" xr:uid="{DD7F8466-DE1D-4168-961F-0E50DFDC0528}"/>
    <hyperlink ref="L954" r:id="rId310" tooltip="https://learn.microsoft.com/azure/cloud-adoption-framework/ready/landing-zone/design-area/multi-tenant/considerations-recommendations" display="More info" xr:uid="{731B90BD-0041-46D3-B4A2-52CC88F47AF9}"/>
    <hyperlink ref="L955" r:id="rId311" tooltip="https://learn.microsoft.com/azure/cloud-adoption-framework/ready/landing-zone/design-area/multi-tenant/considerations-recommendations" display="More info" xr:uid="{5743BEF7-9550-494F-AFCB-3E235C17F4DA}"/>
    <hyperlink ref="L956" r:id="rId312" tooltip="https://learn.microsoft.com/azure/cloud-adoption-framework/ready/landing-zone/design-area/multi-tenant/considerations-recommendations" display="More info" xr:uid="{67285064-E2AD-4880-AEBA-313077F727D3}"/>
    <hyperlink ref="L957" r:id="rId313" tooltip="https://learn.microsoft.com/azure/cloud-adoption-framework/ready/landing-zone/design-area/multi-tenant/considerations-recommendations" display="More info" xr:uid="{899024A2-2FF3-4429-8235-69898FD0210F}"/>
    <hyperlink ref="L958" r:id="rId314" tooltip="https://learn.microsoft.com/azure/cloud-adoption-framework/ready/landing-zone/design-area/multi-tenant/considerations-recommendations" display="More info" xr:uid="{2D0B4225-D229-49C8-BAE2-1E967D4AAE03}"/>
    <hyperlink ref="L959" r:id="rId315" tooltip="https://learn.microsoft.com/azure/cloud-adoption-framework/ready/landing-zone/design-area/multi-tenant/considerations-recommendations" display="More info" xr:uid="{3D67CCB7-CF25-4C3E-ADED-AD8C4C8E8C8F}"/>
    <hyperlink ref="L960" r:id="rId316" tooltip="https://learn.microsoft.com/azure/cloud-adoption-framework/ready/landing-zone/design-area/multi-tenant/considerations-recommendations" display="More info" xr:uid="{1B362BC4-806B-4407-98B4-61C2541CE4E7}"/>
    <hyperlink ref="L961" r:id="rId317" tooltip="https://learn.microsoft.com/azure/cloud-adoption-framework/ready/landing-zone/design-area/multi-tenant/considerations-recommendations" display="More info" xr:uid="{08EA58F8-B2A2-4FBF-AE67-2FC23974873B}"/>
    <hyperlink ref="L962" r:id="rId318" tooltip="https://learn.microsoft.com/azure/cloud-adoption-framework/ready/landing-zone/design-area/multi-tenant/considerations-recommendations" display="More info" xr:uid="{2FC42717-B6B2-451E-89E2-EA4BD35B20D8}"/>
    <hyperlink ref="L963" r:id="rId319" tooltip="https://learn.microsoft.com/azure/cloud-adoption-framework/ready/landing-zone/design-area/multi-tenant/considerations-recommendations" display="More info" xr:uid="{4C93CBE9-62BE-4947-8BFD-79573D92A243}"/>
    <hyperlink ref="L964" r:id="rId320" tooltip="https://learn.microsoft.com/azure/cloud-adoption-framework/ready/landing-zone/design-area/multi-tenant/considerations-recommendations" display="More info" xr:uid="{EA30208E-CE8B-49CD-82F8-741ACE9003F2}"/>
    <hyperlink ref="L965" r:id="rId321" tooltip="https://learn.microsoft.com/azure/cloud-adoption-framework/ready/landing-zone/design-area/multi-tenant/considerations-recommendations" display="More info" xr:uid="{916847CE-7AAD-4BA2-8510-9D48D0E4950C}"/>
    <hyperlink ref="L966" r:id="rId322" tooltip="https://learn.microsoft.com/azure/cloud-adoption-framework/ready/landing-zone/design-area/multi-tenant/considerations-recommendations" display="More info" xr:uid="{16322C85-B012-45F0-A4A6-E2A894FAA1F9}"/>
    <hyperlink ref="L967" r:id="rId323" tooltip="https://learn.microsoft.com/azure/cloud-adoption-framework/ready/landing-zone/design-area/multi-tenant/considerations-recommendations" display="More info" xr:uid="{71CDFE7C-9C1B-40EB-9655-378A288BF0C1}"/>
    <hyperlink ref="L968" r:id="rId324" tooltip="https://learn.microsoft.com/azure/cloud-adoption-framework/ready/landing-zone/design-area/multi-tenant/considerations-recommendations" display="More info" xr:uid="{0E0DA7AE-2A70-45FA-B312-418CE9315E06}"/>
    <hyperlink ref="L969" r:id="rId325" tooltip="https://learn.microsoft.com/azure/cloud-adoption-framework/ready/landing-zone/design-area/multi-tenant/considerations-recommendations" display="More info" xr:uid="{318D6265-DD7A-4520-AE5D-30B6B0C7B15B}"/>
    <hyperlink ref="L970" r:id="rId326" tooltip="https://learn.microsoft.com/azure/cloud-adoption-framework/ready/landing-zone/design-area/multi-tenant/considerations-recommendations" display="More info" xr:uid="{9880369D-5082-45CF-BE98-024DDB3BDB4B}"/>
    <hyperlink ref="L971" r:id="rId327" tooltip="https://learn.microsoft.com/azure/cloud-adoption-framework/ready/landing-zone/design-area/multi-tenant/considerations-recommendations" display="More info" xr:uid="{204AF16B-E71A-4685-A979-3A81371551EF}"/>
    <hyperlink ref="L972" r:id="rId328" tooltip="https://learn.microsoft.com/azure/cloud-adoption-framework/ready/landing-zone/design-area/multi-tenant/considerations-recommendations" display="More info" xr:uid="{5E8B07DB-E04E-4833-9E95-EE8FDD9F6E3F}"/>
    <hyperlink ref="L973" r:id="rId329" tooltip="https://learn.microsoft.com/azure/cloud-adoption-framework/ready/landing-zone/design-area/multi-tenant/considerations-recommendations" display="More info" xr:uid="{A76D0229-0EC0-4A73-8653-C80459B4071A}"/>
    <hyperlink ref="L974" r:id="rId330" tooltip="https://learn.microsoft.com/azure/cloud-adoption-framework/ready/landing-zone/design-area/multi-tenant/considerations-recommendations" display="More info" xr:uid="{C0EF517E-9F8C-441A-ADEB-F8F1A2B4C066}"/>
    <hyperlink ref="L975" r:id="rId331" tooltip="https://learn.microsoft.com/azure/cloud-adoption-framework/ready/landing-zone/design-area/multi-tenant/considerations-recommendations" display="More info" xr:uid="{E8836367-224D-47AC-98D6-72A8136C8A96}"/>
    <hyperlink ref="L976" r:id="rId332" tooltip="https://learn.microsoft.com/azure/cloud-adoption-framework/ready/landing-zone/design-area/multi-tenant/considerations-recommendations" display="More info" xr:uid="{A1DD244D-0074-4947-8E66-EBF2A5F77979}"/>
    <hyperlink ref="L977" r:id="rId333" tooltip="https://learn.microsoft.com/azure/cloud-adoption-framework/ready/landing-zone/design-area/multi-tenant/considerations-recommendations" display="More info" xr:uid="{2545081A-5A84-42EA-A315-E17F95265377}"/>
    <hyperlink ref="L978" r:id="rId334" tooltip="https://learn.microsoft.com/azure/cloud-adoption-framework/ready/landing-zone/design-area/multi-tenant/considerations-recommendations" display="More info" xr:uid="{C93E2504-87D8-4404-B80C-B41C35EB6798}"/>
    <hyperlink ref="L979" r:id="rId335" tooltip="https://learn.microsoft.com/azure/cloud-adoption-framework/ready/landing-zone/design-area/multi-tenant/considerations-recommendations" display="More info" xr:uid="{D7E4BA07-4C7A-4D85-A9C8-73178D7B2B8F}"/>
    <hyperlink ref="L980" r:id="rId336" tooltip="https://learn.microsoft.com/azure/cloud-adoption-framework/ready/landing-zone/design-area/multi-tenant/considerations-recommendations" display="More info" xr:uid="{810255EE-BE6A-4AF5-9157-7CA39208AB54}"/>
    <hyperlink ref="L981" r:id="rId337" tooltip="https://learn.microsoft.com/azure/cloud-adoption-framework/ready/landing-zone/design-area/multi-tenant/considerations-recommendations" display="More info" xr:uid="{35D85246-C564-4C43-8299-E588F01D12B6}"/>
    <hyperlink ref="L982" r:id="rId338" tooltip="https://learn.microsoft.com/azure/cloud-adoption-framework/ready/landing-zone/design-area/multi-tenant/considerations-recommendations" display="More info" xr:uid="{CDBBCBAA-F98E-4E25-97DD-52B1302557C1}"/>
    <hyperlink ref="L983" r:id="rId339" tooltip="https://learn.microsoft.com/azure/cloud-adoption-framework/ready/landing-zone/design-area/multi-tenant/considerations-recommendations" display="More info" xr:uid="{1426D46A-252E-4D8C-892B-28653EF72983}"/>
    <hyperlink ref="L984" r:id="rId340" tooltip="https://learn.microsoft.com/azure/cloud-adoption-framework/ready/landing-zone/design-area/multi-tenant/considerations-recommendations" display="More info" xr:uid="{A8EED29E-161D-474A-A8AC-64B0BEF3C25E}"/>
    <hyperlink ref="L985" r:id="rId341" tooltip="https://learn.microsoft.com/azure/cloud-adoption-framework/ready/landing-zone/design-area/multi-tenant/considerations-recommendations" display="More info" xr:uid="{63AC3F25-9B54-4FEC-AA56-E076DCFF65CC}"/>
    <hyperlink ref="L986" r:id="rId342" tooltip="https://learn.microsoft.com/azure/cloud-adoption-framework/ready/landing-zone/design-area/multi-tenant/considerations-recommendations" display="More info" xr:uid="{B3D4D5AB-0132-448C-8314-17A2EE0DA746}"/>
    <hyperlink ref="L987" r:id="rId343" tooltip="https://learn.microsoft.com/azure/cloud-adoption-framework/ready/landing-zone/design-area/multi-tenant/considerations-recommendations" display="More info" xr:uid="{B0B0144A-5193-4208-B6D3-2DD877B36E8C}"/>
    <hyperlink ref="L988" r:id="rId344" tooltip="https://learn.microsoft.com/azure/cloud-adoption-framework/ready/landing-zone/design-area/multi-tenant/considerations-recommendations" display="More info" xr:uid="{BDDF4822-2AE0-46EE-B68D-E31AA8892E6D}"/>
    <hyperlink ref="L989" r:id="rId345" tooltip="https://learn.microsoft.com/azure/cloud-adoption-framework/ready/landing-zone/design-area/multi-tenant/considerations-recommendations" display="More info" xr:uid="{13886A84-0E18-43A8-BCD1-EC8615EF8C7C}"/>
    <hyperlink ref="L990" r:id="rId346" tooltip="https://learn.microsoft.com/azure/cloud-adoption-framework/ready/landing-zone/design-area/multi-tenant/considerations-recommendations" display="More info" xr:uid="{A6BEA38D-5DD0-4106-B009-2EEE00B28A62}"/>
    <hyperlink ref="L991" r:id="rId347" tooltip="https://learn.microsoft.com/azure/cloud-adoption-framework/ready/landing-zone/design-area/multi-tenant/considerations-recommendations" display="More info" xr:uid="{9F835555-0226-43F4-A866-E4D3E9D49686}"/>
    <hyperlink ref="L992" r:id="rId348" tooltip="https://learn.microsoft.com/azure/cloud-adoption-framework/ready/landing-zone/design-area/multi-tenant/considerations-recommendations" display="More info" xr:uid="{C92C57EA-8EF7-40CC-ADBC-A4F86EA9EBDE}"/>
    <hyperlink ref="L993" r:id="rId349" tooltip="https://learn.microsoft.com/azure/cloud-adoption-framework/ready/landing-zone/design-area/multi-tenant/considerations-recommendations" display="More info" xr:uid="{160AA6B2-A804-4A95-9CAA-A3D08B92BDAE}"/>
    <hyperlink ref="L994" r:id="rId350" tooltip="https://learn.microsoft.com/azure/cloud-adoption-framework/ready/landing-zone/design-area/multi-tenant/considerations-recommendations" display="More info" xr:uid="{1B893550-7FDC-406C-BEA5-A6F7B03CAEB2}"/>
    <hyperlink ref="L995" r:id="rId351" tooltip="https://learn.microsoft.com/azure/cloud-adoption-framework/ready/landing-zone/design-area/multi-tenant/considerations-recommendations" display="More info" xr:uid="{E3933ADF-1A3D-4BC1-9CD9-871C105B06FB}"/>
    <hyperlink ref="L996" r:id="rId352" tooltip="https://learn.microsoft.com/azure/cloud-adoption-framework/ready/landing-zone/design-area/multi-tenant/considerations-recommendations" display="More info" xr:uid="{914D5C62-79B5-408A-A9EA-BC92BF34C732}"/>
    <hyperlink ref="L997" r:id="rId353" tooltip="https://learn.microsoft.com/azure/cloud-adoption-framework/ready/landing-zone/design-area/multi-tenant/considerations-recommendations" display="More info" xr:uid="{F5948AA7-19F7-49F7-8B46-EA4A5B48C7FB}"/>
    <hyperlink ref="L998" r:id="rId354" tooltip="https://learn.microsoft.com/azure/cloud-adoption-framework/ready/landing-zone/design-area/multi-tenant/considerations-recommendations" display="More info" xr:uid="{3FD5AEF3-CF3F-43DE-AC3B-CA2A033D05D9}"/>
    <hyperlink ref="L999" r:id="rId355" tooltip="https://learn.microsoft.com/azure/cloud-adoption-framework/ready/landing-zone/design-area/multi-tenant/considerations-recommendations" display="More info" xr:uid="{F514CCB5-E62F-45F9-ABDE-E1B093DF43E2}"/>
    <hyperlink ref="L1000" r:id="rId356" tooltip="https://learn.microsoft.com/azure/cloud-adoption-framework/ready/landing-zone/design-area/multi-tenant/considerations-recommendations" display="More info" xr:uid="{6378876E-B0F0-458C-9239-9D7B4735D04A}"/>
    <hyperlink ref="L1001" r:id="rId357" tooltip="https://learn.microsoft.com/azure/cloud-adoption-framework/ready/landing-zone/design-area/multi-tenant/considerations-recommendations" display="More info" xr:uid="{592470ED-6DA3-429E-8F2C-980EA13DF2C9}"/>
    <hyperlink ref="L1002" r:id="rId358" tooltip="https://learn.microsoft.com/azure/cloud-adoption-framework/ready/landing-zone/design-area/multi-tenant/considerations-recommendations" display="More info" xr:uid="{BEF3D737-A08C-4DDE-9FB2-8636E6B35CE6}"/>
    <hyperlink ref="L1003" r:id="rId359" tooltip="https://learn.microsoft.com/azure/cloud-adoption-framework/ready/landing-zone/design-area/multi-tenant/considerations-recommendations" display="More info" xr:uid="{F653597C-35CF-4C1F-A978-385D6FA011B1}"/>
    <hyperlink ref="L1004" r:id="rId360" tooltip="https://learn.microsoft.com/azure/cloud-adoption-framework/ready/landing-zone/design-area/multi-tenant/considerations-recommendations" display="More info" xr:uid="{470059A0-563E-49DA-9145-C05F3C075DB6}"/>
    <hyperlink ref="L1005" r:id="rId361" tooltip="https://learn.microsoft.com/azure/cloud-adoption-framework/ready/landing-zone/design-area/multi-tenant/considerations-recommendations" display="More info" xr:uid="{D3DD71C2-879E-4EC2-BB56-F339EC7E6FF2}"/>
    <hyperlink ref="L1006" r:id="rId362" tooltip="https://learn.microsoft.com/azure/cloud-adoption-framework/ready/landing-zone/design-area/multi-tenant/considerations-recommendations" display="More info" xr:uid="{8F52D96A-D67E-4BF4-B36C-A6F5E9456A37}"/>
    <hyperlink ref="L1007" r:id="rId363" tooltip="https://learn.microsoft.com/azure/cloud-adoption-framework/ready/landing-zone/design-area/multi-tenant/considerations-recommendations" display="More info" xr:uid="{7F59C5AC-AF60-4702-BE41-389BE044DDA9}"/>
    <hyperlink ref="L1008" r:id="rId364" tooltip="https://learn.microsoft.com/azure/cloud-adoption-framework/ready/landing-zone/design-area/multi-tenant/considerations-recommendations" display="More info" xr:uid="{2B47DCAC-730D-4CDF-8EE1-1EDA59C8DFBB}"/>
    <hyperlink ref="L1009" r:id="rId365" tooltip="https://learn.microsoft.com/azure/cloud-adoption-framework/ready/landing-zone/design-area/multi-tenant/considerations-recommendations" display="More info" xr:uid="{D2F113AA-7337-457C-BD95-63748A4C5ED3}"/>
    <hyperlink ref="L1010" r:id="rId366" tooltip="https://learn.microsoft.com/azure/cloud-adoption-framework/ready/landing-zone/design-area/multi-tenant/considerations-recommendations" display="More info" xr:uid="{F2D84DCD-6287-437F-88B7-C97E83ED5C99}"/>
    <hyperlink ref="L1011" r:id="rId367" tooltip="https://learn.microsoft.com/azure/cloud-adoption-framework/ready/landing-zone/design-area/multi-tenant/considerations-recommendations" display="More info" xr:uid="{65FC0508-94D1-41E8-B3E3-5DFA90691545}"/>
    <hyperlink ref="L1012" r:id="rId368" tooltip="https://learn.microsoft.com/azure/cloud-adoption-framework/ready/landing-zone/design-area/multi-tenant/considerations-recommendations" display="More info" xr:uid="{EC9D7569-F7E5-41CE-9A9D-41183CA93EB9}"/>
    <hyperlink ref="L1013" r:id="rId369" tooltip="https://learn.microsoft.com/azure/cloud-adoption-framework/ready/landing-zone/design-area/multi-tenant/considerations-recommendations" display="More info" xr:uid="{D61E480A-BB83-4436-B6EA-DCEE7107BCDB}"/>
    <hyperlink ref="L1014" r:id="rId370" tooltip="https://learn.microsoft.com/azure/cloud-adoption-framework/ready/landing-zone/design-area/multi-tenant/considerations-recommendations" display="More info" xr:uid="{6BF988C6-BB48-4634-BC95-82DBA6315D36}"/>
    <hyperlink ref="L1015" r:id="rId371" tooltip="https://learn.microsoft.com/azure/cloud-adoption-framework/ready/landing-zone/design-area/multi-tenant/considerations-recommendations" display="More info" xr:uid="{5B7FEFD5-753C-4384-A2DD-E9C2BC749AB0}"/>
    <hyperlink ref="L1016" r:id="rId372" tooltip="https://learn.microsoft.com/azure/cloud-adoption-framework/ready/landing-zone/design-area/multi-tenant/considerations-recommendations" display="More info" xr:uid="{98F9F604-ECDB-4CBE-9C37-59442BCE6503}"/>
    <hyperlink ref="L1017" r:id="rId373" tooltip="https://learn.microsoft.com/azure/cloud-adoption-framework/ready/landing-zone/design-area/multi-tenant/considerations-recommendations" display="More info" xr:uid="{12B6BE38-0A98-441C-94C5-A4C609BE968D}"/>
    <hyperlink ref="L1018" r:id="rId374" tooltip="https://learn.microsoft.com/azure/cloud-adoption-framework/ready/landing-zone/design-area/multi-tenant/considerations-recommendations" display="More info" xr:uid="{D878904B-DADF-4E6C-A09A-D7C656264E4A}"/>
    <hyperlink ref="L1019" r:id="rId375" tooltip="https://learn.microsoft.com/azure/cloud-adoption-framework/ready/landing-zone/design-area/multi-tenant/considerations-recommendations" display="More info" xr:uid="{BDE2C46D-F05F-4CB2-A27E-7AC6A0E5614B}"/>
    <hyperlink ref="L1020" r:id="rId376" tooltip="https://learn.microsoft.com/azure/cloud-adoption-framework/ready/landing-zone/design-area/multi-tenant/considerations-recommendations" display="More info" xr:uid="{4D2F0F76-C293-46C0-9021-5C5B41AC1E21}"/>
    <hyperlink ref="L1021" r:id="rId377" tooltip="https://learn.microsoft.com/azure/cloud-adoption-framework/ready/landing-zone/design-area/multi-tenant/considerations-recommendations" display="More info" xr:uid="{8517BA00-676B-4334-99D2-46537BD13C7F}"/>
    <hyperlink ref="L1022" r:id="rId378" tooltip="https://learn.microsoft.com/azure/cloud-adoption-framework/ready/landing-zone/design-area/multi-tenant/considerations-recommendations" display="More info" xr:uid="{AE58EF66-2470-4541-A851-83EEBC5D7E81}"/>
    <hyperlink ref="L1023" r:id="rId379" tooltip="https://learn.microsoft.com/azure/cloud-adoption-framework/ready/landing-zone/design-area/multi-tenant/considerations-recommendations" display="More info" xr:uid="{4D84F43A-CEC7-462D-9442-E5B14FD813BC}"/>
    <hyperlink ref="L1024" r:id="rId380" tooltip="https://learn.microsoft.com/azure/cloud-adoption-framework/ready/landing-zone/design-area/multi-tenant/considerations-recommendations" display="More info" xr:uid="{BC633C9C-CC01-4D2C-9B42-DFFC45BEE521}"/>
    <hyperlink ref="L1025" r:id="rId381" tooltip="https://learn.microsoft.com/azure/cloud-adoption-framework/ready/landing-zone/design-area/multi-tenant/considerations-recommendations" display="More info" xr:uid="{847599DF-A918-4FA3-9787-40C9DA864C87}"/>
    <hyperlink ref="L1026" r:id="rId382" tooltip="https://learn.microsoft.com/azure/cloud-adoption-framework/ready/landing-zone/design-area/multi-tenant/considerations-recommendations" display="More info" xr:uid="{8B0033D4-26EA-48AC-9C5C-E1B6883E711A}"/>
    <hyperlink ref="L1027" r:id="rId383" tooltip="https://learn.microsoft.com/azure/cloud-adoption-framework/ready/landing-zone/design-area/multi-tenant/considerations-recommendations" display="More info" xr:uid="{444C371B-EB7C-44FD-87F6-471C066502BD}"/>
    <hyperlink ref="L1028" r:id="rId384" tooltip="https://learn.microsoft.com/azure/cloud-adoption-framework/ready/landing-zone/design-area/multi-tenant/considerations-recommendations" display="More info" xr:uid="{A16DB998-29DA-4BAD-8EA0-CCB2B0954CDA}"/>
    <hyperlink ref="L1029" r:id="rId385" tooltip="https://learn.microsoft.com/azure/cloud-adoption-framework/ready/landing-zone/design-area/multi-tenant/considerations-recommendations" display="More info" xr:uid="{3381B939-6F2A-4533-AD6B-34E7F1D41726}"/>
    <hyperlink ref="L1030" r:id="rId386" tooltip="https://learn.microsoft.com/azure/cloud-adoption-framework/ready/landing-zone/design-area/multi-tenant/considerations-recommendations" display="More info" xr:uid="{907B60FE-9404-44B7-9BF2-5C39106A67DC}"/>
    <hyperlink ref="L1031" r:id="rId387" tooltip="https://learn.microsoft.com/azure/cloud-adoption-framework/ready/landing-zone/design-area/multi-tenant/considerations-recommendations" display="More info" xr:uid="{52E63828-FA9E-415C-8BD7-854D181D58D0}"/>
    <hyperlink ref="L1032" r:id="rId388" tooltip="https://learn.microsoft.com/azure/cloud-adoption-framework/ready/landing-zone/design-area/multi-tenant/considerations-recommendations" display="More info" xr:uid="{4912A4B8-C23C-460A-B754-A2C02211BD16}"/>
    <hyperlink ref="L1033" r:id="rId389" tooltip="https://learn.microsoft.com/azure/cloud-adoption-framework/ready/landing-zone/design-area/multi-tenant/considerations-recommendations" display="More info" xr:uid="{3F6299D4-CD06-49E8-8CD8-2255767A1C3B}"/>
    <hyperlink ref="L1034" r:id="rId390" tooltip="https://learn.microsoft.com/azure/cloud-adoption-framework/ready/landing-zone/design-area/multi-tenant/considerations-recommendations" display="More info" xr:uid="{B846B8CB-3B41-4459-9056-75F60FD43151}"/>
    <hyperlink ref="L1035" r:id="rId391" tooltip="https://learn.microsoft.com/azure/cloud-adoption-framework/ready/landing-zone/design-area/multi-tenant/considerations-recommendations" display="More info" xr:uid="{D6544D0C-5546-4B45-8F45-125689293ACD}"/>
    <hyperlink ref="L1036" r:id="rId392" tooltip="https://learn.microsoft.com/azure/cloud-adoption-framework/ready/landing-zone/design-area/multi-tenant/considerations-recommendations" display="More info" xr:uid="{F905E3A2-4A3D-4EC1-B506-322AFF26B3B4}"/>
    <hyperlink ref="L1037" r:id="rId393" tooltip="https://learn.microsoft.com/azure/cloud-adoption-framework/ready/landing-zone/design-area/multi-tenant/considerations-recommendations" display="More info" xr:uid="{FC457C4B-9FFB-47A0-B2C0-C8D519A1588E}"/>
    <hyperlink ref="L1038" r:id="rId394" tooltip="https://learn.microsoft.com/azure/cloud-adoption-framework/ready/landing-zone/design-area/multi-tenant/considerations-recommendations" display="More info" xr:uid="{73F876B2-9712-4E5D-832A-940806058978}"/>
    <hyperlink ref="L1039" r:id="rId395" tooltip="https://learn.microsoft.com/azure/cloud-adoption-framework/ready/landing-zone/design-area/multi-tenant/considerations-recommendations" display="More info" xr:uid="{90D051EC-782F-48A0-BA86-DB7B818C2327}"/>
    <hyperlink ref="L1040" r:id="rId396" tooltip="https://learn.microsoft.com/azure/cloud-adoption-framework/ready/landing-zone/design-area/multi-tenant/considerations-recommendations" display="More info" xr:uid="{3E685641-1CCA-43B4-8ABA-808D8B5582E0}"/>
    <hyperlink ref="L1041" r:id="rId397" tooltip="https://learn.microsoft.com/azure/cloud-adoption-framework/ready/landing-zone/design-area/multi-tenant/considerations-recommendations" display="More info" xr:uid="{6C75075F-B2B0-4103-A1F4-D95F84A2CC98}"/>
    <hyperlink ref="L1042" r:id="rId398" tooltip="https://learn.microsoft.com/azure/cloud-adoption-framework/ready/landing-zone/design-area/multi-tenant/considerations-recommendations" display="More info" xr:uid="{18B2C909-12A7-4C1B-8A4D-46CF5E301A8C}"/>
    <hyperlink ref="L1043" r:id="rId399" tooltip="https://learn.microsoft.com/azure/cloud-adoption-framework/ready/landing-zone/design-area/multi-tenant/considerations-recommendations" display="More info" xr:uid="{F9BDFE0D-F6B2-49AC-B3A5-783171D1B75D}"/>
    <hyperlink ref="L1044" r:id="rId400" tooltip="https://learn.microsoft.com/azure/cloud-adoption-framework/ready/landing-zone/design-area/multi-tenant/considerations-recommendations" display="More info" xr:uid="{59F6AF0F-13DE-4463-989F-535DF1AC744F}"/>
    <hyperlink ref="L1045" r:id="rId401" tooltip="https://learn.microsoft.com/azure/cloud-adoption-framework/ready/landing-zone/design-area/multi-tenant/considerations-recommendations" display="More info" xr:uid="{E180759B-E3ED-4518-8606-650CD9F87C3A}"/>
    <hyperlink ref="L1046" r:id="rId402" tooltip="https://learn.microsoft.com/azure/cloud-adoption-framework/ready/landing-zone/design-area/multi-tenant/considerations-recommendations" display="More info" xr:uid="{823B2ABF-D576-486E-AAFC-93867D217413}"/>
    <hyperlink ref="L1047" r:id="rId403" tooltip="https://learn.microsoft.com/azure/cloud-adoption-framework/ready/landing-zone/design-area/multi-tenant/considerations-recommendations" display="More info" xr:uid="{17C5E32F-DB2D-4A15-8F92-C642D9962859}"/>
    <hyperlink ref="L1048" r:id="rId404" tooltip="https://learn.microsoft.com/azure/cloud-adoption-framework/ready/landing-zone/design-area/multi-tenant/considerations-recommendations" display="More info" xr:uid="{2F2462BC-AF5C-44CF-A997-8F590D7FF43D}"/>
    <hyperlink ref="L1049" r:id="rId405" tooltip="https://learn.microsoft.com/azure/cloud-adoption-framework/ready/landing-zone/design-area/multi-tenant/considerations-recommendations" display="More info" xr:uid="{3DADFA25-7C9D-4913-BF3A-4C7265E382F1}"/>
    <hyperlink ref="L1050" r:id="rId406" tooltip="https://learn.microsoft.com/azure/cloud-adoption-framework/ready/landing-zone/design-area/multi-tenant/considerations-recommendations" display="More info" xr:uid="{604CCF33-C8C9-4A56-86F8-B80BCA19E02F}"/>
    <hyperlink ref="L1051" r:id="rId407" tooltip="https://learn.microsoft.com/azure/cloud-adoption-framework/ready/landing-zone/design-area/multi-tenant/considerations-recommendations" display="More info" xr:uid="{F84FF260-E098-4E3C-919A-AC6423D1AF1C}"/>
    <hyperlink ref="L1052" r:id="rId408" tooltip="https://learn.microsoft.com/azure/cloud-adoption-framework/ready/landing-zone/design-area/multi-tenant/considerations-recommendations" display="More info" xr:uid="{8AE075C5-59E6-4719-9348-2BE7222DB344}"/>
    <hyperlink ref="L1053" r:id="rId409" tooltip="https://learn.microsoft.com/azure/cloud-adoption-framework/ready/landing-zone/design-area/multi-tenant/considerations-recommendations" display="More info" xr:uid="{804B9645-318E-4C4B-8E89-8E40DC7FEB5E}"/>
    <hyperlink ref="L1054" r:id="rId410" tooltip="https://learn.microsoft.com/azure/cloud-adoption-framework/ready/landing-zone/design-area/multi-tenant/considerations-recommendations" display="More info" xr:uid="{6103C0EA-EA78-4DE4-88DC-2372C247EEE1}"/>
    <hyperlink ref="L1055" r:id="rId411" tooltip="https://learn.microsoft.com/azure/cloud-adoption-framework/ready/landing-zone/design-area/multi-tenant/considerations-recommendations" display="More info" xr:uid="{5AACDDEF-5E13-42B0-8D83-2EF2BDD55F37}"/>
    <hyperlink ref="L1056" r:id="rId412" tooltip="https://learn.microsoft.com/azure/cloud-adoption-framework/ready/landing-zone/design-area/multi-tenant/considerations-recommendations" display="More info" xr:uid="{AF3C1ABE-9F3C-44D2-8C18-6516D0D944A9}"/>
    <hyperlink ref="L1057" r:id="rId413" tooltip="https://learn.microsoft.com/azure/cloud-adoption-framework/ready/landing-zone/design-area/multi-tenant/considerations-recommendations" display="More info" xr:uid="{0FDAAE72-1F54-4670-B4FF-AB644B49B26D}"/>
    <hyperlink ref="L1058" r:id="rId414" tooltip="https://learn.microsoft.com/azure/cloud-adoption-framework/ready/landing-zone/design-area/multi-tenant/considerations-recommendations" display="More info" xr:uid="{A1F12010-6BB9-49C5-B2D3-4CB76E4592F6}"/>
    <hyperlink ref="L1059" r:id="rId415" tooltip="https://learn.microsoft.com/azure/cloud-adoption-framework/ready/landing-zone/design-area/multi-tenant/considerations-recommendations" display="More info" xr:uid="{3AEA7AEA-4137-4496-A059-00F2208BAD90}"/>
    <hyperlink ref="L1060" r:id="rId416" tooltip="https://learn.microsoft.com/azure/cloud-adoption-framework/ready/landing-zone/design-area/multi-tenant/considerations-recommendations" display="More info" xr:uid="{E568917B-0CDB-4B41-9ED7-D1CA7E7E52E0}"/>
    <hyperlink ref="L1061" r:id="rId417" tooltip="https://learn.microsoft.com/azure/cloud-adoption-framework/ready/landing-zone/design-area/multi-tenant/considerations-recommendations" display="More info" xr:uid="{DD794A72-1AEB-4F13-BCC5-A274E80B30E3}"/>
    <hyperlink ref="L1062" r:id="rId418" tooltip="https://learn.microsoft.com/azure/cloud-adoption-framework/ready/landing-zone/design-area/multi-tenant/considerations-recommendations" display="More info" xr:uid="{0EA7D464-9852-4383-8C80-132C45D23E2E}"/>
    <hyperlink ref="L1063" r:id="rId419" tooltip="https://learn.microsoft.com/azure/cloud-adoption-framework/ready/landing-zone/design-area/multi-tenant/considerations-recommendations" display="More info" xr:uid="{6E3E893C-B060-4E8A-8E18-F0B4B786187A}"/>
    <hyperlink ref="L1064" r:id="rId420" tooltip="https://learn.microsoft.com/azure/cloud-adoption-framework/ready/landing-zone/design-area/multi-tenant/considerations-recommendations" display="More info" xr:uid="{42B89AC3-F64C-47EB-8347-6847F01CCB81}"/>
    <hyperlink ref="L1065" r:id="rId421" tooltip="https://learn.microsoft.com/azure/cloud-adoption-framework/ready/landing-zone/design-area/multi-tenant/considerations-recommendations" display="More info" xr:uid="{CFA13FF8-C6C4-4BB5-97D5-B477FA6C1946}"/>
    <hyperlink ref="L1066" r:id="rId422" tooltip="https://learn.microsoft.com/azure/cloud-adoption-framework/ready/landing-zone/design-area/multi-tenant/considerations-recommendations" display="More info" xr:uid="{AD5E9991-EEA1-4408-ACC7-F97C209C9A56}"/>
    <hyperlink ref="L1067" r:id="rId423" tooltip="https://learn.microsoft.com/azure/cloud-adoption-framework/ready/landing-zone/design-area/multi-tenant/considerations-recommendations" display="More info" xr:uid="{AF2A3707-BCF4-4A50-88E6-54C1A5D7588F}"/>
    <hyperlink ref="L1068" r:id="rId424" tooltip="https://learn.microsoft.com/azure/cloud-adoption-framework/ready/landing-zone/design-area/multi-tenant/considerations-recommendations" display="More info" xr:uid="{43D33B46-BB9E-4CC7-B6CC-6ED31E0FF7E6}"/>
    <hyperlink ref="L1069" r:id="rId425" tooltip="https://learn.microsoft.com/azure/cloud-adoption-framework/ready/landing-zone/design-area/multi-tenant/considerations-recommendations" display="More info" xr:uid="{A751D9FE-EEDD-488E-932A-A4AB005B6753}"/>
    <hyperlink ref="L1070" r:id="rId426" tooltip="https://learn.microsoft.com/azure/cloud-adoption-framework/ready/landing-zone/design-area/multi-tenant/considerations-recommendations" display="More info" xr:uid="{27E3DD02-5CB7-4E7B-BC2E-A8421EAC4DE7}"/>
    <hyperlink ref="L1071" r:id="rId427" tooltip="https://learn.microsoft.com/azure/cloud-adoption-framework/ready/landing-zone/design-area/multi-tenant/considerations-recommendations" display="More info" xr:uid="{FB9CBF11-973D-49A4-8EED-C4C1AF54AAED}"/>
    <hyperlink ref="L1072" r:id="rId428" tooltip="https://learn.microsoft.com/azure/cloud-adoption-framework/ready/landing-zone/design-area/multi-tenant/considerations-recommendations" display="More info" xr:uid="{2835C398-5F1A-403E-A7AA-FF5C0614D150}"/>
    <hyperlink ref="L1073" r:id="rId429" tooltip="https://learn.microsoft.com/azure/cloud-adoption-framework/ready/landing-zone/design-area/multi-tenant/considerations-recommendations" display="More info" xr:uid="{5800FCCB-F2B2-46A8-BFE4-845E3B882E07}"/>
    <hyperlink ref="L1074" r:id="rId430" tooltip="https://learn.microsoft.com/azure/cloud-adoption-framework/ready/landing-zone/design-area/multi-tenant/considerations-recommendations" display="More info" xr:uid="{F96AA73C-C4EE-46FA-828F-B8F01BDFBA3C}"/>
    <hyperlink ref="L1075" r:id="rId431" tooltip="https://learn.microsoft.com/azure/cloud-adoption-framework/ready/landing-zone/design-area/multi-tenant/considerations-recommendations" display="More info" xr:uid="{EC17D4A4-8ADA-4A74-90A1-562905DF21C7}"/>
    <hyperlink ref="L1076" r:id="rId432" tooltip="https://learn.microsoft.com/azure/cloud-adoption-framework/ready/landing-zone/design-area/multi-tenant/considerations-recommendations" display="More info" xr:uid="{B0916F38-66C2-47DF-85F9-9D92A2A4C0A0}"/>
    <hyperlink ref="L1077" r:id="rId433" tooltip="https://learn.microsoft.com/azure/cloud-adoption-framework/ready/landing-zone/design-area/multi-tenant/considerations-recommendations" display="More info" xr:uid="{27BFB23F-F4F7-4362-9874-F9A1FDF9DD56}"/>
    <hyperlink ref="L1078" r:id="rId434" tooltip="https://learn.microsoft.com/azure/cloud-adoption-framework/ready/landing-zone/design-area/multi-tenant/considerations-recommendations" display="More info" xr:uid="{BD003CB0-5AB5-4204-9BE0-3D8842DA9F43}"/>
    <hyperlink ref="L1079" r:id="rId435" tooltip="https://learn.microsoft.com/azure/cloud-adoption-framework/ready/landing-zone/design-area/multi-tenant/considerations-recommendations" display="More info" xr:uid="{BA0AEE2F-D98C-421E-80A4-C5F3D257B84E}"/>
    <hyperlink ref="L1080" r:id="rId436" tooltip="https://learn.microsoft.com/azure/cloud-adoption-framework/ready/landing-zone/design-area/multi-tenant/considerations-recommendations" display="More info" xr:uid="{FBFE26EB-F887-467C-9648-AA70DF0F2219}"/>
    <hyperlink ref="L1081" r:id="rId437" tooltip="https://learn.microsoft.com/azure/cloud-adoption-framework/ready/landing-zone/design-area/multi-tenant/considerations-recommendations" display="More info" xr:uid="{98E23B0A-329D-4E4E-A926-C29026421407}"/>
    <hyperlink ref="L1082" r:id="rId438" tooltip="https://learn.microsoft.com/azure/cloud-adoption-framework/ready/landing-zone/design-area/multi-tenant/considerations-recommendations" display="More info" xr:uid="{ED774223-BE9C-43AC-885B-A31B6E94D1CA}"/>
    <hyperlink ref="L1083" r:id="rId439" tooltip="https://learn.microsoft.com/azure/cloud-adoption-framework/ready/landing-zone/design-area/multi-tenant/considerations-recommendations" display="More info" xr:uid="{73C148BD-EC88-4092-934E-AD756086D2B0}"/>
    <hyperlink ref="L1084" r:id="rId440" tooltip="https://learn.microsoft.com/azure/cloud-adoption-framework/ready/landing-zone/design-area/multi-tenant/considerations-recommendations" display="More info" xr:uid="{7F4006B7-689B-4493-97FD-F6C13AB0CDD7}"/>
    <hyperlink ref="L1085" r:id="rId441" tooltip="https://learn.microsoft.com/azure/cloud-adoption-framework/ready/landing-zone/design-area/multi-tenant/considerations-recommendations" display="More info" xr:uid="{1F918C24-BB70-4956-B579-5A8F440C19A3}"/>
    <hyperlink ref="L1086" r:id="rId442" tooltip="https://learn.microsoft.com/azure/cloud-adoption-framework/ready/landing-zone/design-area/multi-tenant/considerations-recommendations" display="More info" xr:uid="{F14B0F0D-858A-468F-B3E6-7A58D0835CB0}"/>
    <hyperlink ref="L1087" r:id="rId443" tooltip="https://learn.microsoft.com/azure/cloud-adoption-framework/ready/landing-zone/design-area/multi-tenant/considerations-recommendations" display="More info" xr:uid="{0FEB66C7-A789-4866-A20B-485EC1DC993F}"/>
    <hyperlink ref="L1088" r:id="rId444" tooltip="https://learn.microsoft.com/azure/cloud-adoption-framework/ready/landing-zone/design-area/multi-tenant/considerations-recommendations" display="More info" xr:uid="{D61A478D-3FEA-4D43-948A-9BE66868ABD3}"/>
    <hyperlink ref="L1089" r:id="rId445" tooltip="https://learn.microsoft.com/azure/cloud-adoption-framework/ready/landing-zone/design-area/multi-tenant/considerations-recommendations" display="More info" xr:uid="{E5D9403F-0624-42D4-A98F-833C23F7E9F5}"/>
    <hyperlink ref="L1090" r:id="rId446" tooltip="https://learn.microsoft.com/azure/cloud-adoption-framework/ready/landing-zone/design-area/multi-tenant/considerations-recommendations" display="More info" xr:uid="{0B2303E4-AE6C-4BED-BCDA-9B0626708DAE}"/>
    <hyperlink ref="L1091" r:id="rId447" tooltip="https://learn.microsoft.com/azure/cloud-adoption-framework/ready/landing-zone/design-area/multi-tenant/considerations-recommendations" display="More info" xr:uid="{F2FEDAB0-EC7C-4FA4-B77D-2B6566693293}"/>
    <hyperlink ref="L1092" r:id="rId448" tooltip="https://learn.microsoft.com/azure/cloud-adoption-framework/ready/landing-zone/design-area/multi-tenant/considerations-recommendations" display="More info" xr:uid="{C899BB33-5480-45C8-A40B-78048B9D4410}"/>
    <hyperlink ref="L1093" r:id="rId449" tooltip="https://learn.microsoft.com/azure/cloud-adoption-framework/ready/landing-zone/design-area/multi-tenant/considerations-recommendations" display="More info" xr:uid="{03D9882A-AC77-4C64-9C7C-CB4F7A963C7D}"/>
    <hyperlink ref="L1094" r:id="rId450" tooltip="https://learn.microsoft.com/azure/cloud-adoption-framework/ready/landing-zone/design-area/multi-tenant/considerations-recommendations" display="More info" xr:uid="{E67CBA99-E302-4C4D-9096-951435EBD8C7}"/>
    <hyperlink ref="L1095" r:id="rId451" tooltip="https://learn.microsoft.com/azure/cloud-adoption-framework/ready/landing-zone/design-area/multi-tenant/considerations-recommendations" display="More info" xr:uid="{13BCE4C5-7500-4697-ACD1-2AA39C4C0105}"/>
    <hyperlink ref="L1096" r:id="rId452" tooltip="https://learn.microsoft.com/azure/cloud-adoption-framework/ready/landing-zone/design-area/multi-tenant/considerations-recommendations" display="More info" xr:uid="{FCECB21D-2D5D-4EB1-ABE5-E83469F878C4}"/>
    <hyperlink ref="L1097" r:id="rId453" tooltip="https://learn.microsoft.com/azure/cloud-adoption-framework/ready/landing-zone/design-area/multi-tenant/considerations-recommendations" display="More info" xr:uid="{2FE7AB8C-BB44-497C-B683-A1D488777CB4}"/>
    <hyperlink ref="L1098" r:id="rId454" tooltip="https://learn.microsoft.com/azure/cloud-adoption-framework/ready/landing-zone/design-area/multi-tenant/considerations-recommendations" display="More info" xr:uid="{57B99AE5-4E2A-4104-A706-644B6CF93CAB}"/>
    <hyperlink ref="L1099" r:id="rId455" tooltip="https://learn.microsoft.com/azure/cloud-adoption-framework/ready/landing-zone/design-area/multi-tenant/considerations-recommendations" display="More info" xr:uid="{DB244490-D645-46DB-9D73-22721A4E6342}"/>
    <hyperlink ref="L1100" r:id="rId456" tooltip="https://learn.microsoft.com/azure/cloud-adoption-framework/ready/landing-zone/design-area/multi-tenant/considerations-recommendations" display="More info" xr:uid="{59CA66B4-8C0D-4BD1-BC77-C27C6840F324}"/>
    <hyperlink ref="L1101" r:id="rId457" tooltip="https://learn.microsoft.com/azure/cloud-adoption-framework/ready/landing-zone/design-area/multi-tenant/considerations-recommendations" display="More info" xr:uid="{B20F14F7-E354-4620-BDD1-7500FE104397}"/>
    <hyperlink ref="L1102" r:id="rId458" tooltip="https://learn.microsoft.com/azure/cloud-adoption-framework/ready/landing-zone/design-area/multi-tenant/considerations-recommendations" display="More info" xr:uid="{84808AC4-9E35-457C-A457-9E36B4EF2DE1}"/>
    <hyperlink ref="L1103" r:id="rId459" tooltip="https://learn.microsoft.com/azure/cloud-adoption-framework/ready/landing-zone/design-area/multi-tenant/considerations-recommendations" display="More info" xr:uid="{9FCC8042-7A2F-4F1D-839F-73E1012B5B1F}"/>
    <hyperlink ref="L1104" r:id="rId460" tooltip="https://learn.microsoft.com/azure/cloud-adoption-framework/ready/landing-zone/design-area/multi-tenant/considerations-recommendations" display="More info" xr:uid="{9D26C610-546B-44FD-B0EB-7A22FD906FC3}"/>
    <hyperlink ref="L1105" r:id="rId461" tooltip="https://learn.microsoft.com/azure/cloud-adoption-framework/ready/landing-zone/design-area/multi-tenant/considerations-recommendations" display="More info" xr:uid="{A608CD41-64EA-49B2-9A92-6FD3864546F8}"/>
    <hyperlink ref="L1106" r:id="rId462" tooltip="https://learn.microsoft.com/azure/cloud-adoption-framework/ready/landing-zone/design-area/multi-tenant/considerations-recommendations" display="More info" xr:uid="{8FBA3CD2-6C88-4862-A3A4-98C404689F2B}"/>
    <hyperlink ref="L1107" r:id="rId463" tooltip="https://learn.microsoft.com/azure/cloud-adoption-framework/ready/landing-zone/design-area/multi-tenant/considerations-recommendations" display="More info" xr:uid="{5A30873B-71F9-4DB6-87B6-196CC07F4AFA}"/>
    <hyperlink ref="L1108" r:id="rId464" tooltip="https://learn.microsoft.com/azure/cloud-adoption-framework/ready/landing-zone/design-area/multi-tenant/considerations-recommendations" display="More info" xr:uid="{F259FF98-1134-4DBB-A528-A282C80C1396}"/>
    <hyperlink ref="L1109" r:id="rId465" tooltip="https://learn.microsoft.com/azure/cloud-adoption-framework/ready/landing-zone/design-area/multi-tenant/considerations-recommendations" display="More info" xr:uid="{48C523F1-1665-4EEC-8F41-C759AE802236}"/>
    <hyperlink ref="L1110" r:id="rId466" tooltip="https://learn.microsoft.com/azure/cloud-adoption-framework/ready/landing-zone/design-area/multi-tenant/considerations-recommendations" display="More info" xr:uid="{7298C4A1-4231-4AC6-A8FD-B92A936A0757}"/>
    <hyperlink ref="L1111" r:id="rId467" tooltip="https://learn.microsoft.com/azure/cloud-adoption-framework/ready/landing-zone/design-area/multi-tenant/considerations-recommendations" display="More info" xr:uid="{BC7A4479-8284-4A7E-A82E-5C537C99FB32}"/>
    <hyperlink ref="L1112" r:id="rId468" tooltip="https://learn.microsoft.com/azure/cloud-adoption-framework/ready/landing-zone/design-area/multi-tenant/considerations-recommendations" display="More info" xr:uid="{D39101C0-1562-4358-8141-835D2DE230E6}"/>
    <hyperlink ref="L1113" r:id="rId469" tooltip="https://learn.microsoft.com/azure/cloud-adoption-framework/ready/landing-zone/design-area/multi-tenant/considerations-recommendations" display="More info" xr:uid="{FC719170-3FCA-4FD8-BCF1-7FD3564D3A0E}"/>
    <hyperlink ref="L1114" r:id="rId470" tooltip="https://learn.microsoft.com/azure/cloud-adoption-framework/ready/landing-zone/design-area/multi-tenant/considerations-recommendations" display="More info" xr:uid="{1B3030B4-8593-4F2B-ADB1-2A689741818E}"/>
    <hyperlink ref="L1115" r:id="rId471" tooltip="https://learn.microsoft.com/azure/cloud-adoption-framework/ready/landing-zone/design-area/multi-tenant/considerations-recommendations" display="More info" xr:uid="{41E58DB1-54A3-4908-9595-C49EA7CA8267}"/>
    <hyperlink ref="L1116" r:id="rId472" tooltip="https://learn.microsoft.com/azure/cloud-adoption-framework/ready/landing-zone/design-area/multi-tenant/considerations-recommendations" display="More info" xr:uid="{B650C50C-F497-4699-A7BB-4A77E1AB123F}"/>
    <hyperlink ref="L1117" r:id="rId473" tooltip="https://learn.microsoft.com/azure/cloud-adoption-framework/ready/landing-zone/design-area/multi-tenant/considerations-recommendations" display="More info" xr:uid="{05F0A1AE-16F8-49C3-AC76-9D0C183585A1}"/>
    <hyperlink ref="L1118" r:id="rId474" tooltip="https://learn.microsoft.com/azure/cloud-adoption-framework/ready/landing-zone/design-area/multi-tenant/considerations-recommendations" display="More info" xr:uid="{8A1BDDA0-2071-49D0-BDE4-2D6EE1F5E781}"/>
    <hyperlink ref="L1119" r:id="rId475" tooltip="https://learn.microsoft.com/azure/cloud-adoption-framework/ready/landing-zone/design-area/multi-tenant/considerations-recommendations" display="More info" xr:uid="{56343B16-2B38-4753-AB05-DDAD1059E806}"/>
    <hyperlink ref="L1120" r:id="rId476" tooltip="https://learn.microsoft.com/azure/cloud-adoption-framework/ready/landing-zone/design-area/multi-tenant/considerations-recommendations" display="More info" xr:uid="{23B4BB26-BB7D-4856-816B-9DC9EB3D4AA4}"/>
    <hyperlink ref="L1121" r:id="rId477" tooltip="https://learn.microsoft.com/azure/cloud-adoption-framework/ready/landing-zone/design-area/multi-tenant/considerations-recommendations" display="More info" xr:uid="{E3F38449-F09E-4A18-A615-D9CCEF096CBD}"/>
    <hyperlink ref="L1122" r:id="rId478" tooltip="https://learn.microsoft.com/azure/cloud-adoption-framework/ready/landing-zone/design-area/multi-tenant/considerations-recommendations" display="More info" xr:uid="{6A117EC7-836A-47B8-8201-0E111921A5E9}"/>
    <hyperlink ref="L1123" r:id="rId479" tooltip="https://learn.microsoft.com/azure/cloud-adoption-framework/ready/landing-zone/design-area/multi-tenant/considerations-recommendations" display="More info" xr:uid="{EF9DF217-38C3-48DD-AFD9-603E19A9FAA2}"/>
    <hyperlink ref="L1124" r:id="rId480" tooltip="https://learn.microsoft.com/azure/cloud-adoption-framework/ready/landing-zone/design-area/multi-tenant/considerations-recommendations" display="More info" xr:uid="{B8F5829E-E19B-47AE-A670-710FF65DD5F1}"/>
    <hyperlink ref="L1125" r:id="rId481" tooltip="https://learn.microsoft.com/azure/cloud-adoption-framework/ready/landing-zone/design-area/multi-tenant/considerations-recommendations" display="More info" xr:uid="{ECF5D479-7981-488B-A946-C75F272507C8}"/>
    <hyperlink ref="L1126" r:id="rId482" tooltip="https://learn.microsoft.com/azure/cloud-adoption-framework/ready/landing-zone/design-area/multi-tenant/considerations-recommendations" display="More info" xr:uid="{E2FB1DEB-BE73-4CBF-92A1-214AAB18A32C}"/>
    <hyperlink ref="L1127" r:id="rId483" tooltip="https://learn.microsoft.com/azure/cloud-adoption-framework/ready/landing-zone/design-area/multi-tenant/considerations-recommendations" display="More info" xr:uid="{F986D7E4-1AA4-4F29-B625-4A8C4E014B4D}"/>
    <hyperlink ref="L1128" r:id="rId484" tooltip="https://learn.microsoft.com/azure/cloud-adoption-framework/ready/landing-zone/design-area/multi-tenant/considerations-recommendations" display="More info" xr:uid="{2D7BE05A-0D6A-4233-B4D5-EC94157B3321}"/>
    <hyperlink ref="L1129" r:id="rId485" tooltip="https://learn.microsoft.com/azure/cloud-adoption-framework/ready/landing-zone/design-area/multi-tenant/considerations-recommendations" display="More info" xr:uid="{A85E311D-2F98-407F-A9CF-A20E7F0A92BE}"/>
    <hyperlink ref="L1130" r:id="rId486" tooltip="https://learn.microsoft.com/azure/cloud-adoption-framework/ready/landing-zone/design-area/multi-tenant/considerations-recommendations" display="More info" xr:uid="{7E7627AF-B1C4-4902-82ED-6AEC6F0E1620}"/>
    <hyperlink ref="L1131" r:id="rId487" tooltip="https://learn.microsoft.com/azure/cloud-adoption-framework/ready/landing-zone/design-area/multi-tenant/considerations-recommendations" display="More info" xr:uid="{9EC4A51A-823C-4F50-89C1-59BBA424552F}"/>
    <hyperlink ref="L1132" r:id="rId488" tooltip="https://learn.microsoft.com/azure/cloud-adoption-framework/ready/landing-zone/design-area/multi-tenant/considerations-recommendations" display="More info" xr:uid="{F0785D3D-D31B-451C-8A80-DD7A89E70BF2}"/>
    <hyperlink ref="L1133" r:id="rId489" tooltip="https://learn.microsoft.com/azure/cloud-adoption-framework/ready/landing-zone/design-area/multi-tenant/considerations-recommendations" display="More info" xr:uid="{3092E680-1070-48A6-A057-596D49456A12}"/>
    <hyperlink ref="L1134" r:id="rId490" tooltip="https://learn.microsoft.com/azure/cloud-adoption-framework/ready/landing-zone/design-area/multi-tenant/considerations-recommendations" display="More info" xr:uid="{78C27236-8269-43A4-B8A8-3E3461CC3837}"/>
    <hyperlink ref="L1135" r:id="rId491" tooltip="https://learn.microsoft.com/azure/cloud-adoption-framework/ready/landing-zone/design-area/multi-tenant/considerations-recommendations" display="More info" xr:uid="{24B8B63A-78C9-4310-BECB-C773156B05F6}"/>
    <hyperlink ref="L1136" r:id="rId492" tooltip="https://learn.microsoft.com/azure/cloud-adoption-framework/ready/landing-zone/design-area/multi-tenant/considerations-recommendations" display="More info" xr:uid="{820EE286-6D4F-4E5E-ABFD-419539AFD2CC}"/>
    <hyperlink ref="L1137" r:id="rId493" tooltip="https://learn.microsoft.com/azure/cloud-adoption-framework/ready/landing-zone/design-area/multi-tenant/considerations-recommendations" display="More info" xr:uid="{B38D3CB1-1B52-452E-9FFF-A1EB8C8A358D}"/>
    <hyperlink ref="L1138" r:id="rId494" tooltip="https://learn.microsoft.com/azure/cloud-adoption-framework/ready/landing-zone/design-area/multi-tenant/considerations-recommendations" display="More info" xr:uid="{57070F28-60AA-47F9-8931-BBD8CB6ECC6B}"/>
    <hyperlink ref="L1139" r:id="rId495" tooltip="https://learn.microsoft.com/azure/cloud-adoption-framework/ready/landing-zone/design-area/multi-tenant/considerations-recommendations" display="More info" xr:uid="{F0482384-373F-42E6-B49A-D91020894141}"/>
    <hyperlink ref="L1140" r:id="rId496" tooltip="https://learn.microsoft.com/azure/cloud-adoption-framework/ready/landing-zone/design-area/multi-tenant/considerations-recommendations" display="More info" xr:uid="{C6F908A9-655E-46DE-B9F7-CA94FA232A27}"/>
    <hyperlink ref="L1141" r:id="rId497" tooltip="https://learn.microsoft.com/azure/cloud-adoption-framework/ready/landing-zone/design-area/multi-tenant/considerations-recommendations" display="More info" xr:uid="{6AD32748-A8AA-4295-AA5A-F05DE12BEB81}"/>
    <hyperlink ref="L1142" r:id="rId498" tooltip="https://learn.microsoft.com/azure/cloud-adoption-framework/ready/landing-zone/design-area/multi-tenant/considerations-recommendations" display="More info" xr:uid="{B5475B93-7817-4789-9831-B180342F6A81}"/>
    <hyperlink ref="L1143" r:id="rId499" tooltip="https://learn.microsoft.com/azure/cloud-adoption-framework/ready/landing-zone/design-area/multi-tenant/considerations-recommendations" display="More info" xr:uid="{BE0B531C-759A-4027-A8FF-97C728430115}"/>
    <hyperlink ref="L1144" r:id="rId500" tooltip="https://learn.microsoft.com/azure/cloud-adoption-framework/ready/landing-zone/design-area/multi-tenant/considerations-recommendations" display="More info" xr:uid="{4892A2AD-E739-47C9-B78D-0C33F34978CD}"/>
    <hyperlink ref="L1145" r:id="rId501" tooltip="https://learn.microsoft.com/azure/cloud-adoption-framework/ready/landing-zone/design-area/multi-tenant/considerations-recommendations" display="More info" xr:uid="{F7655B04-A9D1-43E9-BCC8-22A7EBFB03E7}"/>
    <hyperlink ref="L1146" r:id="rId502" tooltip="https://learn.microsoft.com/azure/cloud-adoption-framework/ready/landing-zone/design-area/multi-tenant/considerations-recommendations" display="More info" xr:uid="{EEC15F77-BEFC-466E-8402-D41BD9289F25}"/>
    <hyperlink ref="L1147" r:id="rId503" tooltip="https://learn.microsoft.com/azure/cloud-adoption-framework/ready/landing-zone/design-area/multi-tenant/considerations-recommendations" display="More info" xr:uid="{B19E304E-AED9-47B5-8B22-DAAADED38946}"/>
    <hyperlink ref="L1148" r:id="rId504" tooltip="https://learn.microsoft.com/azure/cloud-adoption-framework/ready/landing-zone/design-area/multi-tenant/considerations-recommendations" display="More info" xr:uid="{1C22D6DA-1FC9-4EB6-A807-F037CDB38ABC}"/>
    <hyperlink ref="L1149" r:id="rId505" tooltip="https://learn.microsoft.com/azure/cloud-adoption-framework/ready/landing-zone/design-area/multi-tenant/considerations-recommendations" display="More info" xr:uid="{1E58490C-CD95-4BFB-B68F-EB22ACE66CD0}"/>
    <hyperlink ref="L1150" r:id="rId506" tooltip="https://learn.microsoft.com/azure/cloud-adoption-framework/ready/landing-zone/design-area/multi-tenant/considerations-recommendations" display="More info" xr:uid="{F807217A-3AEB-40BF-868A-D5805C83C55E}"/>
    <hyperlink ref="L1151" r:id="rId507" tooltip="https://learn.microsoft.com/azure/cloud-adoption-framework/ready/landing-zone/design-area/multi-tenant/considerations-recommendations" display="More info" xr:uid="{67B05B9D-AC88-4CDF-B62F-0A79CCD814A5}"/>
    <hyperlink ref="L1152" r:id="rId508" tooltip="https://learn.microsoft.com/azure/cloud-adoption-framework/ready/landing-zone/design-area/multi-tenant/considerations-recommendations" display="More info" xr:uid="{8B8FF503-880F-4D4C-B7CE-CB3826576288}"/>
    <hyperlink ref="L1153" r:id="rId509" tooltip="https://learn.microsoft.com/azure/cloud-adoption-framework/ready/landing-zone/design-area/multi-tenant/considerations-recommendations" display="More info" xr:uid="{4C32E16B-7DE2-4561-B2BF-2E33B54E10D4}"/>
    <hyperlink ref="L1154" r:id="rId510" tooltip="https://learn.microsoft.com/azure/cloud-adoption-framework/ready/landing-zone/design-area/multi-tenant/considerations-recommendations" display="More info" xr:uid="{D25CF062-F3FB-45D4-9783-DDB38C5E0C14}"/>
    <hyperlink ref="L1155" r:id="rId511" tooltip="https://learn.microsoft.com/azure/cloud-adoption-framework/ready/landing-zone/design-area/multi-tenant/considerations-recommendations" display="More info" xr:uid="{BA847BB5-3661-4E88-8ADB-525B4CC056B7}"/>
    <hyperlink ref="L1156" r:id="rId512" tooltip="https://learn.microsoft.com/azure/cloud-adoption-framework/ready/landing-zone/design-area/multi-tenant/considerations-recommendations" display="More info" xr:uid="{19A94518-D4AF-4C05-AAAA-032BB4FC74AF}"/>
    <hyperlink ref="L1157" r:id="rId513" tooltip="https://learn.microsoft.com/azure/cloud-adoption-framework/ready/landing-zone/design-area/multi-tenant/considerations-recommendations" display="More info" xr:uid="{4DF7D3D3-6478-4146-B086-243F371BA7FF}"/>
    <hyperlink ref="L1158" r:id="rId514" tooltip="https://learn.microsoft.com/azure/cloud-adoption-framework/ready/landing-zone/design-area/multi-tenant/considerations-recommendations" display="More info" xr:uid="{90754FE0-CD13-49DA-8348-55A7197E1142}"/>
    <hyperlink ref="L1159" r:id="rId515" tooltip="https://learn.microsoft.com/azure/cloud-adoption-framework/ready/landing-zone/design-area/multi-tenant/considerations-recommendations" display="More info" xr:uid="{5904581D-79ED-4969-9EEE-7115DC295F6F}"/>
    <hyperlink ref="L1160" r:id="rId516" tooltip="https://learn.microsoft.com/azure/cloud-adoption-framework/ready/landing-zone/design-area/multi-tenant/considerations-recommendations" display="More info" xr:uid="{D8A08CFC-34FB-4BE5-8DB7-62801EA2FA10}"/>
    <hyperlink ref="L1161" r:id="rId517" tooltip="https://learn.microsoft.com/azure/cloud-adoption-framework/ready/landing-zone/design-area/multi-tenant/considerations-recommendations" display="More info" xr:uid="{8FFD9B8F-4A3B-4A91-AEA3-79D3BA9176ED}"/>
    <hyperlink ref="L1162" r:id="rId518" tooltip="https://learn.microsoft.com/azure/cloud-adoption-framework/ready/landing-zone/design-area/multi-tenant/considerations-recommendations" display="More info" xr:uid="{C79363B5-C61B-43D0-98B5-AD26553FB53D}"/>
    <hyperlink ref="L1163" r:id="rId519" tooltip="https://learn.microsoft.com/azure/cloud-adoption-framework/ready/landing-zone/design-area/multi-tenant/considerations-recommendations" display="More info" xr:uid="{2FA04C58-47C3-448C-8F5B-EDCDEED98B8A}"/>
    <hyperlink ref="L1164" r:id="rId520" tooltip="https://learn.microsoft.com/azure/cloud-adoption-framework/ready/landing-zone/design-area/multi-tenant/considerations-recommendations" display="More info" xr:uid="{6C2155BE-1CD6-422A-BDCE-F961B9E9F541}"/>
    <hyperlink ref="L1165" r:id="rId521" tooltip="https://learn.microsoft.com/azure/cloud-adoption-framework/ready/landing-zone/design-area/multi-tenant/considerations-recommendations" display="More info" xr:uid="{2843F507-621F-40F3-A321-EDACECE4C777}"/>
    <hyperlink ref="L1166" r:id="rId522" tooltip="https://learn.microsoft.com/azure/cloud-adoption-framework/ready/landing-zone/design-area/multi-tenant/considerations-recommendations" display="More info" xr:uid="{A6FDDC48-9674-43EE-9B08-D0FF8FA5559F}"/>
    <hyperlink ref="L1167" r:id="rId523" tooltip="https://learn.microsoft.com/azure/cloud-adoption-framework/ready/landing-zone/design-area/multi-tenant/considerations-recommendations" display="More info" xr:uid="{60DD78F1-BCCC-47F0-9178-A58F8DE45D0D}"/>
    <hyperlink ref="L1168" r:id="rId524" tooltip="https://learn.microsoft.com/azure/cloud-adoption-framework/ready/landing-zone/design-area/multi-tenant/considerations-recommendations" display="More info" xr:uid="{5E6814AE-A6F4-4FE8-9A9B-052462D97A93}"/>
    <hyperlink ref="L1169" r:id="rId525" tooltip="https://learn.microsoft.com/azure/cloud-adoption-framework/ready/landing-zone/design-area/multi-tenant/considerations-recommendations" display="More info" xr:uid="{91D3E60F-F3E0-4278-922F-EF03C9E340F8}"/>
    <hyperlink ref="L1170" r:id="rId526" tooltip="https://learn.microsoft.com/azure/cloud-adoption-framework/ready/landing-zone/design-area/multi-tenant/considerations-recommendations" display="More info" xr:uid="{9640AF2C-C1A6-4062-964E-6DA3DB5389F3}"/>
    <hyperlink ref="L1171" r:id="rId527" tooltip="https://learn.microsoft.com/azure/cloud-adoption-framework/ready/landing-zone/design-area/multi-tenant/considerations-recommendations" display="More info" xr:uid="{38B8887C-2221-4316-A016-E9847140D6DA}"/>
    <hyperlink ref="L1172" r:id="rId528" tooltip="https://learn.microsoft.com/azure/cloud-adoption-framework/ready/landing-zone/design-area/multi-tenant/considerations-recommendations" display="More info" xr:uid="{3A176044-9C7C-4A6A-BB0C-A638FE8DA70B}"/>
    <hyperlink ref="L1173" r:id="rId529" tooltip="https://learn.microsoft.com/azure/cloud-adoption-framework/ready/landing-zone/design-area/multi-tenant/considerations-recommendations" display="More info" xr:uid="{3F36A9A6-0121-4F06-B007-3CB123D96D56}"/>
    <hyperlink ref="L1174" r:id="rId530" tooltip="https://learn.microsoft.com/azure/cloud-adoption-framework/ready/landing-zone/design-area/multi-tenant/considerations-recommendations" display="More info" xr:uid="{118D686D-AED3-4BF4-8169-574324DB37F8}"/>
    <hyperlink ref="L1175" r:id="rId531" tooltip="https://learn.microsoft.com/azure/cloud-adoption-framework/ready/landing-zone/design-area/multi-tenant/considerations-recommendations" display="More info" xr:uid="{1C89E3B6-AD98-4CE5-B595-E27C3DA65814}"/>
    <hyperlink ref="L1176" r:id="rId532" tooltip="https://learn.microsoft.com/azure/cloud-adoption-framework/ready/landing-zone/design-area/multi-tenant/considerations-recommendations" display="More info" xr:uid="{C17FE0C9-4F87-423E-AF16-364CFDDA0B0B}"/>
    <hyperlink ref="L1177" r:id="rId533" tooltip="https://learn.microsoft.com/azure/cloud-adoption-framework/ready/landing-zone/design-area/multi-tenant/considerations-recommendations" display="More info" xr:uid="{E993AD04-E574-4CD7-B333-9B0E3CD2C683}"/>
    <hyperlink ref="L1178" r:id="rId534" tooltip="https://learn.microsoft.com/azure/cloud-adoption-framework/ready/landing-zone/design-area/multi-tenant/considerations-recommendations" display="More info" xr:uid="{BF8793F7-6A1F-4C5C-A800-A03F256B106C}"/>
    <hyperlink ref="L1179" r:id="rId535" tooltip="https://learn.microsoft.com/azure/cloud-adoption-framework/ready/landing-zone/design-area/multi-tenant/considerations-recommendations" display="More info" xr:uid="{54923718-470F-46DC-9D8C-3A17044CAA90}"/>
    <hyperlink ref="L1180" r:id="rId536" tooltip="https://learn.microsoft.com/azure/cloud-adoption-framework/ready/landing-zone/design-area/multi-tenant/considerations-recommendations" display="More info" xr:uid="{4F63D0BB-9A32-4A5F-9DA2-1218FB42CF95}"/>
    <hyperlink ref="L1181" r:id="rId537" tooltip="https://learn.microsoft.com/azure/cloud-adoption-framework/ready/landing-zone/design-area/multi-tenant/considerations-recommendations" display="More info" xr:uid="{456BF852-6025-4F74-A191-E41950E1E273}"/>
    <hyperlink ref="L1182" r:id="rId538" tooltip="https://learn.microsoft.com/azure/cloud-adoption-framework/ready/landing-zone/design-area/multi-tenant/considerations-recommendations" display="More info" xr:uid="{2823A572-1BB1-4C41-A8F9-ED1E04D614A2}"/>
    <hyperlink ref="L1183" r:id="rId539" tooltip="https://learn.microsoft.com/azure/cloud-adoption-framework/ready/landing-zone/design-area/multi-tenant/considerations-recommendations" display="More info" xr:uid="{FEAE7C31-BD67-4839-8581-B4B326AE36A0}"/>
    <hyperlink ref="L1184" r:id="rId540" tooltip="https://learn.microsoft.com/azure/cloud-adoption-framework/ready/landing-zone/design-area/multi-tenant/considerations-recommendations" display="More info" xr:uid="{768A2393-40A2-473D-888D-24AF297515AA}"/>
    <hyperlink ref="L1185" r:id="rId541" tooltip="https://learn.microsoft.com/azure/cloud-adoption-framework/ready/landing-zone/design-area/multi-tenant/considerations-recommendations" display="More info" xr:uid="{529A5A1D-C66D-4AA5-9964-EA0AA92E5730}"/>
    <hyperlink ref="L1186" r:id="rId542" tooltip="https://learn.microsoft.com/azure/cloud-adoption-framework/ready/landing-zone/design-area/multi-tenant/considerations-recommendations" display="More info" xr:uid="{6BF341B4-7111-41EB-A57C-C8F2A619253E}"/>
    <hyperlink ref="L1187" r:id="rId543" tooltip="https://learn.microsoft.com/azure/cloud-adoption-framework/ready/landing-zone/design-area/multi-tenant/considerations-recommendations" display="More info" xr:uid="{F876D312-F777-4071-8CFF-549830137C7D}"/>
    <hyperlink ref="L1188" r:id="rId544" tooltip="https://learn.microsoft.com/azure/cloud-adoption-framework/ready/landing-zone/design-area/multi-tenant/considerations-recommendations" display="More info" xr:uid="{88D8EE89-7621-40A3-9789-C03E64E6CEAF}"/>
    <hyperlink ref="L1189" r:id="rId545" tooltip="https://learn.microsoft.com/azure/cloud-adoption-framework/ready/landing-zone/design-area/multi-tenant/considerations-recommendations" display="More info" xr:uid="{B713CECE-043D-4226-A76E-92EF3FB54FE0}"/>
    <hyperlink ref="L1190" r:id="rId546" tooltip="https://learn.microsoft.com/azure/cloud-adoption-framework/ready/landing-zone/design-area/multi-tenant/considerations-recommendations" display="More info" xr:uid="{F2B8D7A9-88A0-4739-8174-29AA4D93AFCB}"/>
    <hyperlink ref="L1191" r:id="rId547" tooltip="https://learn.microsoft.com/azure/cloud-adoption-framework/ready/landing-zone/design-area/multi-tenant/considerations-recommendations" display="More info" xr:uid="{2E9EF5A5-B5A4-4FE4-92D1-C09976E0F7FC}"/>
    <hyperlink ref="L1192" r:id="rId548" tooltip="https://learn.microsoft.com/azure/cloud-adoption-framework/ready/landing-zone/design-area/multi-tenant/considerations-recommendations" display="More info" xr:uid="{9D919DE1-B619-4158-8844-193D5DD8D23E}"/>
    <hyperlink ref="L1193" r:id="rId549" tooltip="https://learn.microsoft.com/azure/cloud-adoption-framework/ready/landing-zone/design-area/multi-tenant/considerations-recommendations" display="More info" xr:uid="{528F5EBA-B7D6-4585-9DB9-9C563A0D2540}"/>
    <hyperlink ref="L1194" r:id="rId550" tooltip="https://learn.microsoft.com/azure/cloud-adoption-framework/ready/landing-zone/design-area/multi-tenant/considerations-recommendations" display="More info" xr:uid="{26796CE0-AE72-4F58-86A5-116DABB14E75}"/>
    <hyperlink ref="L1195" r:id="rId551" tooltip="https://learn.microsoft.com/azure/cloud-adoption-framework/ready/landing-zone/design-area/multi-tenant/considerations-recommendations" display="More info" xr:uid="{8556E919-2DDB-47F0-96EF-11CFC5218272}"/>
    <hyperlink ref="L1196" r:id="rId552" tooltip="https://learn.microsoft.com/azure/cloud-adoption-framework/ready/landing-zone/design-area/multi-tenant/considerations-recommendations" display="More info" xr:uid="{70F6717E-4CFD-49F3-9E47-DC8CA01114DC}"/>
    <hyperlink ref="L1197" r:id="rId553" tooltip="https://learn.microsoft.com/azure/cloud-adoption-framework/ready/landing-zone/design-area/multi-tenant/considerations-recommendations" display="More info" xr:uid="{287DB750-7E7A-415A-A8A5-1B6F904C362C}"/>
    <hyperlink ref="L1198" r:id="rId554" tooltip="https://learn.microsoft.com/azure/cloud-adoption-framework/ready/landing-zone/design-area/multi-tenant/considerations-recommendations" display="More info" xr:uid="{81BE7F9D-48C5-4880-9DD6-C377B452FD49}"/>
    <hyperlink ref="L1199" r:id="rId555" tooltip="https://learn.microsoft.com/azure/cloud-adoption-framework/ready/landing-zone/design-area/multi-tenant/considerations-recommendations" display="More info" xr:uid="{F2152EC8-9160-46CC-82C7-A85C28AA55C7}"/>
    <hyperlink ref="L1200" r:id="rId556" tooltip="https://learn.microsoft.com/azure/cloud-adoption-framework/ready/landing-zone/design-area/multi-tenant/considerations-recommendations" display="More info" xr:uid="{DA75C27C-560C-4FC9-9B9C-93209C652FA1}"/>
    <hyperlink ref="L1201" r:id="rId557" tooltip="https://learn.microsoft.com/azure/cloud-adoption-framework/ready/landing-zone/design-area/multi-tenant/considerations-recommendations" display="More info" xr:uid="{48147A3E-8B1F-4E10-816B-141D3F33235C}"/>
    <hyperlink ref="L1202" r:id="rId558" tooltip="https://learn.microsoft.com/azure/cloud-adoption-framework/ready/landing-zone/design-area/multi-tenant/considerations-recommendations" display="More info" xr:uid="{4A4D57AC-BAC0-4A06-956E-08C3CC68DC63}"/>
    <hyperlink ref="L1203" r:id="rId559" tooltip="https://learn.microsoft.com/azure/cloud-adoption-framework/ready/landing-zone/design-area/multi-tenant/considerations-recommendations" display="More info" xr:uid="{DB28AD83-1A63-4678-A0FC-16B757AA7953}"/>
    <hyperlink ref="L1204" r:id="rId560" tooltip="https://learn.microsoft.com/azure/cloud-adoption-framework/ready/landing-zone/design-area/multi-tenant/considerations-recommendations" display="More info" xr:uid="{66FCFD09-8998-43D2-B3C1-747C91629DC3}"/>
    <hyperlink ref="L1205" r:id="rId561" tooltip="https://learn.microsoft.com/azure/cloud-adoption-framework/ready/landing-zone/design-area/multi-tenant/considerations-recommendations" display="More info" xr:uid="{7D229DC6-BFAF-4B8E-BBD4-ADD84EE23224}"/>
    <hyperlink ref="L1206" r:id="rId562" tooltip="https://learn.microsoft.com/azure/cloud-adoption-framework/ready/landing-zone/design-area/multi-tenant/considerations-recommendations" display="More info" xr:uid="{C6DF2A4C-27B5-4CAA-AEA1-4C55A752DBC4}"/>
    <hyperlink ref="L1207" r:id="rId563" tooltip="https://learn.microsoft.com/azure/cloud-adoption-framework/ready/landing-zone/design-area/multi-tenant/considerations-recommendations" display="More info" xr:uid="{5175F37C-2392-4D84-833C-B39E14A30DBA}"/>
    <hyperlink ref="L1208" r:id="rId564" tooltip="https://learn.microsoft.com/azure/cloud-adoption-framework/ready/landing-zone/design-area/multi-tenant/considerations-recommendations" display="More info" xr:uid="{B3B2C1CB-EEE3-4587-9775-1D52D0D8379D}"/>
    <hyperlink ref="L1209" r:id="rId565" tooltip="https://learn.microsoft.com/azure/cloud-adoption-framework/ready/landing-zone/design-area/multi-tenant/considerations-recommendations" display="More info" xr:uid="{066B8236-50C0-4BA1-BF08-55F95AC6ABC5}"/>
    <hyperlink ref="L1210" r:id="rId566" tooltip="https://learn.microsoft.com/azure/cloud-adoption-framework/ready/landing-zone/design-area/multi-tenant/considerations-recommendations" display="More info" xr:uid="{49DED177-2270-4592-9D03-EA87B2BB1917}"/>
    <hyperlink ref="L1211" r:id="rId567" tooltip="https://learn.microsoft.com/azure/cloud-adoption-framework/ready/landing-zone/design-area/multi-tenant/considerations-recommendations" display="More info" xr:uid="{EF8F8719-3AC0-4A99-B093-AD0F6F80DBFC}"/>
    <hyperlink ref="L1212" r:id="rId568" tooltip="https://learn.microsoft.com/azure/cloud-adoption-framework/ready/landing-zone/design-area/multi-tenant/considerations-recommendations" display="More info" xr:uid="{9136CF05-1FA9-455A-8478-9BED128799AC}"/>
    <hyperlink ref="L1213" r:id="rId569" tooltip="https://learn.microsoft.com/azure/cloud-adoption-framework/ready/landing-zone/design-area/multi-tenant/considerations-recommendations" display="More info" xr:uid="{538F4C09-8219-48DC-A967-49D10B5ADFBC}"/>
    <hyperlink ref="L1214" r:id="rId570" tooltip="https://learn.microsoft.com/azure/cloud-adoption-framework/ready/landing-zone/design-area/multi-tenant/considerations-recommendations" display="More info" xr:uid="{0362B792-235D-4205-BB0B-1FDEA7CEB138}"/>
    <hyperlink ref="L1215" r:id="rId571" tooltip="https://learn.microsoft.com/azure/cloud-adoption-framework/ready/landing-zone/design-area/multi-tenant/considerations-recommendations" display="More info" xr:uid="{04A591CD-B659-47AD-97A5-C1E5A12FB06D}"/>
    <hyperlink ref="L1216" r:id="rId572" tooltip="https://learn.microsoft.com/azure/cloud-adoption-framework/ready/landing-zone/design-area/multi-tenant/considerations-recommendations" display="More info" xr:uid="{442EE32F-A7DE-4FFE-96A1-ACFB20063C66}"/>
    <hyperlink ref="L1217" r:id="rId573" tooltip="https://learn.microsoft.com/azure/cloud-adoption-framework/ready/landing-zone/design-area/multi-tenant/considerations-recommendations" display="More info" xr:uid="{A636D752-7B4D-4DB2-865F-0EFD50477B3E}"/>
    <hyperlink ref="L1218" r:id="rId574" tooltip="https://learn.microsoft.com/azure/cloud-adoption-framework/ready/landing-zone/design-area/multi-tenant/considerations-recommendations" display="More info" xr:uid="{662100F3-6A84-4DEB-B8E9-E19775BC6E9D}"/>
    <hyperlink ref="L1219" r:id="rId575" tooltip="https://learn.microsoft.com/azure/cloud-adoption-framework/ready/landing-zone/design-area/multi-tenant/considerations-recommendations" display="More info" xr:uid="{081292D7-573D-476F-87F4-8AA0A6BAB2C3}"/>
    <hyperlink ref="L1220" r:id="rId576" tooltip="https://learn.microsoft.com/azure/cloud-adoption-framework/ready/landing-zone/design-area/multi-tenant/considerations-recommendations" display="More info" xr:uid="{02E8862E-5161-4C7B-A321-297B4B8E6FA4}"/>
    <hyperlink ref="L1221" r:id="rId577" tooltip="https://learn.microsoft.com/azure/cloud-adoption-framework/ready/landing-zone/design-area/multi-tenant/considerations-recommendations" display="More info" xr:uid="{90312921-82A9-41A8-8FB8-D057D2D400DD}"/>
    <hyperlink ref="L1222" r:id="rId578" tooltip="https://learn.microsoft.com/azure/cloud-adoption-framework/ready/landing-zone/design-area/multi-tenant/considerations-recommendations" display="More info" xr:uid="{614751C6-D6BD-4445-A2AD-91361C240C9D}"/>
    <hyperlink ref="L1223" r:id="rId579" tooltip="https://learn.microsoft.com/azure/cloud-adoption-framework/ready/landing-zone/design-area/multi-tenant/considerations-recommendations" display="More info" xr:uid="{D8AE4512-B5D4-4D91-9A4D-F72A93491EBD}"/>
    <hyperlink ref="L1224" r:id="rId580" tooltip="https://learn.microsoft.com/azure/cloud-adoption-framework/ready/landing-zone/design-area/multi-tenant/considerations-recommendations" display="More info" xr:uid="{F598EAF9-013C-48E8-8071-BB217A629C9D}"/>
    <hyperlink ref="L1225" r:id="rId581" tooltip="https://learn.microsoft.com/azure/cloud-adoption-framework/ready/landing-zone/design-area/multi-tenant/considerations-recommendations" display="More info" xr:uid="{E8673B38-0F30-41EC-80E8-5C66EFBFB57A}"/>
    <hyperlink ref="L1226" r:id="rId582" tooltip="https://learn.microsoft.com/azure/cloud-adoption-framework/ready/landing-zone/design-area/multi-tenant/considerations-recommendations" display="More info" xr:uid="{481F2E4F-4A2F-4024-9182-1BC16C599FDA}"/>
    <hyperlink ref="L1227" r:id="rId583" tooltip="https://learn.microsoft.com/azure/cloud-adoption-framework/ready/landing-zone/design-area/multi-tenant/considerations-recommendations" display="More info" xr:uid="{D8692B32-6C51-457E-BA9D-69F1447EA19F}"/>
    <hyperlink ref="L1228" r:id="rId584" tooltip="https://learn.microsoft.com/azure/cloud-adoption-framework/ready/landing-zone/design-area/multi-tenant/considerations-recommendations" display="More info" xr:uid="{B78ED928-40A3-4A6B-ACE7-4880C670FD22}"/>
    <hyperlink ref="L1229" r:id="rId585" tooltip="https://learn.microsoft.com/azure/cloud-adoption-framework/ready/landing-zone/design-area/multi-tenant/considerations-recommendations" display="More info" xr:uid="{E571F76D-534F-4992-991E-F5C9221D9CBD}"/>
    <hyperlink ref="L1230" r:id="rId586" tooltip="https://learn.microsoft.com/azure/cloud-adoption-framework/ready/landing-zone/design-area/multi-tenant/considerations-recommendations" display="More info" xr:uid="{66580863-969A-40B6-BC0A-38F97785E3E2}"/>
    <hyperlink ref="L1231" r:id="rId587" tooltip="https://learn.microsoft.com/azure/cloud-adoption-framework/ready/landing-zone/design-area/multi-tenant/considerations-recommendations" display="More info" xr:uid="{3092F6E0-6D06-4AF9-BF9B-41E42E94FE08}"/>
    <hyperlink ref="L1232" r:id="rId588" tooltip="https://learn.microsoft.com/azure/cloud-adoption-framework/ready/landing-zone/design-area/multi-tenant/considerations-recommendations" display="More info" xr:uid="{5BE00781-F341-41AB-A952-8D1D319977DA}"/>
    <hyperlink ref="L1233" r:id="rId589" tooltip="https://learn.microsoft.com/azure/cloud-adoption-framework/ready/landing-zone/design-area/multi-tenant/considerations-recommendations" display="More info" xr:uid="{325A97C3-D986-4220-89AB-10E483F1AC8E}"/>
    <hyperlink ref="L1234" r:id="rId590" tooltip="https://learn.microsoft.com/azure/cloud-adoption-framework/ready/landing-zone/design-area/multi-tenant/considerations-recommendations" display="More info" xr:uid="{17F243C2-A82A-4BCB-8D2A-1CDD738DACBA}"/>
    <hyperlink ref="L1235" r:id="rId591" tooltip="https://learn.microsoft.com/azure/cloud-adoption-framework/ready/landing-zone/design-area/multi-tenant/considerations-recommendations" display="More info" xr:uid="{57280164-D546-47A5-AE7C-63B450B23FD2}"/>
    <hyperlink ref="L1236" r:id="rId592" tooltip="https://learn.microsoft.com/azure/cloud-adoption-framework/ready/landing-zone/design-area/multi-tenant/considerations-recommendations" display="More info" xr:uid="{A9DEE535-CF00-4FA7-A649-DCB41E350A91}"/>
    <hyperlink ref="L1237" r:id="rId593" tooltip="https://learn.microsoft.com/azure/cloud-adoption-framework/ready/landing-zone/design-area/multi-tenant/considerations-recommendations" display="More info" xr:uid="{514DA66D-8588-4B61-B148-A57B9F55FC30}"/>
    <hyperlink ref="L1238" r:id="rId594" tooltip="https://learn.microsoft.com/azure/cloud-adoption-framework/ready/landing-zone/design-area/multi-tenant/considerations-recommendations" display="More info" xr:uid="{D660086F-6C85-4DBF-809D-DEE2AD8771A0}"/>
    <hyperlink ref="L1239" r:id="rId595" tooltip="https://learn.microsoft.com/azure/cloud-adoption-framework/ready/landing-zone/design-area/multi-tenant/considerations-recommendations" display="More info" xr:uid="{8EB021CA-A58C-42E2-8CB3-856A4E77443B}"/>
    <hyperlink ref="L1240" r:id="rId596" tooltip="https://learn.microsoft.com/azure/cloud-adoption-framework/ready/landing-zone/design-area/multi-tenant/considerations-recommendations" display="More info" xr:uid="{F0ACB549-B279-4219-B509-23BE281708C0}"/>
    <hyperlink ref="L1241" r:id="rId597" tooltip="https://learn.microsoft.com/azure/cloud-adoption-framework/ready/landing-zone/design-area/multi-tenant/considerations-recommendations" display="More info" xr:uid="{FC8F25A2-E3E0-45C7-80A3-FE50239B5836}"/>
    <hyperlink ref="L1242" r:id="rId598" tooltip="https://learn.microsoft.com/azure/cloud-adoption-framework/ready/landing-zone/design-area/multi-tenant/considerations-recommendations" display="More info" xr:uid="{87EA4C1B-965D-4373-BBD4-3CB403FA4244}"/>
    <hyperlink ref="L1243" r:id="rId599" tooltip="https://learn.microsoft.com/azure/cloud-adoption-framework/ready/landing-zone/design-area/multi-tenant/considerations-recommendations" display="More info" xr:uid="{17252F15-823A-4CE7-A8CA-133D2CD09B5C}"/>
    <hyperlink ref="L1244" r:id="rId600" tooltip="https://learn.microsoft.com/azure/cloud-adoption-framework/ready/landing-zone/design-area/multi-tenant/considerations-recommendations" display="More info" xr:uid="{46F3C3AC-B12F-4DC0-9982-52028C153BBD}"/>
    <hyperlink ref="L1245" r:id="rId601" tooltip="https://learn.microsoft.com/azure/cloud-adoption-framework/ready/landing-zone/design-area/multi-tenant/considerations-recommendations" display="More info" xr:uid="{615FD9E5-9871-4A8D-A78B-25BE5064DDD8}"/>
    <hyperlink ref="L1246" r:id="rId602" tooltip="https://learn.microsoft.com/azure/cloud-adoption-framework/ready/landing-zone/design-area/multi-tenant/considerations-recommendations" display="More info" xr:uid="{E44BE1B2-CCBE-42FB-9A0D-DCB339E18234}"/>
    <hyperlink ref="L1247" r:id="rId603" tooltip="https://learn.microsoft.com/azure/cloud-adoption-framework/ready/landing-zone/design-area/multi-tenant/considerations-recommendations" display="More info" xr:uid="{E4AB69A5-3389-48D0-8760-268BEA4B5FCF}"/>
    <hyperlink ref="L1248" r:id="rId604" tooltip="https://learn.microsoft.com/azure/cloud-adoption-framework/ready/landing-zone/design-area/multi-tenant/considerations-recommendations" display="More info" xr:uid="{79AE33C0-891D-4D3B-A61F-CFBA5835E849}"/>
    <hyperlink ref="L1249" r:id="rId605" tooltip="https://learn.microsoft.com/azure/cloud-adoption-framework/ready/landing-zone/design-area/multi-tenant/considerations-recommendations" display="More info" xr:uid="{97D541DB-6EDF-423E-B297-D726B5645C83}"/>
    <hyperlink ref="L1250" r:id="rId606" tooltip="https://learn.microsoft.com/azure/cloud-adoption-framework/ready/landing-zone/design-area/multi-tenant/considerations-recommendations" display="More info" xr:uid="{C2572864-82C8-4D8C-AA32-B572C8418B5C}"/>
    <hyperlink ref="L1251" r:id="rId607" tooltip="https://learn.microsoft.com/azure/cloud-adoption-framework/ready/landing-zone/design-area/multi-tenant/considerations-recommendations" display="More info" xr:uid="{9A9A73F9-23CD-460F-94DD-22A7889BE0CE}"/>
    <hyperlink ref="L1252" r:id="rId608" tooltip="https://learn.microsoft.com/azure/cloud-adoption-framework/ready/landing-zone/design-area/multi-tenant/considerations-recommendations" display="More info" xr:uid="{B4EA231F-AC36-4EE5-B486-8A5A5C8B89B2}"/>
    <hyperlink ref="L1253" r:id="rId609" tooltip="https://learn.microsoft.com/azure/cloud-adoption-framework/ready/landing-zone/design-area/multi-tenant/considerations-recommendations" display="More info" xr:uid="{05958446-1758-45E0-9598-F815C99362C4}"/>
    <hyperlink ref="L1254" r:id="rId610" tooltip="https://learn.microsoft.com/azure/cloud-adoption-framework/ready/landing-zone/design-area/multi-tenant/considerations-recommendations" display="More info" xr:uid="{8EAEE77C-2E66-4A7F-811E-849C23A8C0A3}"/>
    <hyperlink ref="L1255" r:id="rId611" tooltip="https://learn.microsoft.com/azure/cloud-adoption-framework/ready/landing-zone/design-area/multi-tenant/considerations-recommendations" display="More info" xr:uid="{9977767B-1822-4C60-A440-FC4D7A81DE34}"/>
    <hyperlink ref="L1256" r:id="rId612" tooltip="https://learn.microsoft.com/azure/cloud-adoption-framework/ready/landing-zone/design-area/multi-tenant/considerations-recommendations" display="More info" xr:uid="{5AA2532F-9850-4EBD-BECB-5DFF79B3A0CA}"/>
    <hyperlink ref="L1257" r:id="rId613" tooltip="https://learn.microsoft.com/azure/cloud-adoption-framework/ready/landing-zone/design-area/multi-tenant/considerations-recommendations" display="More info" xr:uid="{D1B44951-5653-4EAE-BEF2-F776147D3093}"/>
    <hyperlink ref="L1258" r:id="rId614" tooltip="https://learn.microsoft.com/azure/cloud-adoption-framework/ready/landing-zone/design-area/multi-tenant/considerations-recommendations" display="More info" xr:uid="{9D0D957F-4D3D-4BE2-9634-BD663684B104}"/>
    <hyperlink ref="L1259" r:id="rId615" tooltip="https://learn.microsoft.com/azure/cloud-adoption-framework/ready/landing-zone/design-area/multi-tenant/considerations-recommendations" display="More info" xr:uid="{2506041E-D0A2-401D-9F44-DCB387DDED1A}"/>
    <hyperlink ref="L1260" r:id="rId616" tooltip="https://learn.microsoft.com/azure/cloud-adoption-framework/ready/landing-zone/design-area/multi-tenant/considerations-recommendations" display="More info" xr:uid="{2350B0F6-CD59-42C5-A2F1-0058BEBF2A9D}"/>
    <hyperlink ref="L1261" r:id="rId617" tooltip="https://learn.microsoft.com/azure/cloud-adoption-framework/ready/landing-zone/design-area/multi-tenant/considerations-recommendations" display="More info" xr:uid="{73552A49-4F30-4385-BF2B-721185E15E1E}"/>
    <hyperlink ref="L1262" r:id="rId618" tooltip="https://learn.microsoft.com/azure/cloud-adoption-framework/ready/landing-zone/design-area/multi-tenant/considerations-recommendations" display="More info" xr:uid="{21132CD1-8039-483E-9F7F-E0D061667D7C}"/>
    <hyperlink ref="L1263" r:id="rId619" tooltip="https://learn.microsoft.com/azure/cloud-adoption-framework/ready/landing-zone/design-area/multi-tenant/considerations-recommendations" display="More info" xr:uid="{EA6057D1-572D-447D-AA39-3FB73A3CD531}"/>
    <hyperlink ref="L1264" r:id="rId620" tooltip="https://learn.microsoft.com/azure/cloud-adoption-framework/ready/landing-zone/design-area/multi-tenant/considerations-recommendations" display="More info" xr:uid="{DEC24C96-555F-4352-92CC-18FC8F89C75E}"/>
    <hyperlink ref="L1265" r:id="rId621" tooltip="https://learn.microsoft.com/azure/cloud-adoption-framework/ready/landing-zone/design-area/multi-tenant/considerations-recommendations" display="More info" xr:uid="{52E60BFB-6921-4DD9-B58D-FB06A59DC22A}"/>
    <hyperlink ref="L1266" r:id="rId622" tooltip="https://learn.microsoft.com/azure/cloud-adoption-framework/ready/landing-zone/design-area/multi-tenant/considerations-recommendations" display="More info" xr:uid="{A2465598-F9AC-4F10-B475-16E305C8B025}"/>
    <hyperlink ref="L1267" r:id="rId623" tooltip="https://learn.microsoft.com/azure/cloud-adoption-framework/ready/landing-zone/design-area/multi-tenant/considerations-recommendations" display="More info" xr:uid="{526FE88D-2F0F-4F16-8E65-2E54301E9200}"/>
    <hyperlink ref="L1268" r:id="rId624" tooltip="https://learn.microsoft.com/azure/cloud-adoption-framework/ready/landing-zone/design-area/multi-tenant/considerations-recommendations" display="More info" xr:uid="{31888B85-5CD7-4A15-B28A-0DE139D99E13}"/>
    <hyperlink ref="L1269" r:id="rId625" tooltip="https://learn.microsoft.com/azure/cloud-adoption-framework/ready/landing-zone/design-area/multi-tenant/considerations-recommendations" display="More info" xr:uid="{1A4F4ADC-5635-4ABA-9705-5724F8AC462E}"/>
    <hyperlink ref="L1270" r:id="rId626" tooltip="https://learn.microsoft.com/azure/cloud-adoption-framework/ready/landing-zone/design-area/multi-tenant/considerations-recommendations" display="More info" xr:uid="{2E2F391B-42E8-4632-B4C9-DDCBDAF2D375}"/>
    <hyperlink ref="L1271" r:id="rId627" tooltip="https://learn.microsoft.com/azure/cloud-adoption-framework/ready/landing-zone/design-area/multi-tenant/considerations-recommendations" display="More info" xr:uid="{451FE885-2704-4A82-952B-04149E2E7B3B}"/>
    <hyperlink ref="L1272" r:id="rId628" tooltip="https://learn.microsoft.com/azure/cloud-adoption-framework/ready/landing-zone/design-area/multi-tenant/considerations-recommendations" display="More info" xr:uid="{56E320E7-245D-4AA0-82F9-117C6E8C2438}"/>
    <hyperlink ref="L1273" r:id="rId629" tooltip="https://learn.microsoft.com/azure/cloud-adoption-framework/ready/landing-zone/design-area/multi-tenant/considerations-recommendations" display="More info" xr:uid="{BA318FCF-5C4C-4008-B724-54BFD9153D02}"/>
    <hyperlink ref="L1274" r:id="rId630" tooltip="https://learn.microsoft.com/azure/cloud-adoption-framework/ready/landing-zone/design-area/multi-tenant/considerations-recommendations" display="More info" xr:uid="{9A5AFBD6-118E-4E4B-A2D5-F78A5EBF5395}"/>
    <hyperlink ref="L1275" r:id="rId631" tooltip="https://learn.microsoft.com/azure/cloud-adoption-framework/ready/landing-zone/design-area/multi-tenant/considerations-recommendations" display="More info" xr:uid="{28DC95E9-D961-4412-8494-59F2F33B9510}"/>
    <hyperlink ref="L1276" r:id="rId632" tooltip="https://learn.microsoft.com/azure/cloud-adoption-framework/ready/landing-zone/design-area/multi-tenant/considerations-recommendations" display="More info" xr:uid="{454D49A3-D7D1-401B-8F9E-2906FA19AF92}"/>
    <hyperlink ref="L1277" r:id="rId633" tooltip="https://learn.microsoft.com/azure/cloud-adoption-framework/ready/landing-zone/design-area/multi-tenant/considerations-recommendations" display="More info" xr:uid="{B011A295-DB6E-49DF-BADE-09ACC2710991}"/>
    <hyperlink ref="L1278" r:id="rId634" tooltip="https://learn.microsoft.com/azure/cloud-adoption-framework/ready/landing-zone/design-area/multi-tenant/considerations-recommendations" display="More info" xr:uid="{DCF79C6D-7EA8-4D15-975B-A7B71C7FA93F}"/>
    <hyperlink ref="L1279" r:id="rId635" tooltip="https://learn.microsoft.com/azure/cloud-adoption-framework/ready/landing-zone/design-area/multi-tenant/considerations-recommendations" display="More info" xr:uid="{028CEF09-018C-478F-84C1-A1EF962D7793}"/>
    <hyperlink ref="L1280" r:id="rId636" tooltip="https://learn.microsoft.com/azure/cloud-adoption-framework/ready/landing-zone/design-area/multi-tenant/considerations-recommendations" display="More info" xr:uid="{22D5F53F-DEA4-452F-A399-40C44F6EFB0E}"/>
    <hyperlink ref="L1281" r:id="rId637" tooltip="https://learn.microsoft.com/azure/cloud-adoption-framework/ready/landing-zone/design-area/multi-tenant/considerations-recommendations" display="More info" xr:uid="{A9BC8D9B-5E84-4435-95E6-FE015D0A6E72}"/>
    <hyperlink ref="L1282" r:id="rId638" tooltip="https://learn.microsoft.com/azure/cloud-adoption-framework/ready/landing-zone/design-area/multi-tenant/considerations-recommendations" display="More info" xr:uid="{0A0C4360-8EA1-4ABC-A80F-587E09C736C9}"/>
    <hyperlink ref="L1283" r:id="rId639" tooltip="https://learn.microsoft.com/azure/cloud-adoption-framework/ready/landing-zone/design-area/multi-tenant/considerations-recommendations" display="More info" xr:uid="{A64EB0A8-2C5A-4A7F-BECA-070D3AB95769}"/>
    <hyperlink ref="L1284" r:id="rId640" tooltip="https://learn.microsoft.com/azure/cloud-adoption-framework/ready/landing-zone/design-area/multi-tenant/considerations-recommendations" display="More info" xr:uid="{D78F052F-191B-4C9F-8C53-A42EC9E41B52}"/>
    <hyperlink ref="L1285" r:id="rId641" tooltip="https://learn.microsoft.com/azure/cloud-adoption-framework/ready/landing-zone/design-area/multi-tenant/considerations-recommendations" display="More info" xr:uid="{CA9A6DE9-34B1-4346-8159-8B5B990B9689}"/>
    <hyperlink ref="L1286" r:id="rId642" tooltip="https://learn.microsoft.com/azure/cloud-adoption-framework/ready/landing-zone/design-area/multi-tenant/considerations-recommendations" display="More info" xr:uid="{0C45A2AB-6839-41FC-8BF8-7DA9D50C46AE}"/>
    <hyperlink ref="L1287" r:id="rId643" tooltip="https://learn.microsoft.com/azure/cloud-adoption-framework/ready/landing-zone/design-area/multi-tenant/considerations-recommendations" display="More info" xr:uid="{5B40CFE7-9E3B-45EA-8E48-F253E727A8F4}"/>
    <hyperlink ref="L1288" r:id="rId644" tooltip="https://learn.microsoft.com/azure/cloud-adoption-framework/ready/landing-zone/design-area/multi-tenant/considerations-recommendations" display="More info" xr:uid="{19970664-EDF8-44B4-9A5A-64D700EEEE48}"/>
    <hyperlink ref="L1289" r:id="rId645" tooltip="https://learn.microsoft.com/azure/cloud-adoption-framework/ready/landing-zone/design-area/multi-tenant/considerations-recommendations" display="More info" xr:uid="{1EA625D6-E5DD-44DB-9F8E-614E31DCF5F2}"/>
    <hyperlink ref="L1290" r:id="rId646" tooltip="https://learn.microsoft.com/azure/cloud-adoption-framework/ready/landing-zone/design-area/multi-tenant/considerations-recommendations" display="More info" xr:uid="{ADFEE7F4-03CB-41C3-AB35-65883D5FE24F}"/>
    <hyperlink ref="L1291" r:id="rId647" tooltip="https://learn.microsoft.com/azure/cloud-adoption-framework/ready/landing-zone/design-area/multi-tenant/considerations-recommendations" display="More info" xr:uid="{F02990BE-4264-4DF3-8A47-83A31FD4C9AD}"/>
    <hyperlink ref="L1292" r:id="rId648" tooltip="https://learn.microsoft.com/azure/cloud-adoption-framework/ready/landing-zone/design-area/multi-tenant/considerations-recommendations" display="More info" xr:uid="{C7926D02-B2A1-4135-9897-0A9EB7BCF847}"/>
    <hyperlink ref="L1293" r:id="rId649" tooltip="https://learn.microsoft.com/azure/cloud-adoption-framework/ready/landing-zone/design-area/multi-tenant/considerations-recommendations" display="More info" xr:uid="{298A8871-39CE-4D6D-A006-2E7814409F7F}"/>
    <hyperlink ref="L1294" r:id="rId650" tooltip="https://learn.microsoft.com/azure/cloud-adoption-framework/ready/landing-zone/design-area/multi-tenant/considerations-recommendations" display="More info" xr:uid="{9A242D8C-6319-49AC-BA49-772E9564875B}"/>
    <hyperlink ref="L1295" r:id="rId651" tooltip="https://learn.microsoft.com/azure/cloud-adoption-framework/ready/landing-zone/design-area/multi-tenant/considerations-recommendations" display="More info" xr:uid="{FFA8FA71-B682-475D-B6BD-051406832536}"/>
    <hyperlink ref="L1296" r:id="rId652" tooltip="https://learn.microsoft.com/azure/cloud-adoption-framework/ready/landing-zone/design-area/multi-tenant/considerations-recommendations" display="More info" xr:uid="{B0100570-E4AD-462F-84AF-55019C6E7B7C}"/>
    <hyperlink ref="L1297" r:id="rId653" tooltip="https://learn.microsoft.com/azure/cloud-adoption-framework/ready/landing-zone/design-area/multi-tenant/considerations-recommendations" display="More info" xr:uid="{90FD86FE-85B6-4B7B-98E0-686C481FAD6D}"/>
    <hyperlink ref="L1298" r:id="rId654" tooltip="https://learn.microsoft.com/azure/cloud-adoption-framework/ready/landing-zone/design-area/multi-tenant/considerations-recommendations" display="More info" xr:uid="{58DE4463-4C55-4878-83A0-361570CAA9F1}"/>
    <hyperlink ref="L1299" r:id="rId655" tooltip="https://learn.microsoft.com/azure/cloud-adoption-framework/ready/landing-zone/design-area/multi-tenant/considerations-recommendations" display="More info" xr:uid="{8B54C085-01BF-4FCB-AC36-B1310E88F987}"/>
    <hyperlink ref="L1300" r:id="rId656" tooltip="https://learn.microsoft.com/azure/cloud-adoption-framework/ready/landing-zone/design-area/multi-tenant/considerations-recommendations" display="More info" xr:uid="{2A0238DD-7BE6-476B-8C8D-CAC554670E96}"/>
    <hyperlink ref="L1301" r:id="rId657" tooltip="https://learn.microsoft.com/azure/cloud-adoption-framework/ready/landing-zone/design-area/multi-tenant/considerations-recommendations" display="More info" xr:uid="{45034157-5CF4-4DA5-AFED-BF04C093497E}"/>
    <hyperlink ref="L1302" r:id="rId658" tooltip="https://learn.microsoft.com/azure/cloud-adoption-framework/ready/landing-zone/design-area/multi-tenant/considerations-recommendations" display="More info" xr:uid="{A3F958E4-36FF-4312-B3C1-DDE4D44C1037}"/>
    <hyperlink ref="L1303" r:id="rId659" tooltip="https://learn.microsoft.com/azure/cloud-adoption-framework/ready/landing-zone/design-area/multi-tenant/considerations-recommendations" display="More info" xr:uid="{987155CC-A1C8-4277-BF55-A0AC1474EFDF}"/>
    <hyperlink ref="L1304" r:id="rId660" tooltip="https://learn.microsoft.com/azure/cloud-adoption-framework/ready/landing-zone/design-area/multi-tenant/considerations-recommendations" display="More info" xr:uid="{7C8DE16B-1653-4037-AA63-0CFC1604A3F3}"/>
    <hyperlink ref="L1305" r:id="rId661" tooltip="https://learn.microsoft.com/azure/cloud-adoption-framework/ready/landing-zone/design-area/multi-tenant/considerations-recommendations" display="More info" xr:uid="{41F6ECC0-C592-42FE-8406-74204B025C7F}"/>
    <hyperlink ref="L1306" r:id="rId662" tooltip="https://learn.microsoft.com/azure/cloud-adoption-framework/ready/landing-zone/design-area/multi-tenant/considerations-recommendations" display="More info" xr:uid="{B106289C-2727-4A56-85C1-F7DDDE7E1878}"/>
    <hyperlink ref="L1307" r:id="rId663" tooltip="https://learn.microsoft.com/azure/cloud-adoption-framework/ready/landing-zone/design-area/multi-tenant/considerations-recommendations" display="More info" xr:uid="{1D207C8B-2A17-4D34-B7CD-CDC8074E085E}"/>
    <hyperlink ref="L1308" r:id="rId664" tooltip="https://learn.microsoft.com/azure/cloud-adoption-framework/ready/landing-zone/design-area/multi-tenant/considerations-recommendations" display="More info" xr:uid="{01DD0218-1E93-40C3-93AA-83D124F040DE}"/>
    <hyperlink ref="L1309" r:id="rId665" tooltip="https://learn.microsoft.com/azure/cloud-adoption-framework/ready/landing-zone/design-area/multi-tenant/considerations-recommendations" display="More info" xr:uid="{E36F179E-C376-446D-A512-DB5558347B83}"/>
    <hyperlink ref="L1310" r:id="rId666" tooltip="https://learn.microsoft.com/azure/cloud-adoption-framework/ready/landing-zone/design-area/multi-tenant/considerations-recommendations" display="More info" xr:uid="{06CF0D49-3A54-4E9A-A66A-9C20F3347BA5}"/>
    <hyperlink ref="L1311" r:id="rId667" tooltip="https://learn.microsoft.com/azure/cloud-adoption-framework/ready/landing-zone/design-area/multi-tenant/considerations-recommendations" display="More info" xr:uid="{9293541F-FA63-48DD-B9A8-9FA95C9C682B}"/>
    <hyperlink ref="L1312" r:id="rId668" tooltip="https://learn.microsoft.com/azure/cloud-adoption-framework/ready/landing-zone/design-area/multi-tenant/considerations-recommendations" display="More info" xr:uid="{A0A1C182-F446-4E8E-9B95-E8F6898A0006}"/>
    <hyperlink ref="L1313" r:id="rId669" tooltip="https://learn.microsoft.com/azure/cloud-adoption-framework/ready/landing-zone/design-area/multi-tenant/considerations-recommendations" display="More info" xr:uid="{F885B930-4C23-4F80-A108-C4C142602D49}"/>
    <hyperlink ref="L1314" r:id="rId670" tooltip="https://learn.microsoft.com/azure/cloud-adoption-framework/ready/landing-zone/design-area/multi-tenant/considerations-recommendations" display="More info" xr:uid="{E9F71321-B574-40C0-84DC-AF4892111EB0}"/>
    <hyperlink ref="L1315" r:id="rId671" tooltip="https://learn.microsoft.com/azure/cloud-adoption-framework/ready/landing-zone/design-area/multi-tenant/considerations-recommendations" display="More info" xr:uid="{2BF9A947-9965-4D67-BB3A-B087629A3899}"/>
    <hyperlink ref="L1316" r:id="rId672" tooltip="https://learn.microsoft.com/azure/cloud-adoption-framework/ready/landing-zone/design-area/multi-tenant/considerations-recommendations" display="More info" xr:uid="{06D74D6B-D4F7-4C68-A4C7-45BD2854CAE1}"/>
    <hyperlink ref="L1317" r:id="rId673" tooltip="https://learn.microsoft.com/azure/cloud-adoption-framework/ready/landing-zone/design-area/multi-tenant/considerations-recommendations" display="More info" xr:uid="{6E5B7823-2747-4ABD-82C6-FE80489D131B}"/>
    <hyperlink ref="L1318" r:id="rId674" tooltip="https://learn.microsoft.com/azure/cloud-adoption-framework/ready/landing-zone/design-area/multi-tenant/considerations-recommendations" display="More info" xr:uid="{5DCB90FE-708B-440A-A13D-188AF78F6E1A}"/>
    <hyperlink ref="L1319" r:id="rId675" tooltip="https://learn.microsoft.com/azure/cloud-adoption-framework/ready/landing-zone/design-area/multi-tenant/considerations-recommendations" display="More info" xr:uid="{3F1AE2D5-8EE2-4028-9956-842F9642D333}"/>
    <hyperlink ref="L1320" r:id="rId676" tooltip="https://learn.microsoft.com/azure/cloud-adoption-framework/ready/landing-zone/design-area/multi-tenant/considerations-recommendations" display="More info" xr:uid="{B05A72FB-E87E-4225-8E03-8A2FBDDD9DCB}"/>
    <hyperlink ref="L1321" r:id="rId677" tooltip="https://learn.microsoft.com/azure/cloud-adoption-framework/ready/landing-zone/design-area/multi-tenant/considerations-recommendations" display="More info" xr:uid="{B20F0501-861F-4EF2-9DF5-C5935FDBA9C3}"/>
    <hyperlink ref="L1322" r:id="rId678" tooltip="https://learn.microsoft.com/azure/cloud-adoption-framework/ready/landing-zone/design-area/multi-tenant/considerations-recommendations" display="More info" xr:uid="{02518A2B-F10A-453D-B397-850EE33777BD}"/>
    <hyperlink ref="L1323" r:id="rId679" tooltip="https://learn.microsoft.com/azure/cloud-adoption-framework/ready/landing-zone/design-area/multi-tenant/considerations-recommendations" display="More info" xr:uid="{3C794A6D-6C24-4CBE-8856-7741FDDB06A3}"/>
    <hyperlink ref="L1324" r:id="rId680" tooltip="https://learn.microsoft.com/azure/cloud-adoption-framework/ready/landing-zone/design-area/multi-tenant/considerations-recommendations" display="More info" xr:uid="{AB5EB46F-4E5E-4949-9611-B5405DBBF409}"/>
    <hyperlink ref="L1325" r:id="rId681" tooltip="https://learn.microsoft.com/azure/cloud-adoption-framework/ready/landing-zone/design-area/multi-tenant/considerations-recommendations" display="More info" xr:uid="{336F47A2-301C-4199-975C-E9C9AF44785C}"/>
    <hyperlink ref="L1326" r:id="rId682" tooltip="https://learn.microsoft.com/azure/cloud-adoption-framework/ready/landing-zone/design-area/multi-tenant/considerations-recommendations" display="More info" xr:uid="{1D57A712-E7A9-4576-97F6-14E3F547C87D}"/>
    <hyperlink ref="L1327" r:id="rId683" tooltip="https://learn.microsoft.com/azure/cloud-adoption-framework/ready/landing-zone/design-area/multi-tenant/considerations-recommendations" display="More info" xr:uid="{4B5F934E-E371-40D0-9374-FCB129203897}"/>
    <hyperlink ref="L1328" r:id="rId684" tooltip="https://learn.microsoft.com/azure/cloud-adoption-framework/ready/landing-zone/design-area/multi-tenant/considerations-recommendations" display="More info" xr:uid="{2DB2C002-8756-4AF3-AAC8-E86DFF4D77E9}"/>
    <hyperlink ref="L1329" r:id="rId685" tooltip="https://learn.microsoft.com/azure/cloud-adoption-framework/ready/landing-zone/design-area/multi-tenant/considerations-recommendations" display="More info" xr:uid="{4C8EDF52-E750-45E9-91DA-B7E0813CD7DD}"/>
    <hyperlink ref="L1330" r:id="rId686" tooltip="https://learn.microsoft.com/azure/cloud-adoption-framework/ready/landing-zone/design-area/multi-tenant/considerations-recommendations" display="More info" xr:uid="{E31526DD-1F01-4867-8BE4-981100523F1D}"/>
    <hyperlink ref="L1331" r:id="rId687" tooltip="https://learn.microsoft.com/azure/cloud-adoption-framework/ready/landing-zone/design-area/multi-tenant/considerations-recommendations" display="More info" xr:uid="{671B9375-4552-4A0D-9B6A-69DFB564CF25}"/>
    <hyperlink ref="L1332" r:id="rId688" tooltip="https://learn.microsoft.com/azure/cloud-adoption-framework/ready/landing-zone/design-area/multi-tenant/considerations-recommendations" display="More info" xr:uid="{F8269345-BDA0-4504-9DA5-163C45343E12}"/>
    <hyperlink ref="L1333" r:id="rId689" tooltip="https://learn.microsoft.com/azure/cloud-adoption-framework/ready/landing-zone/design-area/multi-tenant/considerations-recommendations" display="More info" xr:uid="{BEB53E18-97B3-4665-AACB-E39282BA5631}"/>
    <hyperlink ref="L1334" r:id="rId690" tooltip="https://learn.microsoft.com/azure/cloud-adoption-framework/ready/landing-zone/design-area/multi-tenant/considerations-recommendations" display="More info" xr:uid="{D3C8CE13-35EA-468E-A402-7164A616690C}"/>
    <hyperlink ref="L1335" r:id="rId691" tooltip="https://learn.microsoft.com/azure/cloud-adoption-framework/ready/landing-zone/design-area/multi-tenant/considerations-recommendations" display="More info" xr:uid="{3A02E8C3-E208-445B-9EE6-3FDFBE9CEACF}"/>
    <hyperlink ref="L1336" r:id="rId692" tooltip="https://learn.microsoft.com/azure/cloud-adoption-framework/ready/landing-zone/design-area/multi-tenant/considerations-recommendations" display="More info" xr:uid="{68984CF9-4E0E-49C3-8B44-0C77365E48FA}"/>
    <hyperlink ref="L1337" r:id="rId693" tooltip="https://learn.microsoft.com/azure/cloud-adoption-framework/ready/landing-zone/design-area/multi-tenant/considerations-recommendations" display="More info" xr:uid="{539B4D96-3CDA-474E-97D9-D0F82C7B5C73}"/>
    <hyperlink ref="L1338" r:id="rId694" tooltip="https://learn.microsoft.com/azure/cloud-adoption-framework/ready/landing-zone/design-area/multi-tenant/considerations-recommendations" display="More info" xr:uid="{E4E681B3-A9E3-46D5-B684-4B11438CA8FC}"/>
    <hyperlink ref="L1339" r:id="rId695" tooltip="https://learn.microsoft.com/azure/cloud-adoption-framework/ready/landing-zone/design-area/multi-tenant/considerations-recommendations" display="More info" xr:uid="{802DE370-B40D-4679-A4E8-A5476581A5CC}"/>
    <hyperlink ref="L1340" r:id="rId696" tooltip="https://learn.microsoft.com/azure/cloud-adoption-framework/ready/landing-zone/design-area/multi-tenant/considerations-recommendations" display="More info" xr:uid="{8DB3F776-E611-4D6E-AEBA-4E4AFD1B7E98}"/>
    <hyperlink ref="L1341" r:id="rId697" tooltip="https://learn.microsoft.com/azure/cloud-adoption-framework/ready/landing-zone/design-area/multi-tenant/considerations-recommendations" display="More info" xr:uid="{39D796B8-C97B-4760-85F0-782A80F67512}"/>
    <hyperlink ref="L1342" r:id="rId698" tooltip="https://learn.microsoft.com/azure/cloud-adoption-framework/ready/landing-zone/design-area/multi-tenant/considerations-recommendations" display="More info" xr:uid="{BF1CC62E-6186-4E32-99BC-B3EE1DEE48ED}"/>
    <hyperlink ref="L1343" r:id="rId699" tooltip="https://learn.microsoft.com/azure/cloud-adoption-framework/ready/landing-zone/design-area/multi-tenant/considerations-recommendations" display="More info" xr:uid="{588E34EC-AD9F-44E1-816C-9A5CD8D896D1}"/>
    <hyperlink ref="L1344" r:id="rId700" tooltip="https://learn.microsoft.com/azure/cloud-adoption-framework/ready/landing-zone/design-area/multi-tenant/considerations-recommendations" display="More info" xr:uid="{C0129914-A6FC-4CCE-88DF-28AEC69579A8}"/>
    <hyperlink ref="L1345" r:id="rId701" tooltip="https://learn.microsoft.com/azure/cloud-adoption-framework/ready/landing-zone/design-area/multi-tenant/considerations-recommendations" display="More info" xr:uid="{86297796-B196-4E67-A5C3-B0A38E777B87}"/>
    <hyperlink ref="L1346" r:id="rId702" tooltip="https://learn.microsoft.com/azure/cloud-adoption-framework/ready/landing-zone/design-area/multi-tenant/considerations-recommendations" display="More info" xr:uid="{9EC1658B-B4A2-448C-8537-003B9D665CE5}"/>
    <hyperlink ref="L1347" r:id="rId703" tooltip="https://learn.microsoft.com/azure/cloud-adoption-framework/ready/landing-zone/design-area/multi-tenant/considerations-recommendations" display="More info" xr:uid="{1D8DC164-72C7-451C-BEF7-C532D240210C}"/>
    <hyperlink ref="L1348" r:id="rId704" tooltip="https://learn.microsoft.com/azure/cloud-adoption-framework/ready/landing-zone/design-area/multi-tenant/considerations-recommendations" display="More info" xr:uid="{E9FFE4E9-C993-4A5B-8EDE-16F9C841D633}"/>
    <hyperlink ref="L1349" r:id="rId705" tooltip="https://learn.microsoft.com/azure/cloud-adoption-framework/ready/landing-zone/design-area/multi-tenant/considerations-recommendations" display="More info" xr:uid="{C5771B2C-3CA8-4D12-93DE-12DC7C322993}"/>
    <hyperlink ref="L1350" r:id="rId706" tooltip="https://learn.microsoft.com/azure/cloud-adoption-framework/ready/landing-zone/design-area/multi-tenant/considerations-recommendations" display="More info" xr:uid="{FE4CEB85-A80A-44A7-A215-0543E7F9F8C0}"/>
    <hyperlink ref="L1351" r:id="rId707" tooltip="https://learn.microsoft.com/azure/cloud-adoption-framework/ready/landing-zone/design-area/multi-tenant/considerations-recommendations" display="More info" xr:uid="{3266DA9A-7A02-468E-9420-1FAF60ED4DA2}"/>
    <hyperlink ref="L1352" r:id="rId708" tooltip="https://learn.microsoft.com/azure/cloud-adoption-framework/ready/landing-zone/design-area/multi-tenant/considerations-recommendations" display="More info" xr:uid="{3790A63C-6AE8-4D46-BBF7-00F944D77704}"/>
    <hyperlink ref="L1353" r:id="rId709" tooltip="https://learn.microsoft.com/azure/cloud-adoption-framework/ready/landing-zone/design-area/multi-tenant/considerations-recommendations" display="More info" xr:uid="{634B749E-E9C6-4DF6-9C09-2123D5C54DE6}"/>
    <hyperlink ref="L1354" r:id="rId710" tooltip="https://learn.microsoft.com/azure/cloud-adoption-framework/ready/landing-zone/design-area/multi-tenant/considerations-recommendations" display="More info" xr:uid="{6497E74B-5A84-4419-8F4A-DBD3231193AE}"/>
    <hyperlink ref="L1355" r:id="rId711" tooltip="https://learn.microsoft.com/azure/cloud-adoption-framework/ready/landing-zone/design-area/multi-tenant/considerations-recommendations" display="More info" xr:uid="{4FB6730F-C5B5-4E3A-8797-1248A9415CF0}"/>
    <hyperlink ref="L1356" r:id="rId712" tooltip="https://learn.microsoft.com/azure/cloud-adoption-framework/ready/landing-zone/design-area/multi-tenant/considerations-recommendations" display="More info" xr:uid="{04490B9B-B499-4D84-9C9D-A107632EECE7}"/>
    <hyperlink ref="L1357" r:id="rId713" tooltip="https://learn.microsoft.com/azure/cloud-adoption-framework/ready/landing-zone/design-area/multi-tenant/considerations-recommendations" display="More info" xr:uid="{44055BEB-E65C-4F6F-8B6B-F60102395692}"/>
    <hyperlink ref="L1358" r:id="rId714" tooltip="https://learn.microsoft.com/azure/cloud-adoption-framework/ready/landing-zone/design-area/multi-tenant/considerations-recommendations" display="More info" xr:uid="{791C3518-1189-40AB-9FCC-4471089237F2}"/>
    <hyperlink ref="L1359" r:id="rId715" tooltip="https://learn.microsoft.com/azure/cloud-adoption-framework/ready/landing-zone/design-area/multi-tenant/considerations-recommendations" display="More info" xr:uid="{7D670461-F1D4-418B-9AF5-50E9BCF6F9D1}"/>
    <hyperlink ref="L1360" r:id="rId716" tooltip="https://learn.microsoft.com/azure/cloud-adoption-framework/ready/landing-zone/design-area/multi-tenant/considerations-recommendations" display="More info" xr:uid="{67A97A2D-1DEB-4E2B-B2AB-77A85ACF8AFF}"/>
    <hyperlink ref="L1361" r:id="rId717" tooltip="https://learn.microsoft.com/azure/cloud-adoption-framework/ready/landing-zone/design-area/multi-tenant/considerations-recommendations" display="More info" xr:uid="{BEBC7281-0055-409C-A190-935305601FDE}"/>
    <hyperlink ref="L1362" r:id="rId718" tooltip="https://learn.microsoft.com/azure/cloud-adoption-framework/ready/landing-zone/design-area/multi-tenant/considerations-recommendations" display="More info" xr:uid="{2683BBF4-4961-494B-859D-0C292D3B69F8}"/>
    <hyperlink ref="L1363" r:id="rId719" tooltip="https://learn.microsoft.com/azure/cloud-adoption-framework/ready/landing-zone/design-area/multi-tenant/considerations-recommendations" display="More info" xr:uid="{58D14C29-3DD3-45BB-B3F9-AE3C0C36FE61}"/>
    <hyperlink ref="L1364" r:id="rId720" tooltip="https://learn.microsoft.com/azure/cloud-adoption-framework/ready/landing-zone/design-area/multi-tenant/considerations-recommendations" display="More info" xr:uid="{DBC41C8F-6D9E-4962-9483-2E3A090D2BF8}"/>
    <hyperlink ref="L1365" r:id="rId721" tooltip="https://learn.microsoft.com/azure/cloud-adoption-framework/ready/landing-zone/design-area/multi-tenant/considerations-recommendations" display="More info" xr:uid="{48E804F4-84B2-4714-B068-1DDF22DC179F}"/>
    <hyperlink ref="L1366" r:id="rId722" tooltip="https://learn.microsoft.com/azure/cloud-adoption-framework/ready/landing-zone/design-area/multi-tenant/considerations-recommendations" display="More info" xr:uid="{753E572C-21FE-4C9C-B334-1ABD7F89B099}"/>
    <hyperlink ref="L1367" r:id="rId723" tooltip="https://learn.microsoft.com/azure/cloud-adoption-framework/ready/landing-zone/design-area/multi-tenant/considerations-recommendations" display="More info" xr:uid="{CB56A566-0CA6-47D9-A813-7D7A588323FF}"/>
    <hyperlink ref="L1368" r:id="rId724" tooltip="https://learn.microsoft.com/azure/cloud-adoption-framework/ready/landing-zone/design-area/multi-tenant/considerations-recommendations" display="More info" xr:uid="{3DF2FC7D-F730-40E9-85A3-B0B905A7595A}"/>
    <hyperlink ref="L1369" r:id="rId725" tooltip="https://learn.microsoft.com/azure/cloud-adoption-framework/ready/landing-zone/design-area/multi-tenant/considerations-recommendations" display="More info" xr:uid="{E454E36D-5FA4-4B97-8F38-5665794F0C38}"/>
    <hyperlink ref="L1370" r:id="rId726" tooltip="https://learn.microsoft.com/azure/cloud-adoption-framework/ready/landing-zone/design-area/multi-tenant/considerations-recommendations" display="More info" xr:uid="{A5C18D7F-0485-4AEF-89A9-905A5995BBBC}"/>
    <hyperlink ref="L1371" r:id="rId727" tooltip="https://learn.microsoft.com/azure/cloud-adoption-framework/ready/landing-zone/design-area/multi-tenant/considerations-recommendations" display="More info" xr:uid="{F860A9A1-4C19-4D40-B440-3FBA0A51E735}"/>
    <hyperlink ref="L1372" r:id="rId728" tooltip="https://learn.microsoft.com/azure/cloud-adoption-framework/ready/landing-zone/design-area/multi-tenant/considerations-recommendations" display="More info" xr:uid="{B75CC95D-C13C-4BE1-8ABD-1E8DBFA9EE36}"/>
    <hyperlink ref="L1373" r:id="rId729" tooltip="https://learn.microsoft.com/azure/cloud-adoption-framework/ready/landing-zone/design-area/multi-tenant/considerations-recommendations" display="More info" xr:uid="{90321696-2ACF-450E-9907-D399053EC606}"/>
    <hyperlink ref="L1374" r:id="rId730" tooltip="https://learn.microsoft.com/azure/cloud-adoption-framework/ready/landing-zone/design-area/multi-tenant/considerations-recommendations" display="More info" xr:uid="{C067B3AC-F72E-48A1-95FE-591839198D09}"/>
    <hyperlink ref="L1375" r:id="rId731" tooltip="https://learn.microsoft.com/azure/cloud-adoption-framework/ready/landing-zone/design-area/multi-tenant/considerations-recommendations" display="More info" xr:uid="{B386EF0F-DBE7-4E04-9F3E-0F45057EC29B}"/>
    <hyperlink ref="L1376" r:id="rId732" tooltip="https://learn.microsoft.com/azure/cloud-adoption-framework/ready/landing-zone/design-area/multi-tenant/considerations-recommendations" display="More info" xr:uid="{F36AEDEA-AF59-4BCE-8CB5-4319A1DBB860}"/>
    <hyperlink ref="L1377" r:id="rId733" tooltip="https://learn.microsoft.com/azure/cloud-adoption-framework/ready/landing-zone/design-area/multi-tenant/considerations-recommendations" display="More info" xr:uid="{5AFF2ED0-7644-4A75-8A52-493BFBEB45D8}"/>
    <hyperlink ref="L1378" r:id="rId734" tooltip="https://learn.microsoft.com/azure/cloud-adoption-framework/ready/landing-zone/design-area/multi-tenant/considerations-recommendations" display="More info" xr:uid="{25E1BF35-ECC0-4541-B2F4-9D85C594FD35}"/>
    <hyperlink ref="L1379" r:id="rId735" tooltip="https://learn.microsoft.com/azure/cloud-adoption-framework/ready/landing-zone/design-area/multi-tenant/considerations-recommendations" display="More info" xr:uid="{955FF3DD-5155-4052-B437-75B4CE0CF67F}"/>
    <hyperlink ref="L1380" r:id="rId736" tooltip="https://learn.microsoft.com/azure/cloud-adoption-framework/ready/landing-zone/design-area/multi-tenant/considerations-recommendations" display="More info" xr:uid="{F889E589-5A5F-4A63-A06E-80E6EC77AD81}"/>
    <hyperlink ref="L1381" r:id="rId737" tooltip="https://learn.microsoft.com/azure/cloud-adoption-framework/ready/landing-zone/design-area/multi-tenant/considerations-recommendations" display="More info" xr:uid="{37484086-39C2-4381-9806-8F52931FD709}"/>
    <hyperlink ref="L1382" r:id="rId738" tooltip="https://learn.microsoft.com/azure/cloud-adoption-framework/ready/landing-zone/design-area/multi-tenant/considerations-recommendations" display="More info" xr:uid="{C2E9C5C5-E85C-4A1F-B2F3-466D9FAFB240}"/>
    <hyperlink ref="L1383" r:id="rId739" tooltip="https://learn.microsoft.com/azure/cloud-adoption-framework/ready/landing-zone/design-area/multi-tenant/considerations-recommendations" display="More info" xr:uid="{DB37ED4D-AD8E-4B24-89CB-7853ECB7C781}"/>
    <hyperlink ref="L1384" r:id="rId740" tooltip="https://learn.microsoft.com/azure/cloud-adoption-framework/ready/landing-zone/design-area/multi-tenant/considerations-recommendations" display="More info" xr:uid="{7EBA2BE0-8487-4674-9F31-F34D36AAA864}"/>
    <hyperlink ref="L1385" r:id="rId741" tooltip="https://learn.microsoft.com/azure/cloud-adoption-framework/ready/landing-zone/design-area/multi-tenant/considerations-recommendations" display="More info" xr:uid="{C8FE106F-B7BE-4448-9BD4-C78D35D9FCAD}"/>
    <hyperlink ref="L1386" r:id="rId742" tooltip="https://learn.microsoft.com/azure/cloud-adoption-framework/ready/landing-zone/design-area/multi-tenant/considerations-recommendations" display="More info" xr:uid="{52256A9B-C356-4A8C-A958-C0A48309C309}"/>
    <hyperlink ref="L1387" r:id="rId743" tooltip="https://learn.microsoft.com/azure/cloud-adoption-framework/ready/landing-zone/design-area/multi-tenant/considerations-recommendations" display="More info" xr:uid="{BE189291-46E0-436A-A558-1AA881A70AE6}"/>
    <hyperlink ref="L1388" r:id="rId744" tooltip="https://learn.microsoft.com/azure/cloud-adoption-framework/ready/landing-zone/design-area/multi-tenant/considerations-recommendations" display="More info" xr:uid="{D5FB5C09-6DEE-47AA-9666-F913CE05DE31}"/>
    <hyperlink ref="L1389" r:id="rId745" tooltip="https://learn.microsoft.com/azure/cloud-adoption-framework/ready/landing-zone/design-area/multi-tenant/considerations-recommendations" display="More info" xr:uid="{DCA4C8E3-B05E-4472-A20D-9008EBFF878D}"/>
    <hyperlink ref="L1390" r:id="rId746" tooltip="https://learn.microsoft.com/azure/cloud-adoption-framework/ready/landing-zone/design-area/multi-tenant/considerations-recommendations" display="More info" xr:uid="{F73DEA7C-9E0D-43E3-B03C-72D2D7FDA4A3}"/>
    <hyperlink ref="L1391" r:id="rId747" tooltip="https://learn.microsoft.com/azure/cloud-adoption-framework/ready/landing-zone/design-area/multi-tenant/considerations-recommendations" display="More info" xr:uid="{F69E52D2-E952-4FE3-89A4-7F7C2E2EA541}"/>
    <hyperlink ref="L1392" r:id="rId748" tooltip="https://learn.microsoft.com/azure/cloud-adoption-framework/ready/landing-zone/design-area/multi-tenant/considerations-recommendations" display="More info" xr:uid="{59C22CCC-A2A6-4BB1-B976-951C586043FD}"/>
    <hyperlink ref="L1393" r:id="rId749" tooltip="https://learn.microsoft.com/azure/cloud-adoption-framework/ready/landing-zone/design-area/multi-tenant/considerations-recommendations" display="More info" xr:uid="{7F00F99D-224D-453B-86BB-20A01D4D38B0}"/>
    <hyperlink ref="L1394" r:id="rId750" tooltip="https://learn.microsoft.com/azure/cloud-adoption-framework/ready/landing-zone/design-area/multi-tenant/considerations-recommendations" display="More info" xr:uid="{CE99BE84-0CB5-412C-AF85-985761CAAF31}"/>
    <hyperlink ref="L1395" r:id="rId751" tooltip="https://learn.microsoft.com/azure/cloud-adoption-framework/ready/landing-zone/design-area/multi-tenant/considerations-recommendations" display="More info" xr:uid="{14638078-E19A-4487-B887-31535178C736}"/>
    <hyperlink ref="L1396" r:id="rId752" tooltip="https://learn.microsoft.com/azure/cloud-adoption-framework/ready/landing-zone/design-area/multi-tenant/considerations-recommendations" display="More info" xr:uid="{808D2687-C18E-41FC-9CA3-87349E60A9CF}"/>
    <hyperlink ref="L1397" r:id="rId753" tooltip="https://learn.microsoft.com/azure/cloud-adoption-framework/ready/landing-zone/design-area/multi-tenant/considerations-recommendations" display="More info" xr:uid="{F9A52ECD-B429-45DF-AA69-3028068C4907}"/>
    <hyperlink ref="L1398" r:id="rId754" tooltip="https://learn.microsoft.com/azure/cloud-adoption-framework/ready/landing-zone/design-area/multi-tenant/considerations-recommendations" display="More info" xr:uid="{67EC246C-5733-42B9-A62B-87F8F88985B5}"/>
    <hyperlink ref="L1399" r:id="rId755" tooltip="https://learn.microsoft.com/azure/cloud-adoption-framework/ready/landing-zone/design-area/multi-tenant/considerations-recommendations" display="More info" xr:uid="{41B4F708-2643-4309-9B95-1F45EB3A1E4C}"/>
    <hyperlink ref="L1400" r:id="rId756" tooltip="https://learn.microsoft.com/azure/cloud-adoption-framework/ready/landing-zone/design-area/multi-tenant/considerations-recommendations" display="More info" xr:uid="{B03764AB-7B48-43DA-A228-8D6A56F11802}"/>
    <hyperlink ref="L1401" r:id="rId757" tooltip="https://learn.microsoft.com/azure/cloud-adoption-framework/ready/landing-zone/design-area/multi-tenant/considerations-recommendations" display="More info" xr:uid="{70F18359-CDE2-4C1E-BF4F-BC1497F4428D}"/>
    <hyperlink ref="L1402" r:id="rId758" tooltip="https://learn.microsoft.com/azure/cloud-adoption-framework/ready/landing-zone/design-area/multi-tenant/considerations-recommendations" display="More info" xr:uid="{ACF0B86F-9F49-45E0-8F86-CBC5D67BA78D}"/>
    <hyperlink ref="L1403" r:id="rId759" tooltip="https://learn.microsoft.com/azure/cloud-adoption-framework/ready/landing-zone/design-area/multi-tenant/considerations-recommendations" display="More info" xr:uid="{C10CDACF-0FC2-40F1-B55A-1C4CEF30BB34}"/>
    <hyperlink ref="L1404" r:id="rId760" tooltip="https://learn.microsoft.com/azure/cloud-adoption-framework/ready/landing-zone/design-area/multi-tenant/considerations-recommendations" display="More info" xr:uid="{4642CCBC-6608-4143-A24E-91CBD6851D01}"/>
    <hyperlink ref="L1405" r:id="rId761" tooltip="https://learn.microsoft.com/azure/cloud-adoption-framework/ready/landing-zone/design-area/multi-tenant/considerations-recommendations" display="More info" xr:uid="{C805871A-D0D3-4275-A96E-68C2060783F9}"/>
    <hyperlink ref="L1406" r:id="rId762" tooltip="https://learn.microsoft.com/azure/cloud-adoption-framework/ready/landing-zone/design-area/multi-tenant/considerations-recommendations" display="More info" xr:uid="{B6BFF191-0020-491F-B7B5-A03B0A5EC229}"/>
    <hyperlink ref="L1407" r:id="rId763" tooltip="https://learn.microsoft.com/azure/cloud-adoption-framework/ready/landing-zone/design-area/multi-tenant/considerations-recommendations" display="More info" xr:uid="{769834B1-A4F4-49FB-9FB3-F2B62B2F15EA}"/>
    <hyperlink ref="L1408" r:id="rId764" tooltip="https://learn.microsoft.com/azure/cloud-adoption-framework/ready/landing-zone/design-area/multi-tenant/considerations-recommendations" display="More info" xr:uid="{1143B7EE-8C80-463E-88D6-649759E4C6D0}"/>
    <hyperlink ref="L1409" r:id="rId765" tooltip="https://learn.microsoft.com/azure/cloud-adoption-framework/ready/landing-zone/design-area/multi-tenant/considerations-recommendations" display="More info" xr:uid="{52D5FF57-0C83-46C1-AA4F-857934D7EF66}"/>
    <hyperlink ref="L1410" r:id="rId766" tooltip="https://learn.microsoft.com/azure/cloud-adoption-framework/ready/landing-zone/design-area/multi-tenant/considerations-recommendations" display="More info" xr:uid="{402CC7FF-CB2E-4305-A6C3-17A6408EE697}"/>
    <hyperlink ref="L1411" r:id="rId767" tooltip="https://learn.microsoft.com/azure/cloud-adoption-framework/ready/landing-zone/design-area/multi-tenant/considerations-recommendations" display="More info" xr:uid="{2903E4A9-1AA0-4BD3-8AC6-B657E77BD56D}"/>
    <hyperlink ref="L1412" r:id="rId768" tooltip="https://learn.microsoft.com/azure/cloud-adoption-framework/ready/landing-zone/design-area/multi-tenant/considerations-recommendations" display="More info" xr:uid="{5E5412C3-4977-49FC-9E54-79733A639C28}"/>
    <hyperlink ref="L1413" r:id="rId769" tooltip="https://learn.microsoft.com/azure/cloud-adoption-framework/ready/landing-zone/design-area/multi-tenant/considerations-recommendations" display="More info" xr:uid="{18D96BBC-0558-444A-99E7-18CA432F0256}"/>
    <hyperlink ref="L1414" r:id="rId770" tooltip="https://learn.microsoft.com/azure/cloud-adoption-framework/ready/landing-zone/design-area/multi-tenant/considerations-recommendations" display="More info" xr:uid="{5D97132D-675F-48D7-8600-321BB793A7F2}"/>
    <hyperlink ref="L1415" r:id="rId771" tooltip="https://learn.microsoft.com/azure/cloud-adoption-framework/ready/landing-zone/design-area/multi-tenant/considerations-recommendations" display="More info" xr:uid="{1F498AEB-570D-4AB0-A279-99EE4BD9065A}"/>
    <hyperlink ref="L1416" r:id="rId772" tooltip="https://learn.microsoft.com/azure/cloud-adoption-framework/ready/landing-zone/design-area/multi-tenant/considerations-recommendations" display="More info" xr:uid="{901F6145-D282-431D-94AE-18F0F8A3D60B}"/>
    <hyperlink ref="L1417" r:id="rId773" tooltip="https://learn.microsoft.com/azure/cloud-adoption-framework/ready/landing-zone/design-area/multi-tenant/considerations-recommendations" display="More info" xr:uid="{BBA98D84-DC7A-486F-821B-9602D49F5EB2}"/>
    <hyperlink ref="L1418" r:id="rId774" tooltip="https://learn.microsoft.com/azure/cloud-adoption-framework/ready/landing-zone/design-area/multi-tenant/considerations-recommendations" display="More info" xr:uid="{6F5FCF13-B40A-4DD3-BE0D-52EEE5D5E18A}"/>
    <hyperlink ref="L1419" r:id="rId775" tooltip="https://learn.microsoft.com/azure/cloud-adoption-framework/ready/landing-zone/design-area/multi-tenant/considerations-recommendations" display="More info" xr:uid="{2328CC80-0BE0-43B6-90DA-530C1A42E627}"/>
    <hyperlink ref="L1420" r:id="rId776" tooltip="https://learn.microsoft.com/azure/cloud-adoption-framework/ready/landing-zone/design-area/multi-tenant/considerations-recommendations" display="More info" xr:uid="{10616E63-B505-495E-9482-1C915394245E}"/>
    <hyperlink ref="L1421" r:id="rId777" tooltip="https://learn.microsoft.com/azure/cloud-adoption-framework/ready/landing-zone/design-area/multi-tenant/considerations-recommendations" display="More info" xr:uid="{BBC427EC-287E-48D5-9C3E-FB58C009ADB1}"/>
    <hyperlink ref="L1422" r:id="rId778" tooltip="https://learn.microsoft.com/azure/cloud-adoption-framework/ready/landing-zone/design-area/multi-tenant/considerations-recommendations" display="More info" xr:uid="{E2EB361B-6C6C-4912-A56A-C52978DF4CD8}"/>
    <hyperlink ref="L1423" r:id="rId779" tooltip="https://learn.microsoft.com/azure/cloud-adoption-framework/ready/landing-zone/design-area/multi-tenant/considerations-recommendations" display="More info" xr:uid="{7C66C4CC-6A67-45B5-8174-197181247155}"/>
    <hyperlink ref="L1424" r:id="rId780" tooltip="https://learn.microsoft.com/azure/cloud-adoption-framework/ready/landing-zone/design-area/multi-tenant/considerations-recommendations" display="More info" xr:uid="{00D5907F-76D9-4A78-89EF-3E05A849023B}"/>
    <hyperlink ref="L1425" r:id="rId781" tooltip="https://learn.microsoft.com/azure/cloud-adoption-framework/ready/landing-zone/design-area/multi-tenant/considerations-recommendations" display="More info" xr:uid="{AA5658DE-0B8C-4965-B695-62186BF99734}"/>
    <hyperlink ref="L1426" r:id="rId782" tooltip="https://learn.microsoft.com/azure/cloud-adoption-framework/ready/landing-zone/design-area/multi-tenant/considerations-recommendations" display="More info" xr:uid="{12D203B2-9BAA-45EE-9D37-174D612C5F8D}"/>
    <hyperlink ref="L1427" r:id="rId783" tooltip="https://learn.microsoft.com/azure/cloud-adoption-framework/ready/landing-zone/design-area/multi-tenant/considerations-recommendations" display="More info" xr:uid="{7FB2FB32-FDF8-41E1-A69D-78B539AF9ADC}"/>
    <hyperlink ref="L1428" r:id="rId784" tooltip="https://learn.microsoft.com/azure/cloud-adoption-framework/ready/landing-zone/design-area/multi-tenant/considerations-recommendations" display="More info" xr:uid="{DC2D1D23-E39F-4847-9022-DFFD0F933870}"/>
    <hyperlink ref="L1429" r:id="rId785" tooltip="https://learn.microsoft.com/azure/cloud-adoption-framework/ready/landing-zone/design-area/multi-tenant/considerations-recommendations" display="More info" xr:uid="{72BC9701-DEAA-4E13-8341-4E3FFCD24486}"/>
    <hyperlink ref="L1430" r:id="rId786" tooltip="https://learn.microsoft.com/azure/cloud-adoption-framework/ready/landing-zone/design-area/multi-tenant/considerations-recommendations" display="More info" xr:uid="{3B6E608F-45A2-4A8B-8EBC-485CF1FCA213}"/>
    <hyperlink ref="L1431" r:id="rId787" tooltip="https://learn.microsoft.com/azure/cloud-adoption-framework/ready/landing-zone/design-area/multi-tenant/considerations-recommendations" display="More info" xr:uid="{72302012-23A0-4EC7-9BF4-5486854ACAE2}"/>
    <hyperlink ref="L1432" r:id="rId788" tooltip="https://learn.microsoft.com/azure/cloud-adoption-framework/ready/landing-zone/design-area/multi-tenant/considerations-recommendations" display="More info" xr:uid="{050F7904-B9BD-4E44-A1AA-9DCB383933ED}"/>
    <hyperlink ref="L1433" r:id="rId789" tooltip="https://learn.microsoft.com/azure/cloud-adoption-framework/ready/landing-zone/design-area/multi-tenant/considerations-recommendations" display="More info" xr:uid="{1D90EA14-6238-4944-8713-567C79082983}"/>
    <hyperlink ref="L1434" r:id="rId790" tooltip="https://learn.microsoft.com/azure/cloud-adoption-framework/ready/landing-zone/design-area/multi-tenant/considerations-recommendations" display="More info" xr:uid="{8BD204C0-7DA5-4848-AB9B-090761D0E696}"/>
    <hyperlink ref="L1435" r:id="rId791" tooltip="https://learn.microsoft.com/azure/cloud-adoption-framework/ready/landing-zone/design-area/multi-tenant/considerations-recommendations" display="More info" xr:uid="{B58CD033-9C52-49FC-A276-CCB24ED5A963}"/>
    <hyperlink ref="L1436" r:id="rId792" tooltip="https://learn.microsoft.com/azure/cloud-adoption-framework/ready/landing-zone/design-area/multi-tenant/considerations-recommendations" display="More info" xr:uid="{D3A553A2-FC93-42FD-BBC7-81308BD82BEB}"/>
    <hyperlink ref="L1437" r:id="rId793" tooltip="https://learn.microsoft.com/azure/cloud-adoption-framework/ready/landing-zone/design-area/multi-tenant/considerations-recommendations" display="More info" xr:uid="{D8D88316-46B6-48F7-A926-4CB39613F5FF}"/>
    <hyperlink ref="L1438" r:id="rId794" tooltip="https://learn.microsoft.com/azure/cloud-adoption-framework/ready/landing-zone/design-area/multi-tenant/considerations-recommendations" display="More info" xr:uid="{D7618954-22CE-422C-AA22-2A51BC477C73}"/>
    <hyperlink ref="L1439" r:id="rId795" tooltip="https://learn.microsoft.com/azure/cloud-adoption-framework/ready/landing-zone/design-area/multi-tenant/considerations-recommendations" display="More info" xr:uid="{8914B1FF-F4D0-477E-B1D1-36071BE472B5}"/>
    <hyperlink ref="L1440" r:id="rId796" tooltip="https://learn.microsoft.com/azure/cloud-adoption-framework/ready/landing-zone/design-area/multi-tenant/considerations-recommendations" display="More info" xr:uid="{955D8DB7-FB95-4562-90E6-AF6787C59128}"/>
    <hyperlink ref="L1441" r:id="rId797" tooltip="https://learn.microsoft.com/azure/cloud-adoption-framework/ready/landing-zone/design-area/multi-tenant/considerations-recommendations" display="More info" xr:uid="{AF04008C-0A28-4B0B-B2C8-2C0C62603EB8}"/>
    <hyperlink ref="L1442" r:id="rId798" tooltip="https://learn.microsoft.com/azure/cloud-adoption-framework/ready/landing-zone/design-area/multi-tenant/considerations-recommendations" display="More info" xr:uid="{0687F27B-D4AA-4309-AF97-BDF92A12BBF5}"/>
    <hyperlink ref="L1443" r:id="rId799" tooltip="https://learn.microsoft.com/azure/cloud-adoption-framework/ready/landing-zone/design-area/multi-tenant/considerations-recommendations" display="More info" xr:uid="{CA2F664D-D37B-4E30-A4DA-CA413CAC46E8}"/>
    <hyperlink ref="L1444" r:id="rId800" tooltip="https://learn.microsoft.com/azure/cloud-adoption-framework/ready/landing-zone/design-area/multi-tenant/considerations-recommendations" display="More info" xr:uid="{46104F3F-043F-45BB-8398-ED490DB9E6D1}"/>
    <hyperlink ref="L1445" r:id="rId801" tooltip="https://learn.microsoft.com/azure/cloud-adoption-framework/ready/landing-zone/design-area/multi-tenant/considerations-recommendations" display="More info" xr:uid="{02DEAE1A-C731-4FC9-801E-18ADF633C08C}"/>
    <hyperlink ref="L1446" r:id="rId802" tooltip="https://learn.microsoft.com/azure/cloud-adoption-framework/ready/landing-zone/design-area/multi-tenant/considerations-recommendations" display="More info" xr:uid="{0FBD5647-077E-49A1-8F1D-EE735D4FA575}"/>
    <hyperlink ref="L1447" r:id="rId803" tooltip="https://learn.microsoft.com/azure/cloud-adoption-framework/ready/landing-zone/design-area/multi-tenant/considerations-recommendations" display="More info" xr:uid="{3104C7E6-CF4B-4545-B2AD-370F750AE334}"/>
    <hyperlink ref="L1448" r:id="rId804" tooltip="https://learn.microsoft.com/azure/cloud-adoption-framework/ready/landing-zone/design-area/multi-tenant/considerations-recommendations" display="More info" xr:uid="{31B4ED17-D3FC-4A72-8F79-E2F56EBA75A4}"/>
    <hyperlink ref="L1449" r:id="rId805" tooltip="https://learn.microsoft.com/azure/cloud-adoption-framework/ready/landing-zone/design-area/multi-tenant/considerations-recommendations" display="More info" xr:uid="{2E9B8A7D-4DBD-4F28-AB94-2421AFA2C6F8}"/>
    <hyperlink ref="L1450" r:id="rId806" tooltip="https://learn.microsoft.com/azure/cloud-adoption-framework/ready/landing-zone/design-area/multi-tenant/considerations-recommendations" display="More info" xr:uid="{895AE9DA-B7A7-4E2A-998D-B81396843C13}"/>
    <hyperlink ref="L1451" r:id="rId807" tooltip="https://learn.microsoft.com/azure/cloud-adoption-framework/ready/landing-zone/design-area/multi-tenant/considerations-recommendations" display="More info" xr:uid="{B6295F04-EAFF-4072-9E6E-516D4FD1E6ED}"/>
    <hyperlink ref="L1452" r:id="rId808" tooltip="https://learn.microsoft.com/azure/cloud-adoption-framework/ready/landing-zone/design-area/multi-tenant/considerations-recommendations" display="More info" xr:uid="{55025406-FFA6-44DA-901D-2F8FD460566E}"/>
    <hyperlink ref="L1453" r:id="rId809" tooltip="https://learn.microsoft.com/azure/cloud-adoption-framework/ready/landing-zone/design-area/multi-tenant/considerations-recommendations" display="More info" xr:uid="{4F569DDF-0964-4AA7-9545-2B6B36B124F9}"/>
    <hyperlink ref="L1454" r:id="rId810" tooltip="https://learn.microsoft.com/azure/cloud-adoption-framework/ready/landing-zone/design-area/multi-tenant/considerations-recommendations" display="More info" xr:uid="{A3FA5455-5349-4F31-AF5D-C2A63D1372D1}"/>
    <hyperlink ref="L1455" r:id="rId811" tooltip="https://learn.microsoft.com/azure/cloud-adoption-framework/ready/landing-zone/design-area/multi-tenant/considerations-recommendations" display="More info" xr:uid="{9F80E9D8-CC36-40C3-86B7-A856886A566B}"/>
    <hyperlink ref="L1456" r:id="rId812" tooltip="https://learn.microsoft.com/azure/cloud-adoption-framework/ready/landing-zone/design-area/multi-tenant/considerations-recommendations" display="More info" xr:uid="{CF565394-4E71-430A-8C12-94F731E7214B}"/>
    <hyperlink ref="L1457" r:id="rId813" tooltip="https://learn.microsoft.com/azure/cloud-adoption-framework/ready/landing-zone/design-area/multi-tenant/considerations-recommendations" display="More info" xr:uid="{7063F287-321F-4764-814A-5EEB0F0CD231}"/>
    <hyperlink ref="L1458" r:id="rId814" tooltip="https://learn.microsoft.com/azure/cloud-adoption-framework/ready/landing-zone/design-area/multi-tenant/considerations-recommendations" display="More info" xr:uid="{A1DAC6EE-00BA-4CC9-97C1-411BEB0EE6C2}"/>
    <hyperlink ref="L1459" r:id="rId815" tooltip="https://learn.microsoft.com/azure/cloud-adoption-framework/ready/landing-zone/design-area/multi-tenant/considerations-recommendations" display="More info" xr:uid="{11B65AFF-75AE-40B0-B508-D0F8E34DF927}"/>
    <hyperlink ref="L1460" r:id="rId816" tooltip="https://learn.microsoft.com/azure/cloud-adoption-framework/ready/landing-zone/design-area/multi-tenant/considerations-recommendations" display="More info" xr:uid="{5610A4FC-4458-4090-BD3E-87D9E152BD8F}"/>
    <hyperlink ref="L1461" r:id="rId817" tooltip="https://learn.microsoft.com/azure/cloud-adoption-framework/ready/landing-zone/design-area/multi-tenant/considerations-recommendations" display="More info" xr:uid="{A038A868-B1E2-4C82-B5DA-ED74EAE27496}"/>
    <hyperlink ref="L1462" r:id="rId818" tooltip="https://learn.microsoft.com/azure/cloud-adoption-framework/ready/landing-zone/design-area/multi-tenant/considerations-recommendations" display="More info" xr:uid="{444B9487-D905-4E3A-8432-FAD1C1C7496B}"/>
    <hyperlink ref="L1463" r:id="rId819" tooltip="https://learn.microsoft.com/azure/cloud-adoption-framework/ready/landing-zone/design-area/multi-tenant/considerations-recommendations" display="More info" xr:uid="{873C892A-8AC8-4997-982E-DB4954526348}"/>
    <hyperlink ref="L1464" r:id="rId820" tooltip="https://learn.microsoft.com/azure/cloud-adoption-framework/ready/landing-zone/design-area/multi-tenant/considerations-recommendations" display="More info" xr:uid="{B6FA02A9-F3D3-458A-B4A1-D8AA3F047D32}"/>
    <hyperlink ref="L1465" r:id="rId821" tooltip="https://learn.microsoft.com/azure/cloud-adoption-framework/ready/landing-zone/design-area/multi-tenant/considerations-recommendations" display="More info" xr:uid="{0A20B8C3-2407-494C-A39A-F9A4D6ED810E}"/>
    <hyperlink ref="L1466" r:id="rId822" tooltip="https://learn.microsoft.com/azure/cloud-adoption-framework/ready/landing-zone/design-area/multi-tenant/considerations-recommendations" display="More info" xr:uid="{0CF46517-A63D-4D45-8586-77861BE07327}"/>
    <hyperlink ref="L1467" r:id="rId823" tooltip="https://learn.microsoft.com/azure/cloud-adoption-framework/ready/landing-zone/design-area/multi-tenant/considerations-recommendations" display="More info" xr:uid="{F4F394C0-C12D-4532-B3D8-A1E659C1E508}"/>
    <hyperlink ref="L1468" r:id="rId824" tooltip="https://learn.microsoft.com/azure/cloud-adoption-framework/ready/landing-zone/design-area/multi-tenant/considerations-recommendations" display="More info" xr:uid="{C52F2ADD-6587-4802-B04D-13A39D20EA95}"/>
    <hyperlink ref="L1469" r:id="rId825" tooltip="https://learn.microsoft.com/azure/cloud-adoption-framework/ready/landing-zone/design-area/multi-tenant/considerations-recommendations" display="More info" xr:uid="{6997599D-E02A-4F69-9D06-4A3E0F5D5BB0}"/>
    <hyperlink ref="L1470" r:id="rId826" tooltip="https://learn.microsoft.com/azure/cloud-adoption-framework/ready/landing-zone/design-area/multi-tenant/considerations-recommendations" display="More info" xr:uid="{17DE3982-8923-4CF6-9501-6A324C1F76A4}"/>
    <hyperlink ref="L1471" r:id="rId827" tooltip="https://learn.microsoft.com/azure/cloud-adoption-framework/ready/landing-zone/design-area/multi-tenant/considerations-recommendations" display="More info" xr:uid="{7A728B54-659A-46F6-A0EA-E161BBF5D1A6}"/>
    <hyperlink ref="L1472" r:id="rId828" tooltip="https://learn.microsoft.com/azure/cloud-adoption-framework/ready/landing-zone/design-area/multi-tenant/considerations-recommendations" display="More info" xr:uid="{13C73EA2-F526-4620-A717-8DA93CCA822A}"/>
    <hyperlink ref="L1473" r:id="rId829" tooltip="https://learn.microsoft.com/azure/cloud-adoption-framework/ready/landing-zone/design-area/multi-tenant/considerations-recommendations" display="More info" xr:uid="{06C1F456-D7D6-48D5-ADB5-35EEF6EF026A}"/>
    <hyperlink ref="L1474" r:id="rId830" tooltip="https://learn.microsoft.com/azure/cloud-adoption-framework/ready/landing-zone/design-area/multi-tenant/considerations-recommendations" display="More info" xr:uid="{B6F15301-775E-48BC-8DA4-5C07DD648AF3}"/>
    <hyperlink ref="L1475" r:id="rId831" tooltip="https://learn.microsoft.com/azure/cloud-adoption-framework/ready/landing-zone/design-area/multi-tenant/considerations-recommendations" display="More info" xr:uid="{79BBF025-2FC8-4AB2-AA19-8648DAC8756E}"/>
    <hyperlink ref="L1476" r:id="rId832" tooltip="https://learn.microsoft.com/azure/cloud-adoption-framework/ready/landing-zone/design-area/multi-tenant/considerations-recommendations" display="More info" xr:uid="{2C8DB7F2-0788-4F2B-8698-86FE292692CB}"/>
    <hyperlink ref="L1477" r:id="rId833" tooltip="https://learn.microsoft.com/azure/cloud-adoption-framework/ready/landing-zone/design-area/multi-tenant/considerations-recommendations" display="More info" xr:uid="{998667A8-E78E-45E0-8F64-442F147F84FB}"/>
    <hyperlink ref="L1478" r:id="rId834" tooltip="https://learn.microsoft.com/azure/cloud-adoption-framework/ready/landing-zone/design-area/multi-tenant/considerations-recommendations" display="More info" xr:uid="{FF496293-F24C-4D03-93BC-819AA8F95D44}"/>
    <hyperlink ref="L1479" r:id="rId835" tooltip="https://learn.microsoft.com/azure/cloud-adoption-framework/ready/landing-zone/design-area/multi-tenant/considerations-recommendations" display="More info" xr:uid="{4AEBCFC0-FCA8-4F40-96A2-C88DC0E0D070}"/>
    <hyperlink ref="L1480" r:id="rId836" tooltip="https://learn.microsoft.com/azure/cloud-adoption-framework/ready/landing-zone/design-area/multi-tenant/considerations-recommendations" display="More info" xr:uid="{A7131D25-320A-4FB3-B2C4-FB900D9E72F3}"/>
    <hyperlink ref="L1481" r:id="rId837" tooltip="https://learn.microsoft.com/azure/cloud-adoption-framework/ready/landing-zone/design-area/multi-tenant/considerations-recommendations" display="More info" xr:uid="{3B9E9DDD-1208-4FF5-9F64-6D0E5E3CA184}"/>
    <hyperlink ref="L1482" r:id="rId838" tooltip="https://learn.microsoft.com/azure/cloud-adoption-framework/ready/landing-zone/design-area/multi-tenant/considerations-recommendations" display="More info" xr:uid="{2D2EDE44-4840-4E12-B08B-24296DD933EB}"/>
    <hyperlink ref="L1483" r:id="rId839" tooltip="https://learn.microsoft.com/azure/cloud-adoption-framework/ready/landing-zone/design-area/multi-tenant/considerations-recommendations" display="More info" xr:uid="{55CEBE46-BB05-46FE-B8C8-0CA5341D06EA}"/>
    <hyperlink ref="L1484" r:id="rId840" tooltip="https://learn.microsoft.com/azure/cloud-adoption-framework/ready/landing-zone/design-area/multi-tenant/considerations-recommendations" display="More info" xr:uid="{85279C3B-8F10-42E2-B0D2-5C231A0B7B32}"/>
    <hyperlink ref="L1485" r:id="rId841" tooltip="https://learn.microsoft.com/azure/cloud-adoption-framework/ready/landing-zone/design-area/multi-tenant/considerations-recommendations" display="More info" xr:uid="{B6375B5E-B03D-4F98-B949-1ACC5FAC123B}"/>
    <hyperlink ref="L1486" r:id="rId842" tooltip="https://learn.microsoft.com/azure/cloud-adoption-framework/ready/landing-zone/design-area/multi-tenant/considerations-recommendations" display="More info" xr:uid="{27A284EA-890C-49C4-B769-F890CDF63104}"/>
    <hyperlink ref="L1487" r:id="rId843" tooltip="https://learn.microsoft.com/azure/cloud-adoption-framework/ready/landing-zone/design-area/multi-tenant/considerations-recommendations" display="More info" xr:uid="{DD62AC68-3572-4B42-9522-EE05B5DB7478}"/>
    <hyperlink ref="L1488" r:id="rId844" tooltip="https://learn.microsoft.com/azure/cloud-adoption-framework/ready/landing-zone/design-area/multi-tenant/considerations-recommendations" display="More info" xr:uid="{B436D3AE-4C99-489B-B5D0-375A01AE4B8A}"/>
    <hyperlink ref="L1489" r:id="rId845" tooltip="https://learn.microsoft.com/azure/cloud-adoption-framework/ready/landing-zone/design-area/multi-tenant/considerations-recommendations" display="More info" xr:uid="{853B4D69-7547-4450-82AC-930DAF55EA89}"/>
    <hyperlink ref="L1490" r:id="rId846" tooltip="https://learn.microsoft.com/azure/cloud-adoption-framework/ready/landing-zone/design-area/multi-tenant/considerations-recommendations" display="More info" xr:uid="{6B5A8045-FD26-4253-82C6-D8E0446C9EB3}"/>
    <hyperlink ref="L1491" r:id="rId847" tooltip="https://learn.microsoft.com/azure/cloud-adoption-framework/ready/landing-zone/design-area/multi-tenant/considerations-recommendations" display="More info" xr:uid="{77E1A82C-C1E7-496D-B120-614B4FB15408}"/>
    <hyperlink ref="L1492" r:id="rId848" tooltip="https://learn.microsoft.com/azure/cloud-adoption-framework/ready/landing-zone/design-area/multi-tenant/considerations-recommendations" display="More info" xr:uid="{488D3E10-FC01-45D5-A24F-7562FDF18982}"/>
    <hyperlink ref="L1493" r:id="rId849" tooltip="https://learn.microsoft.com/azure/cloud-adoption-framework/ready/landing-zone/design-area/multi-tenant/considerations-recommendations" display="More info" xr:uid="{6F4B53DF-E5F1-4766-9E37-75A10FF59D9C}"/>
    <hyperlink ref="L1494" r:id="rId850" tooltip="https://learn.microsoft.com/azure/cloud-adoption-framework/ready/landing-zone/design-area/multi-tenant/considerations-recommendations" display="More info" xr:uid="{EB26635E-1F38-47F5-A896-2A79D485A46B}"/>
    <hyperlink ref="L1495" r:id="rId851" tooltip="https://learn.microsoft.com/azure/cloud-adoption-framework/ready/landing-zone/design-area/multi-tenant/considerations-recommendations" display="More info" xr:uid="{05E59AC5-17B3-4935-AB71-56C140EC131F}"/>
    <hyperlink ref="L1496" r:id="rId852" tooltip="https://learn.microsoft.com/azure/cloud-adoption-framework/ready/landing-zone/design-area/multi-tenant/considerations-recommendations" display="More info" xr:uid="{3A0E6B43-B7F4-41F7-850E-525DADA13334}"/>
    <hyperlink ref="L1497" r:id="rId853" tooltip="https://learn.microsoft.com/azure/cloud-adoption-framework/ready/landing-zone/design-area/multi-tenant/considerations-recommendations" display="More info" xr:uid="{0273E4C0-BDE8-442E-983D-6D5B8270842D}"/>
    <hyperlink ref="L1498" r:id="rId854" tooltip="https://learn.microsoft.com/azure/cloud-adoption-framework/ready/landing-zone/design-area/multi-tenant/considerations-recommendations" display="More info" xr:uid="{CC2B6C3F-5660-42BC-9DAA-3B4B97AEEEA5}"/>
    <hyperlink ref="L1499" r:id="rId855" tooltip="https://learn.microsoft.com/azure/cloud-adoption-framework/ready/landing-zone/design-area/multi-tenant/considerations-recommendations" display="More info" xr:uid="{367DD320-24E6-42C9-B95D-3BB6E3B56A29}"/>
    <hyperlink ref="L1500" r:id="rId856" tooltip="https://learn.microsoft.com/azure/cloud-adoption-framework/ready/landing-zone/design-area/multi-tenant/considerations-recommendations" display="More info" xr:uid="{4CD8B542-E94D-4AF2-8B34-C255AD8A75C5}"/>
    <hyperlink ref="L1501" r:id="rId857" tooltip="https://learn.microsoft.com/azure/cloud-adoption-framework/ready/landing-zone/design-area/multi-tenant/considerations-recommendations" display="More info" xr:uid="{D987FC9D-A4E2-46C4-8795-C953E5D093B4}"/>
    <hyperlink ref="L1502" r:id="rId858" tooltip="https://learn.microsoft.com/azure/cloud-adoption-framework/ready/landing-zone/design-area/multi-tenant/considerations-recommendations" display="More info" xr:uid="{CC1D1AE9-EF68-4EBA-ACB3-6A8742C9CAB2}"/>
    <hyperlink ref="L1503" r:id="rId859" tooltip="https://learn.microsoft.com/azure/cloud-adoption-framework/ready/landing-zone/design-area/multi-tenant/considerations-recommendations" display="More info" xr:uid="{DD2FB705-5ECB-4CA5-BBA9-096B3923DB62}"/>
    <hyperlink ref="L1504" r:id="rId860" tooltip="https://learn.microsoft.com/azure/cloud-adoption-framework/ready/landing-zone/design-area/multi-tenant/considerations-recommendations" display="More info" xr:uid="{34F32C3C-17B9-4139-9529-12523494FFBB}"/>
    <hyperlink ref="L1505" r:id="rId861" tooltip="https://learn.microsoft.com/azure/cloud-adoption-framework/ready/landing-zone/design-area/multi-tenant/considerations-recommendations" display="More info" xr:uid="{586BB73B-E170-40BC-AC9A-0FAB8D6A6B27}"/>
    <hyperlink ref="L1506" r:id="rId862" tooltip="https://learn.microsoft.com/azure/cloud-adoption-framework/ready/landing-zone/design-area/multi-tenant/considerations-recommendations" display="More info" xr:uid="{11372407-55FC-41A2-A49D-C42D6CFABFCA}"/>
    <hyperlink ref="L1507" r:id="rId863" tooltip="https://learn.microsoft.com/azure/cloud-adoption-framework/ready/landing-zone/design-area/multi-tenant/considerations-recommendations" display="More info" xr:uid="{8BE1ADD4-2970-421F-95D2-8E24F0C78B90}"/>
    <hyperlink ref="L1508" r:id="rId864" tooltip="https://learn.microsoft.com/azure/cloud-adoption-framework/ready/landing-zone/design-area/multi-tenant/considerations-recommendations" display="More info" xr:uid="{4D4B3B04-678B-4B16-8216-3A343CB9DBDD}"/>
    <hyperlink ref="L1509" r:id="rId865" tooltip="https://learn.microsoft.com/azure/cloud-adoption-framework/ready/landing-zone/design-area/multi-tenant/considerations-recommendations" display="More info" xr:uid="{7E0CD990-7641-4309-A573-2D616629C229}"/>
    <hyperlink ref="L1510" r:id="rId866" tooltip="https://learn.microsoft.com/azure/cloud-adoption-framework/ready/landing-zone/design-area/multi-tenant/considerations-recommendations" display="More info" xr:uid="{250A7D4B-B96C-4D91-9F3E-06F0351A3BB2}"/>
    <hyperlink ref="L1511" r:id="rId867" tooltip="https://learn.microsoft.com/azure/cloud-adoption-framework/ready/landing-zone/design-area/multi-tenant/considerations-recommendations" display="More info" xr:uid="{CB4B71CB-BCEC-4C17-8319-A25FEBBC0FD7}"/>
    <hyperlink ref="L1512" r:id="rId868" tooltip="https://learn.microsoft.com/azure/cloud-adoption-framework/ready/landing-zone/design-area/multi-tenant/considerations-recommendations" display="More info" xr:uid="{A5028AB8-B912-491C-88EE-C05A3B83A016}"/>
    <hyperlink ref="L1513" r:id="rId869" tooltip="https://learn.microsoft.com/azure/cloud-adoption-framework/ready/landing-zone/design-area/multi-tenant/considerations-recommendations" display="More info" xr:uid="{2B5184A9-9F56-441C-BFAB-1E53C97808C5}"/>
    <hyperlink ref="L1514" r:id="rId870" tooltip="https://learn.microsoft.com/azure/cloud-adoption-framework/ready/landing-zone/design-area/multi-tenant/considerations-recommendations" display="More info" xr:uid="{AD92BA63-F602-4483-AABE-17B329296BFA}"/>
    <hyperlink ref="L1515" r:id="rId871" tooltip="https://learn.microsoft.com/azure/cloud-adoption-framework/ready/landing-zone/design-area/multi-tenant/considerations-recommendations" display="More info" xr:uid="{D5464227-8901-485E-9373-FEF9A0050387}"/>
    <hyperlink ref="L1516" r:id="rId872" tooltip="https://learn.microsoft.com/azure/cloud-adoption-framework/ready/landing-zone/design-area/multi-tenant/considerations-recommendations" display="More info" xr:uid="{0A77E335-F09E-4C56-8191-0E03AC78062E}"/>
    <hyperlink ref="L1517" r:id="rId873" tooltip="https://learn.microsoft.com/azure/cloud-adoption-framework/ready/landing-zone/design-area/multi-tenant/considerations-recommendations" display="More info" xr:uid="{7F6356B2-D036-4C24-B4B4-92B5F51B79FD}"/>
    <hyperlink ref="L1518" r:id="rId874" tooltip="https://learn.microsoft.com/azure/cloud-adoption-framework/ready/landing-zone/design-area/multi-tenant/considerations-recommendations" display="More info" xr:uid="{8E2CA1D1-15CC-4701-BDAB-A20927981085}"/>
    <hyperlink ref="L1519" r:id="rId875" tooltip="https://learn.microsoft.com/azure/cloud-adoption-framework/ready/landing-zone/design-area/multi-tenant/considerations-recommendations" display="More info" xr:uid="{6D84B90B-6474-48DF-BF3C-4B63B115F527}"/>
    <hyperlink ref="L1520" r:id="rId876" tooltip="https://learn.microsoft.com/azure/cloud-adoption-framework/ready/landing-zone/design-area/multi-tenant/considerations-recommendations" display="More info" xr:uid="{9D20E74D-B5A0-4D0E-B98F-144CCFEB7582}"/>
    <hyperlink ref="L1521" r:id="rId877" tooltip="https://learn.microsoft.com/azure/cloud-adoption-framework/ready/landing-zone/design-area/multi-tenant/considerations-recommendations" display="More info" xr:uid="{D84C5EC3-CE0C-4849-B73A-5C497F5FA200}"/>
    <hyperlink ref="L1522" r:id="rId878" tooltip="https://learn.microsoft.com/azure/cloud-adoption-framework/ready/landing-zone/design-area/multi-tenant/considerations-recommendations" display="More info" xr:uid="{D318A032-B1CA-48A1-9CF9-6B73B015684E}"/>
    <hyperlink ref="L1523" r:id="rId879" tooltip="https://learn.microsoft.com/azure/cloud-adoption-framework/ready/landing-zone/design-area/multi-tenant/considerations-recommendations" display="More info" xr:uid="{670D1590-0460-4880-87BF-EB2D97ECCAB5}"/>
    <hyperlink ref="L1524" r:id="rId880" tooltip="https://learn.microsoft.com/azure/cloud-adoption-framework/ready/landing-zone/design-area/multi-tenant/considerations-recommendations" display="More info" xr:uid="{C116EB66-FBBA-45F2-8323-E840632D5EFA}"/>
    <hyperlink ref="L1525" r:id="rId881" tooltip="https://learn.microsoft.com/azure/cloud-adoption-framework/ready/landing-zone/design-area/multi-tenant/considerations-recommendations" display="More info" xr:uid="{9EBA1047-915F-4E32-8CBA-EEB8405DD333}"/>
    <hyperlink ref="L1526" r:id="rId882" tooltip="https://learn.microsoft.com/azure/cloud-adoption-framework/ready/landing-zone/design-area/multi-tenant/considerations-recommendations" display="More info" xr:uid="{BE810798-3D6F-4446-8492-880DFEA73475}"/>
    <hyperlink ref="L1527" r:id="rId883" tooltip="https://learn.microsoft.com/azure/cloud-adoption-framework/ready/landing-zone/design-area/multi-tenant/considerations-recommendations" display="More info" xr:uid="{C01D99FA-B480-476B-AFDA-9AFBC4445EF3}"/>
    <hyperlink ref="L1528" r:id="rId884" tooltip="https://learn.microsoft.com/azure/cloud-adoption-framework/ready/landing-zone/design-area/multi-tenant/considerations-recommendations" display="More info" xr:uid="{C34B39C9-1A37-47C3-B5D6-FD544BF49086}"/>
    <hyperlink ref="L1529" r:id="rId885" tooltip="https://learn.microsoft.com/azure/cloud-adoption-framework/ready/landing-zone/design-area/multi-tenant/considerations-recommendations" display="More info" xr:uid="{30300767-1D28-43B3-9274-0B486BFB4E91}"/>
    <hyperlink ref="L1530" r:id="rId886" tooltip="https://learn.microsoft.com/azure/cloud-adoption-framework/ready/landing-zone/design-area/multi-tenant/considerations-recommendations" display="More info" xr:uid="{B2203B71-738B-4EEE-AED3-1CF2C4731F96}"/>
    <hyperlink ref="L1531" r:id="rId887" tooltip="https://learn.microsoft.com/azure/cloud-adoption-framework/ready/landing-zone/design-area/multi-tenant/considerations-recommendations" display="More info" xr:uid="{CFA7C983-8501-4979-BEA7-E44E7228A39B}"/>
    <hyperlink ref="L1532" r:id="rId888" tooltip="https://learn.microsoft.com/azure/cloud-adoption-framework/ready/landing-zone/design-area/multi-tenant/considerations-recommendations" display="More info" xr:uid="{9466C01D-CC03-4C1C-B6A1-FDB67D588935}"/>
    <hyperlink ref="L1533" r:id="rId889" tooltip="https://learn.microsoft.com/azure/cloud-adoption-framework/ready/landing-zone/design-area/multi-tenant/considerations-recommendations" display="More info" xr:uid="{9EA9A830-F868-4E6A-AFEF-788AC0D68E34}"/>
    <hyperlink ref="L1534" r:id="rId890" tooltip="https://learn.microsoft.com/azure/cloud-adoption-framework/ready/landing-zone/design-area/multi-tenant/considerations-recommendations" display="More info" xr:uid="{D8BDCE82-B7FC-4F59-B98F-03694546DBDF}"/>
    <hyperlink ref="L1535" r:id="rId891" tooltip="https://learn.microsoft.com/azure/cloud-adoption-framework/ready/landing-zone/design-area/multi-tenant/considerations-recommendations" display="More info" xr:uid="{A02BD1F3-E1B5-48FF-B594-7318A28F8BB8}"/>
    <hyperlink ref="L1536" r:id="rId892" tooltip="https://learn.microsoft.com/azure/cloud-adoption-framework/ready/landing-zone/design-area/multi-tenant/considerations-recommendations" display="More info" xr:uid="{93110791-A70A-4077-9A78-70F6EC03B7EF}"/>
    <hyperlink ref="L1537" r:id="rId893" tooltip="https://learn.microsoft.com/azure/cloud-adoption-framework/ready/landing-zone/design-area/multi-tenant/considerations-recommendations" display="More info" xr:uid="{0CD4924C-3F3E-4DB4-86E5-008C5180C360}"/>
    <hyperlink ref="L1538" r:id="rId894" tooltip="https://learn.microsoft.com/azure/cloud-adoption-framework/ready/landing-zone/design-area/multi-tenant/considerations-recommendations" display="More info" xr:uid="{20C3E70E-C54D-487F-8FBA-A5D96905904B}"/>
    <hyperlink ref="L1539" r:id="rId895" tooltip="https://learn.microsoft.com/azure/cloud-adoption-framework/ready/landing-zone/design-area/multi-tenant/considerations-recommendations" display="More info" xr:uid="{B40DA7A7-F2A3-47D8-B4B2-50DF754FFD50}"/>
    <hyperlink ref="L1540" r:id="rId896" tooltip="https://learn.microsoft.com/azure/cloud-adoption-framework/ready/landing-zone/design-area/multi-tenant/considerations-recommendations" display="More info" xr:uid="{92A3C612-0D29-4A51-BF2C-2296E32FAF45}"/>
    <hyperlink ref="L1541" r:id="rId897" tooltip="https://learn.microsoft.com/azure/cloud-adoption-framework/ready/landing-zone/design-area/multi-tenant/considerations-recommendations" display="More info" xr:uid="{1370482D-F586-48E6-BA68-581BE8468846}"/>
    <hyperlink ref="L1542" r:id="rId898" tooltip="https://learn.microsoft.com/azure/cloud-adoption-framework/ready/landing-zone/design-area/multi-tenant/considerations-recommendations" display="More info" xr:uid="{E01DCECC-CF45-4601-8E76-365918357EB7}"/>
    <hyperlink ref="L1543" r:id="rId899" tooltip="https://learn.microsoft.com/azure/cloud-adoption-framework/ready/landing-zone/design-area/multi-tenant/considerations-recommendations" display="More info" xr:uid="{6854FFD6-1524-4094-AD10-C0458FCC8795}"/>
    <hyperlink ref="L1544" r:id="rId900" tooltip="https://learn.microsoft.com/azure/cloud-adoption-framework/ready/landing-zone/design-area/multi-tenant/considerations-recommendations" display="More info" xr:uid="{068734C7-55F8-4FAC-9BB0-3A209A2E7E6C}"/>
    <hyperlink ref="L1545" r:id="rId901" tooltip="https://learn.microsoft.com/azure/cloud-adoption-framework/ready/landing-zone/design-area/multi-tenant/considerations-recommendations" display="More info" xr:uid="{9E317FC4-7C5E-4623-83D9-58918A2BF341}"/>
    <hyperlink ref="L1546" r:id="rId902" tooltip="https://learn.microsoft.com/azure/cloud-adoption-framework/ready/landing-zone/design-area/multi-tenant/considerations-recommendations" display="More info" xr:uid="{ED3AC857-59F5-4A4E-A77D-E52C8AE03A6F}"/>
    <hyperlink ref="L1547" r:id="rId903" tooltip="https://learn.microsoft.com/azure/cloud-adoption-framework/ready/landing-zone/design-area/multi-tenant/considerations-recommendations" display="More info" xr:uid="{28ED1693-FD41-47BA-A832-B2843DBC7386}"/>
    <hyperlink ref="L1548" r:id="rId904" tooltip="https://learn.microsoft.com/azure/cloud-adoption-framework/ready/landing-zone/design-area/multi-tenant/considerations-recommendations" display="More info" xr:uid="{4969108F-A7CD-4466-BE83-630812D38900}"/>
    <hyperlink ref="L1549" r:id="rId905" tooltip="https://learn.microsoft.com/azure/cloud-adoption-framework/ready/landing-zone/design-area/multi-tenant/considerations-recommendations" display="More info" xr:uid="{1EEC23EA-9D8C-4FE7-83CE-E5FD672600BA}"/>
    <hyperlink ref="L1550" r:id="rId906" tooltip="https://learn.microsoft.com/azure/cloud-adoption-framework/ready/landing-zone/design-area/multi-tenant/considerations-recommendations" display="More info" xr:uid="{58F9349A-D32D-4441-923E-3BB09C570475}"/>
    <hyperlink ref="L1551" r:id="rId907" tooltip="https://learn.microsoft.com/azure/cloud-adoption-framework/ready/landing-zone/design-area/multi-tenant/considerations-recommendations" display="More info" xr:uid="{A9782AC2-20A9-4150-A87F-3121823612B1}"/>
    <hyperlink ref="L1552" r:id="rId908" tooltip="https://learn.microsoft.com/azure/cloud-adoption-framework/ready/landing-zone/design-area/multi-tenant/considerations-recommendations" display="More info" xr:uid="{A6900E5A-9036-499B-90EF-EE99F807E4D8}"/>
    <hyperlink ref="L1553" r:id="rId909" tooltip="https://learn.microsoft.com/azure/cloud-adoption-framework/ready/landing-zone/design-area/multi-tenant/considerations-recommendations" display="More info" xr:uid="{4F5D6538-533A-436A-BD04-522C9D8858C5}"/>
    <hyperlink ref="L1554" r:id="rId910" tooltip="https://learn.microsoft.com/azure/cloud-adoption-framework/ready/landing-zone/design-area/multi-tenant/considerations-recommendations" display="More info" xr:uid="{F329EBAB-B3CF-4E92-BE0B-326E2F06BB58}"/>
    <hyperlink ref="L1555" r:id="rId911" tooltip="https://learn.microsoft.com/azure/cloud-adoption-framework/ready/landing-zone/design-area/multi-tenant/considerations-recommendations" display="More info" xr:uid="{2170A24D-4EFE-4954-B633-20D1D327C721}"/>
    <hyperlink ref="L1556" r:id="rId912" tooltip="https://learn.microsoft.com/azure/cloud-adoption-framework/ready/landing-zone/design-area/multi-tenant/considerations-recommendations" display="More info" xr:uid="{DEE28337-3E2B-44BA-B603-5C2186162A4D}"/>
    <hyperlink ref="L1557" r:id="rId913" tooltip="https://learn.microsoft.com/azure/cloud-adoption-framework/ready/landing-zone/design-area/multi-tenant/considerations-recommendations" display="More info" xr:uid="{D85A64B4-D4E7-44C5-8985-0B4EFCF05E32}"/>
    <hyperlink ref="L1558" r:id="rId914" tooltip="https://learn.microsoft.com/azure/cloud-adoption-framework/ready/landing-zone/design-area/multi-tenant/considerations-recommendations" display="More info" xr:uid="{93F174FA-C7F7-4B66-B6CF-7DBF5B247D67}"/>
    <hyperlink ref="L1559" r:id="rId915" tooltip="https://learn.microsoft.com/azure/cloud-adoption-framework/ready/landing-zone/design-area/multi-tenant/considerations-recommendations" display="More info" xr:uid="{5F8F32AE-8BFE-4DA3-850C-9B4BF4A16047}"/>
    <hyperlink ref="L1560" r:id="rId916" tooltip="https://learn.microsoft.com/azure/cloud-adoption-framework/ready/landing-zone/design-area/multi-tenant/considerations-recommendations" display="More info" xr:uid="{F7BFB3BC-0ACE-4D9D-8F6E-9EE44B54CC78}"/>
    <hyperlink ref="L1561" r:id="rId917" tooltip="https://learn.microsoft.com/azure/cloud-adoption-framework/ready/landing-zone/design-area/multi-tenant/considerations-recommendations" display="More info" xr:uid="{A13B4250-CA19-4F98-8F54-BA54F0D2F6AB}"/>
    <hyperlink ref="L1562" r:id="rId918" tooltip="https://learn.microsoft.com/azure/cloud-adoption-framework/ready/landing-zone/design-area/multi-tenant/considerations-recommendations" display="More info" xr:uid="{E266B952-A40B-49C8-BF27-AA742C2E3BCA}"/>
    <hyperlink ref="L1563" r:id="rId919" tooltip="https://learn.microsoft.com/azure/cloud-adoption-framework/ready/landing-zone/design-area/multi-tenant/considerations-recommendations" display="More info" xr:uid="{C01EE947-81B2-4517-9799-DB09FCB2E1AD}"/>
    <hyperlink ref="L1564" r:id="rId920" tooltip="https://learn.microsoft.com/azure/cloud-adoption-framework/ready/landing-zone/design-area/multi-tenant/considerations-recommendations" display="More info" xr:uid="{B33FA42A-79DC-4861-8987-3401056ACDC9}"/>
    <hyperlink ref="L1565" r:id="rId921" tooltip="https://learn.microsoft.com/azure/cloud-adoption-framework/ready/landing-zone/design-area/multi-tenant/considerations-recommendations" display="More info" xr:uid="{7520201B-8E50-4DE4-9D99-336D25453248}"/>
    <hyperlink ref="L1566" r:id="rId922" tooltip="https://learn.microsoft.com/azure/cloud-adoption-framework/ready/landing-zone/design-area/multi-tenant/considerations-recommendations" display="More info" xr:uid="{77898B96-481F-4F1D-AB1D-0E2A3E4C4FE9}"/>
    <hyperlink ref="L1567" r:id="rId923" tooltip="https://learn.microsoft.com/azure/cloud-adoption-framework/ready/landing-zone/design-area/multi-tenant/considerations-recommendations" display="More info" xr:uid="{EB8E8E7E-7CEE-4B34-82FC-D39CD2871B9A}"/>
    <hyperlink ref="L1568" r:id="rId924" tooltip="https://learn.microsoft.com/azure/cloud-adoption-framework/ready/landing-zone/design-area/multi-tenant/considerations-recommendations" display="More info" xr:uid="{097B2F94-FA8E-4AD6-A0DB-7085A68D41FD}"/>
    <hyperlink ref="L1569" r:id="rId925" tooltip="https://learn.microsoft.com/azure/cloud-adoption-framework/ready/landing-zone/design-area/multi-tenant/considerations-recommendations" display="More info" xr:uid="{EF0D41F2-2CA6-4D4A-80D5-72ACB1732B5D}"/>
    <hyperlink ref="L1570" r:id="rId926" tooltip="https://learn.microsoft.com/azure/cloud-adoption-framework/ready/landing-zone/design-area/multi-tenant/considerations-recommendations" display="More info" xr:uid="{A6EDB8BC-06B0-4B53-8023-3AF689832AE3}"/>
    <hyperlink ref="L1571" r:id="rId927" tooltip="https://learn.microsoft.com/azure/cloud-adoption-framework/ready/landing-zone/design-area/multi-tenant/considerations-recommendations" display="More info" xr:uid="{B6A4FE8E-938E-4CFD-BAD4-84E9B356ED11}"/>
    <hyperlink ref="L1572" r:id="rId928" tooltip="https://learn.microsoft.com/azure/cloud-adoption-framework/ready/landing-zone/design-area/multi-tenant/considerations-recommendations" display="More info" xr:uid="{03336362-9C6A-407E-AB8B-B39DAF306D22}"/>
    <hyperlink ref="L1573" r:id="rId929" tooltip="https://learn.microsoft.com/azure/cloud-adoption-framework/ready/landing-zone/design-area/multi-tenant/considerations-recommendations" display="More info" xr:uid="{E5615C1B-4C94-4963-8EBE-3454F85B5A06}"/>
    <hyperlink ref="L1574" r:id="rId930" tooltip="https://learn.microsoft.com/azure/cloud-adoption-framework/ready/landing-zone/design-area/multi-tenant/considerations-recommendations" display="More info" xr:uid="{32C0E75E-B45E-4726-B185-4ACCC58E8C07}"/>
    <hyperlink ref="L1575" r:id="rId931" tooltip="https://learn.microsoft.com/azure/cloud-adoption-framework/ready/landing-zone/design-area/multi-tenant/considerations-recommendations" display="More info" xr:uid="{562CA383-0474-40B6-A8A8-5F5F6C9804F0}"/>
    <hyperlink ref="L1576" r:id="rId932" tooltip="https://learn.microsoft.com/azure/cloud-adoption-framework/ready/landing-zone/design-area/multi-tenant/considerations-recommendations" display="More info" xr:uid="{9E9B2D9A-84BD-4B43-A6A8-142E172D4809}"/>
    <hyperlink ref="L1577" r:id="rId933" tooltip="https://learn.microsoft.com/azure/cloud-adoption-framework/ready/landing-zone/design-area/multi-tenant/considerations-recommendations" display="More info" xr:uid="{0201E4C3-4E8F-4265-A5B2-D7750F6D2382}"/>
    <hyperlink ref="L1578" r:id="rId934" tooltip="https://learn.microsoft.com/azure/cloud-adoption-framework/ready/landing-zone/design-area/multi-tenant/considerations-recommendations" display="More info" xr:uid="{E9266770-907D-4A9A-8C3C-C893BD1065B8}"/>
    <hyperlink ref="L1579" r:id="rId935" tooltip="https://learn.microsoft.com/azure/cloud-adoption-framework/ready/landing-zone/design-area/multi-tenant/considerations-recommendations" display="More info" xr:uid="{6ABF3407-DEF1-412D-976B-D09521AFCDCB}"/>
    <hyperlink ref="L1580" r:id="rId936" tooltip="https://learn.microsoft.com/azure/cloud-adoption-framework/ready/landing-zone/design-area/multi-tenant/considerations-recommendations" display="More info" xr:uid="{E67D15FD-ADA8-46A2-8980-9DECAFBB37DC}"/>
    <hyperlink ref="L1581" r:id="rId937" tooltip="https://learn.microsoft.com/azure/cloud-adoption-framework/ready/landing-zone/design-area/multi-tenant/considerations-recommendations" display="More info" xr:uid="{67F482D7-C0A1-4328-B07F-CE1AF29FE29D}"/>
    <hyperlink ref="L1582" r:id="rId938" tooltip="https://learn.microsoft.com/azure/cloud-adoption-framework/ready/landing-zone/design-area/multi-tenant/considerations-recommendations" display="More info" xr:uid="{12117164-2699-4355-93B7-2F0DE0FA7003}"/>
    <hyperlink ref="L1583" r:id="rId939" tooltip="https://learn.microsoft.com/azure/cloud-adoption-framework/ready/landing-zone/design-area/multi-tenant/considerations-recommendations" display="More info" xr:uid="{94A9213A-E1C3-4C5F-8778-8BB14470C78D}"/>
    <hyperlink ref="L1584" r:id="rId940" tooltip="https://learn.microsoft.com/azure/cloud-adoption-framework/ready/landing-zone/design-area/multi-tenant/considerations-recommendations" display="More info" xr:uid="{64FFC6D4-67E2-4E3A-B1FE-C9BEF9356637}"/>
    <hyperlink ref="L1585" r:id="rId941" tooltip="https://learn.microsoft.com/azure/cloud-adoption-framework/ready/landing-zone/design-area/multi-tenant/considerations-recommendations" display="More info" xr:uid="{3C966555-0B06-4135-A7D5-995B52F4C225}"/>
    <hyperlink ref="L1586" r:id="rId942" tooltip="https://learn.microsoft.com/azure/cloud-adoption-framework/ready/landing-zone/design-area/multi-tenant/considerations-recommendations" display="More info" xr:uid="{6CFCDCAA-F5A7-4680-B6BA-E1F1FEB9844B}"/>
    <hyperlink ref="L1587" r:id="rId943" tooltip="https://learn.microsoft.com/azure/cloud-adoption-framework/ready/landing-zone/design-area/multi-tenant/considerations-recommendations" display="More info" xr:uid="{5E1D4D2B-4B34-4DFF-BA9C-8A3D60712296}"/>
    <hyperlink ref="L1588" r:id="rId944" tooltip="https://learn.microsoft.com/azure/cloud-adoption-framework/ready/landing-zone/design-area/multi-tenant/considerations-recommendations" display="More info" xr:uid="{1C7DD182-5EC2-47D5-A590-65E28C968C91}"/>
    <hyperlink ref="L1589" r:id="rId945" tooltip="https://learn.microsoft.com/azure/cloud-adoption-framework/ready/landing-zone/design-area/multi-tenant/considerations-recommendations" display="More info" xr:uid="{C7AEB23B-D472-405E-82B1-D00CB65E6858}"/>
    <hyperlink ref="L1590" r:id="rId946" tooltip="https://learn.microsoft.com/azure/cloud-adoption-framework/ready/landing-zone/design-area/multi-tenant/considerations-recommendations" display="More info" xr:uid="{906F082F-7196-48D9-8846-D6FB470CC643}"/>
    <hyperlink ref="L1591" r:id="rId947" tooltip="https://learn.microsoft.com/azure/cloud-adoption-framework/ready/landing-zone/design-area/multi-tenant/considerations-recommendations" display="More info" xr:uid="{6B8C966F-BB87-478B-AA30-952158C24291}"/>
    <hyperlink ref="L1592" r:id="rId948" tooltip="https://learn.microsoft.com/azure/cloud-adoption-framework/ready/landing-zone/design-area/multi-tenant/considerations-recommendations" display="More info" xr:uid="{DDBE19A7-8BF7-4FB0-8A22-D17C4716D0E5}"/>
    <hyperlink ref="L1593" r:id="rId949" tooltip="https://learn.microsoft.com/azure/cloud-adoption-framework/ready/landing-zone/design-area/multi-tenant/considerations-recommendations" display="More info" xr:uid="{304884C3-867C-4911-BF63-AEED8460657C}"/>
    <hyperlink ref="L1594" r:id="rId950" tooltip="https://learn.microsoft.com/azure/cloud-adoption-framework/ready/landing-zone/design-area/multi-tenant/considerations-recommendations" display="More info" xr:uid="{2B781BE0-FF1F-4FA7-A556-6B6A532ADD63}"/>
    <hyperlink ref="L1595" r:id="rId951" tooltip="https://learn.microsoft.com/azure/cloud-adoption-framework/ready/landing-zone/design-area/multi-tenant/considerations-recommendations" display="More info" xr:uid="{B1E06A46-BADB-4371-8F0D-8BF4BA44E8BA}"/>
    <hyperlink ref="L1596" r:id="rId952" tooltip="https://learn.microsoft.com/azure/cloud-adoption-framework/ready/landing-zone/design-area/multi-tenant/considerations-recommendations" display="More info" xr:uid="{9C812FDF-0812-414A-9480-99CAFD96F24A}"/>
    <hyperlink ref="L1597" r:id="rId953" tooltip="https://learn.microsoft.com/azure/cloud-adoption-framework/ready/landing-zone/design-area/multi-tenant/considerations-recommendations" display="More info" xr:uid="{1F369058-D20D-4C6A-84BD-36CE56F46260}"/>
    <hyperlink ref="L1598" r:id="rId954" tooltip="https://learn.microsoft.com/azure/cloud-adoption-framework/ready/landing-zone/design-area/multi-tenant/considerations-recommendations" display="More info" xr:uid="{735C21ED-216D-4CEA-9865-AFB3F9875D6C}"/>
    <hyperlink ref="L1599" r:id="rId955" tooltip="https://learn.microsoft.com/azure/cloud-adoption-framework/ready/landing-zone/design-area/multi-tenant/considerations-recommendations" display="More info" xr:uid="{B6527D54-F7E6-4AB6-9067-C4396C2058E3}"/>
    <hyperlink ref="L1600" r:id="rId956" tooltip="https://learn.microsoft.com/azure/cloud-adoption-framework/ready/landing-zone/design-area/multi-tenant/considerations-recommendations" display="More info" xr:uid="{A33B5388-8C2A-4B83-953E-CFE192117796}"/>
    <hyperlink ref="L1601" r:id="rId957" tooltip="https://learn.microsoft.com/azure/cloud-adoption-framework/ready/landing-zone/design-area/multi-tenant/considerations-recommendations" display="More info" xr:uid="{9D223F54-F679-4FE4-A00C-147A331E09C8}"/>
    <hyperlink ref="L1602" r:id="rId958" tooltip="https://learn.microsoft.com/azure/cloud-adoption-framework/ready/landing-zone/design-area/multi-tenant/considerations-recommendations" display="More info" xr:uid="{D3BE3234-4790-4ABC-ABE7-7429EF8F51F9}"/>
    <hyperlink ref="L1603" r:id="rId959" tooltip="https://learn.microsoft.com/azure/cloud-adoption-framework/ready/landing-zone/design-area/multi-tenant/considerations-recommendations" display="More info" xr:uid="{81089E73-49BF-4FB9-88F8-732B03337213}"/>
    <hyperlink ref="L1604" r:id="rId960" tooltip="https://learn.microsoft.com/azure/cloud-adoption-framework/ready/landing-zone/design-area/multi-tenant/considerations-recommendations" display="More info" xr:uid="{15BE8632-44C4-4E30-9F49-25CA01B91F43}"/>
    <hyperlink ref="L1605" r:id="rId961" tooltip="https://learn.microsoft.com/azure/cloud-adoption-framework/ready/landing-zone/design-area/multi-tenant/considerations-recommendations" display="More info" xr:uid="{BF1350B1-9C03-4546-87DA-76D7403BDC58}"/>
    <hyperlink ref="L1606" r:id="rId962" tooltip="https://learn.microsoft.com/azure/cloud-adoption-framework/ready/landing-zone/design-area/multi-tenant/considerations-recommendations" display="More info" xr:uid="{E3CBE7E3-58FE-4D78-96E6-E7FD0F30DD4A}"/>
    <hyperlink ref="L1607" r:id="rId963" tooltip="https://learn.microsoft.com/azure/cloud-adoption-framework/ready/landing-zone/design-area/multi-tenant/considerations-recommendations" display="More info" xr:uid="{6CECC208-79B1-4328-A8A6-3BD57372D538}"/>
    <hyperlink ref="L1608" r:id="rId964" tooltip="https://learn.microsoft.com/azure/cloud-adoption-framework/ready/landing-zone/design-area/multi-tenant/considerations-recommendations" display="More info" xr:uid="{83D24FC9-8731-4E12-9401-5407103CDE58}"/>
    <hyperlink ref="L1609" r:id="rId965" tooltip="https://learn.microsoft.com/azure/cloud-adoption-framework/ready/landing-zone/design-area/multi-tenant/considerations-recommendations" display="More info" xr:uid="{0E74C19A-CB7B-42BA-869A-0F3C86D6C702}"/>
    <hyperlink ref="L1610" r:id="rId966" tooltip="https://learn.microsoft.com/azure/cloud-adoption-framework/ready/landing-zone/design-area/multi-tenant/considerations-recommendations" display="More info" xr:uid="{1891FB00-5AF0-46E4-AE48-91216205218D}"/>
    <hyperlink ref="L1611" r:id="rId967" tooltip="https://learn.microsoft.com/azure/cloud-adoption-framework/ready/landing-zone/design-area/multi-tenant/considerations-recommendations" display="More info" xr:uid="{514EA662-FA99-41C8-A159-7F6BB32DE47C}"/>
    <hyperlink ref="L1612" r:id="rId968" tooltip="https://learn.microsoft.com/azure/cloud-adoption-framework/ready/landing-zone/design-area/multi-tenant/considerations-recommendations" display="More info" xr:uid="{C3CE719C-AE30-4F6F-8F2E-7210324C0D33}"/>
    <hyperlink ref="L1613" r:id="rId969" tooltip="https://learn.microsoft.com/azure/cloud-adoption-framework/ready/landing-zone/design-area/multi-tenant/considerations-recommendations" display="More info" xr:uid="{EE070323-8D2F-466F-868D-D6C8DED4FC3B}"/>
    <hyperlink ref="L1614" r:id="rId970" tooltip="https://learn.microsoft.com/azure/cloud-adoption-framework/ready/landing-zone/design-area/multi-tenant/considerations-recommendations" display="More info" xr:uid="{9AFAFF4E-AE49-4C21-B9AF-EAAC271F48C6}"/>
    <hyperlink ref="L1615" r:id="rId971" tooltip="https://learn.microsoft.com/azure/cloud-adoption-framework/ready/landing-zone/design-area/multi-tenant/considerations-recommendations" display="More info" xr:uid="{34B493B1-AAE1-4AF3-BF08-02A4D4F2F9FE}"/>
    <hyperlink ref="L1616" r:id="rId972" tooltip="https://learn.microsoft.com/azure/cloud-adoption-framework/ready/landing-zone/design-area/multi-tenant/considerations-recommendations" display="More info" xr:uid="{480C4F85-BE4B-49CA-9A0E-4BED5B41A477}"/>
    <hyperlink ref="L1617" r:id="rId973" tooltip="https://learn.microsoft.com/azure/cloud-adoption-framework/ready/landing-zone/design-area/multi-tenant/considerations-recommendations" display="More info" xr:uid="{40B857F3-179B-4BDA-B723-49AFA2CC9BCF}"/>
    <hyperlink ref="L1618" r:id="rId974" tooltip="https://learn.microsoft.com/azure/cloud-adoption-framework/ready/landing-zone/design-area/multi-tenant/considerations-recommendations" display="More info" xr:uid="{2DABB8C2-6E02-44A7-B073-685E141E596F}"/>
    <hyperlink ref="L1619" r:id="rId975" tooltip="https://learn.microsoft.com/azure/cloud-adoption-framework/ready/landing-zone/design-area/multi-tenant/considerations-recommendations" display="More info" xr:uid="{F8727323-CBD4-4430-AE83-0FD03B60D540}"/>
    <hyperlink ref="L1620" r:id="rId976" tooltip="https://learn.microsoft.com/azure/cloud-adoption-framework/ready/landing-zone/design-area/multi-tenant/considerations-recommendations" display="More info" xr:uid="{201B4B45-046C-4109-8E8B-433CF344FD3A}"/>
    <hyperlink ref="L1621" r:id="rId977" tooltip="https://learn.microsoft.com/azure/cloud-adoption-framework/ready/landing-zone/design-area/multi-tenant/considerations-recommendations" display="More info" xr:uid="{6177EEBC-907C-4544-AC9F-1A3D2C67A49D}"/>
    <hyperlink ref="L1622" r:id="rId978" tooltip="https://learn.microsoft.com/azure/cloud-adoption-framework/ready/landing-zone/design-area/multi-tenant/considerations-recommendations" display="More info" xr:uid="{0ED41674-6943-4501-B2EE-9166EB777443}"/>
    <hyperlink ref="L1623" r:id="rId979" tooltip="https://learn.microsoft.com/azure/cloud-adoption-framework/ready/landing-zone/design-area/multi-tenant/considerations-recommendations" display="More info" xr:uid="{75234F38-EAA4-4A48-A01D-9F5E6532C2A0}"/>
    <hyperlink ref="L1624" r:id="rId980" tooltip="https://learn.microsoft.com/azure/cloud-adoption-framework/ready/landing-zone/design-area/multi-tenant/considerations-recommendations" display="More info" xr:uid="{4ED5D711-6E78-4681-A566-50934BE59774}"/>
    <hyperlink ref="L1625" r:id="rId981" tooltip="https://learn.microsoft.com/azure/cloud-adoption-framework/ready/landing-zone/design-area/multi-tenant/considerations-recommendations" display="More info" xr:uid="{137A9719-7FAC-4537-A369-1F64178770D9}"/>
    <hyperlink ref="L1626" r:id="rId982" tooltip="https://learn.microsoft.com/azure/cloud-adoption-framework/ready/landing-zone/design-area/multi-tenant/considerations-recommendations" display="More info" xr:uid="{347A4399-9FF2-4011-A238-28EC5B30909F}"/>
    <hyperlink ref="L1627" r:id="rId983" tooltip="https://learn.microsoft.com/azure/cloud-adoption-framework/ready/landing-zone/design-area/multi-tenant/considerations-recommendations" display="More info" xr:uid="{4B083D07-B695-42FC-BB49-337B00DB8DAE}"/>
    <hyperlink ref="L1628" r:id="rId984" tooltip="https://learn.microsoft.com/azure/cloud-adoption-framework/ready/landing-zone/design-area/multi-tenant/considerations-recommendations" display="More info" xr:uid="{6072450F-D239-4C70-B87A-5A2ED18B87FD}"/>
    <hyperlink ref="L1629" r:id="rId985" tooltip="https://learn.microsoft.com/azure/cloud-adoption-framework/ready/landing-zone/design-area/multi-tenant/considerations-recommendations" display="More info" xr:uid="{7CF16BA3-5DFD-466C-A902-3AD060C7D54B}"/>
    <hyperlink ref="L1630" r:id="rId986" tooltip="https://learn.microsoft.com/azure/cloud-adoption-framework/ready/landing-zone/design-area/multi-tenant/considerations-recommendations" display="More info" xr:uid="{14268877-A41F-4913-9785-525740531D41}"/>
    <hyperlink ref="L1631" r:id="rId987" tooltip="https://learn.microsoft.com/azure/cloud-adoption-framework/ready/landing-zone/design-area/multi-tenant/considerations-recommendations" display="More info" xr:uid="{FAF7AF65-2418-4584-A56B-8F542848A342}"/>
    <hyperlink ref="L1632" r:id="rId988" tooltip="https://learn.microsoft.com/azure/cloud-adoption-framework/ready/landing-zone/design-area/multi-tenant/considerations-recommendations" display="More info" xr:uid="{D01E4FB3-3550-4AED-A148-20FBD317221C}"/>
    <hyperlink ref="L1633" r:id="rId989" tooltip="https://learn.microsoft.com/azure/cloud-adoption-framework/ready/landing-zone/design-area/multi-tenant/considerations-recommendations" display="More info" xr:uid="{101E7A5C-AD7B-4CBB-910D-02D8705E9AC2}"/>
    <hyperlink ref="L1634" r:id="rId990" tooltip="https://learn.microsoft.com/azure/cloud-adoption-framework/ready/landing-zone/design-area/multi-tenant/considerations-recommendations" display="More info" xr:uid="{C1520DF3-19A7-4074-85CA-FB147D697093}"/>
    <hyperlink ref="L1635" r:id="rId991" tooltip="https://learn.microsoft.com/azure/cloud-adoption-framework/ready/landing-zone/design-area/multi-tenant/considerations-recommendations" display="More info" xr:uid="{5C9B2ACA-37CF-4AB0-9A59-3962017FEC24}"/>
    <hyperlink ref="L1636" r:id="rId992" tooltip="https://learn.microsoft.com/azure/cloud-adoption-framework/ready/landing-zone/design-area/multi-tenant/considerations-recommendations" display="More info" xr:uid="{73E2A303-1CEF-46AC-921A-03B183795FB2}"/>
    <hyperlink ref="L1637" r:id="rId993" tooltip="https://learn.microsoft.com/azure/cloud-adoption-framework/ready/landing-zone/design-area/multi-tenant/considerations-recommendations" display="More info" xr:uid="{020B13BC-1A60-442D-9905-34886D95A79E}"/>
    <hyperlink ref="L1638" r:id="rId994" tooltip="https://learn.microsoft.com/azure/cloud-adoption-framework/ready/landing-zone/design-area/multi-tenant/considerations-recommendations" display="More info" xr:uid="{A20DA71A-BC9D-44DA-AED2-968E70CED4AE}"/>
    <hyperlink ref="L1639" r:id="rId995" tooltip="https://learn.microsoft.com/azure/cloud-adoption-framework/ready/landing-zone/design-area/multi-tenant/considerations-recommendations" display="More info" xr:uid="{393C4BA9-1033-440E-9640-864119A1E666}"/>
    <hyperlink ref="L1640" r:id="rId996" tooltip="https://learn.microsoft.com/azure/cloud-adoption-framework/ready/landing-zone/design-area/multi-tenant/considerations-recommendations" display="More info" xr:uid="{F917C66E-9E6A-4534-96CF-EF60084ABC7D}"/>
    <hyperlink ref="L1641" r:id="rId997" tooltip="https://learn.microsoft.com/azure/cloud-adoption-framework/ready/landing-zone/design-area/multi-tenant/considerations-recommendations" display="More info" xr:uid="{8FFDD0AE-E913-4359-A88C-1D9743114430}"/>
    <hyperlink ref="L1642" r:id="rId998" tooltip="https://learn.microsoft.com/azure/cloud-adoption-framework/ready/landing-zone/design-area/multi-tenant/considerations-recommendations" display="More info" xr:uid="{D039A277-DC1A-468C-BE28-1E81DC803DB6}"/>
    <hyperlink ref="L1643" r:id="rId999" tooltip="https://learn.microsoft.com/azure/cloud-adoption-framework/ready/landing-zone/design-area/multi-tenant/considerations-recommendations" display="More info" xr:uid="{9E53C14E-77EC-431A-9F99-09D6E9C02406}"/>
    <hyperlink ref="L1644" r:id="rId1000" tooltip="https://learn.microsoft.com/azure/cloud-adoption-framework/ready/landing-zone/design-area/multi-tenant/considerations-recommendations" display="More info" xr:uid="{FC4E58C8-5ADF-43B0-A23E-7772B4D4DAF3}"/>
    <hyperlink ref="L1645" r:id="rId1001" tooltip="https://learn.microsoft.com/azure/cloud-adoption-framework/ready/landing-zone/design-area/multi-tenant/considerations-recommendations" display="More info" xr:uid="{CBCF133E-2CF2-42CA-BC46-690C1C3F4105}"/>
    <hyperlink ref="L1646" r:id="rId1002" tooltip="https://learn.microsoft.com/azure/cloud-adoption-framework/ready/landing-zone/design-area/multi-tenant/considerations-recommendations" display="More info" xr:uid="{B2047AB6-A4EC-4BF4-84A6-B11BB5FF0B7C}"/>
    <hyperlink ref="L1647" r:id="rId1003" tooltip="https://learn.microsoft.com/azure/cloud-adoption-framework/ready/landing-zone/design-area/multi-tenant/considerations-recommendations" display="More info" xr:uid="{3D8EA453-19E9-4FB0-90A8-6B1EF42DDEAA}"/>
    <hyperlink ref="L1648" r:id="rId1004" tooltip="https://learn.microsoft.com/azure/cloud-adoption-framework/ready/landing-zone/design-area/multi-tenant/considerations-recommendations" display="More info" xr:uid="{0FC72EB6-0D67-4C6B-A77C-04EC2BD62EB0}"/>
    <hyperlink ref="L1649" r:id="rId1005" tooltip="https://learn.microsoft.com/azure/cloud-adoption-framework/ready/landing-zone/design-area/multi-tenant/considerations-recommendations" display="More info" xr:uid="{E891497D-376F-4FD9-93CB-E02EDBCB0281}"/>
    <hyperlink ref="L1650" r:id="rId1006" tooltip="https://learn.microsoft.com/azure/cloud-adoption-framework/ready/landing-zone/design-area/multi-tenant/considerations-recommendations" display="More info" xr:uid="{15FAC15F-B5F2-4935-B0CC-E452BC0C4E06}"/>
    <hyperlink ref="L1651" r:id="rId1007" tooltip="https://learn.microsoft.com/azure/cloud-adoption-framework/ready/landing-zone/design-area/multi-tenant/considerations-recommendations" display="More info" xr:uid="{848FA4EA-A71B-4B08-9110-CA3C2B3C2D7E}"/>
    <hyperlink ref="L1652" r:id="rId1008" tooltip="https://learn.microsoft.com/azure/cloud-adoption-framework/ready/landing-zone/design-area/multi-tenant/considerations-recommendations" display="More info" xr:uid="{AEEC8CDB-ABF1-4FD7-B3C2-5E9AFAA70C1A}"/>
    <hyperlink ref="L1653" r:id="rId1009" tooltip="https://learn.microsoft.com/azure/cloud-adoption-framework/ready/landing-zone/design-area/multi-tenant/considerations-recommendations" display="More info" xr:uid="{F8A8E9CD-CB69-43EC-8138-5E41931B413F}"/>
    <hyperlink ref="L1654" r:id="rId1010" tooltip="https://learn.microsoft.com/azure/cloud-adoption-framework/ready/landing-zone/design-area/multi-tenant/considerations-recommendations" display="More info" xr:uid="{59041277-91B9-41FB-BE1E-DF0292D83C05}"/>
    <hyperlink ref="L1655" r:id="rId1011" tooltip="https://learn.microsoft.com/azure/cloud-adoption-framework/ready/landing-zone/design-area/multi-tenant/considerations-recommendations" display="More info" xr:uid="{3D8169E9-BF91-4BC3-A1F4-B2FE7B43E676}"/>
    <hyperlink ref="L1656" r:id="rId1012" tooltip="https://learn.microsoft.com/azure/cloud-adoption-framework/ready/landing-zone/design-area/multi-tenant/considerations-recommendations" display="More info" xr:uid="{D773077E-02E3-4F2E-8539-26459CFB356E}"/>
    <hyperlink ref="L1657" r:id="rId1013" tooltip="https://learn.microsoft.com/azure/cloud-adoption-framework/ready/landing-zone/design-area/multi-tenant/considerations-recommendations" display="More info" xr:uid="{15BB1CFC-C6BE-4106-8C61-F8227A6D4E3C}"/>
    <hyperlink ref="L1658" r:id="rId1014" tooltip="https://learn.microsoft.com/azure/cloud-adoption-framework/ready/landing-zone/design-area/multi-tenant/considerations-recommendations" display="More info" xr:uid="{08F75AAE-05CD-4B5B-A00B-B7AAEB14EA55}"/>
    <hyperlink ref="L1659" r:id="rId1015" tooltip="https://learn.microsoft.com/azure/cloud-adoption-framework/ready/landing-zone/design-area/multi-tenant/considerations-recommendations" display="More info" xr:uid="{8AF04724-EBD8-4D83-9ACF-F769FD44BE29}"/>
    <hyperlink ref="L1660" r:id="rId1016" tooltip="https://learn.microsoft.com/azure/cloud-adoption-framework/ready/landing-zone/design-area/multi-tenant/considerations-recommendations" display="More info" xr:uid="{FE49EFA5-C7B0-40F9-8227-81D70C25FE22}"/>
    <hyperlink ref="L1661" r:id="rId1017" tooltip="https://learn.microsoft.com/azure/cloud-adoption-framework/ready/landing-zone/design-area/multi-tenant/considerations-recommendations" display="More info" xr:uid="{476CD3E0-2FFA-4A59-B3F5-30239146B4DE}"/>
    <hyperlink ref="L1662" r:id="rId1018" tooltip="https://learn.microsoft.com/azure/cloud-adoption-framework/ready/landing-zone/design-area/multi-tenant/considerations-recommendations" display="More info" xr:uid="{7ACC7B02-2756-4ACA-B466-196C4ACD3B08}"/>
    <hyperlink ref="L1663" r:id="rId1019" tooltip="https://learn.microsoft.com/azure/cloud-adoption-framework/ready/landing-zone/design-area/multi-tenant/considerations-recommendations" display="More info" xr:uid="{9E921236-19A0-4082-908D-488629BFED96}"/>
    <hyperlink ref="L1664" r:id="rId1020" tooltip="https://learn.microsoft.com/azure/cloud-adoption-framework/ready/landing-zone/design-area/multi-tenant/considerations-recommendations" display="More info" xr:uid="{084330DC-4B6D-40C7-B41A-48D86B06E3F6}"/>
    <hyperlink ref="L1665" r:id="rId1021" tooltip="https://learn.microsoft.com/azure/cloud-adoption-framework/ready/landing-zone/design-area/multi-tenant/considerations-recommendations" display="More info" xr:uid="{98C4DABC-B8FC-47DF-9550-39EDD4CB5F53}"/>
    <hyperlink ref="L1666" r:id="rId1022" tooltip="https://learn.microsoft.com/azure/cloud-adoption-framework/ready/landing-zone/design-area/multi-tenant/considerations-recommendations" display="More info" xr:uid="{C2D2B5F7-4BC2-4810-B967-66A756C1D96A}"/>
    <hyperlink ref="L1667" r:id="rId1023" tooltip="https://learn.microsoft.com/azure/cloud-adoption-framework/ready/landing-zone/design-area/multi-tenant/considerations-recommendations" display="More info" xr:uid="{EAE40347-3C46-4E1F-844F-55240160937E}"/>
    <hyperlink ref="L1668" r:id="rId1024" tooltip="https://learn.microsoft.com/azure/cloud-adoption-framework/ready/landing-zone/design-area/multi-tenant/considerations-recommendations" display="More info" xr:uid="{8B5B4DA0-0890-48F8-84F0-EDEEAF1923E0}"/>
    <hyperlink ref="L1669" r:id="rId1025" tooltip="https://learn.microsoft.com/azure/cloud-adoption-framework/ready/landing-zone/design-area/multi-tenant/considerations-recommendations" display="More info" xr:uid="{A66F23D4-4492-4CD8-A13F-C632B5DC7B38}"/>
    <hyperlink ref="L1670" r:id="rId1026" tooltip="https://learn.microsoft.com/azure/cloud-adoption-framework/ready/landing-zone/design-area/multi-tenant/considerations-recommendations" display="More info" xr:uid="{30619D9C-20E6-43FB-89A8-B2F82DCF35E0}"/>
    <hyperlink ref="L1671" r:id="rId1027" tooltip="https://learn.microsoft.com/azure/cloud-adoption-framework/ready/landing-zone/design-area/multi-tenant/considerations-recommendations" display="More info" xr:uid="{E9AFFEDA-6E6F-4806-B7CF-5B5CF47817EF}"/>
    <hyperlink ref="L1672" r:id="rId1028" tooltip="https://learn.microsoft.com/azure/cloud-adoption-framework/ready/landing-zone/design-area/multi-tenant/considerations-recommendations" display="More info" xr:uid="{9EF2A7D2-1B94-4B73-958A-E5722E8E4687}"/>
    <hyperlink ref="L1673" r:id="rId1029" tooltip="https://learn.microsoft.com/azure/cloud-adoption-framework/ready/landing-zone/design-area/multi-tenant/considerations-recommendations" display="More info" xr:uid="{2F1D03F3-FAE9-4D61-96E1-D6F327C33E78}"/>
    <hyperlink ref="L1674" r:id="rId1030" tooltip="https://learn.microsoft.com/azure/cloud-adoption-framework/ready/landing-zone/design-area/multi-tenant/considerations-recommendations" display="More info" xr:uid="{97A62439-6D7B-47E0-8BA3-4B8582248F08}"/>
    <hyperlink ref="L1675" r:id="rId1031" tooltip="https://learn.microsoft.com/azure/cloud-adoption-framework/ready/landing-zone/design-area/multi-tenant/considerations-recommendations" display="More info" xr:uid="{8F4AD271-F0A6-41B5-9C7D-3A03C2E9A884}"/>
    <hyperlink ref="L1676" r:id="rId1032" tooltip="https://learn.microsoft.com/azure/cloud-adoption-framework/ready/landing-zone/design-area/multi-tenant/considerations-recommendations" display="More info" xr:uid="{264366E4-FA0A-4952-9C44-C81083B52897}"/>
    <hyperlink ref="L1677" r:id="rId1033" tooltip="https://learn.microsoft.com/azure/cloud-adoption-framework/ready/landing-zone/design-area/multi-tenant/considerations-recommendations" display="More info" xr:uid="{2669B9D2-CE2E-45E1-B2D6-0DFE57A2C398}"/>
    <hyperlink ref="L1678" r:id="rId1034" tooltip="https://learn.microsoft.com/azure/cloud-adoption-framework/ready/landing-zone/design-area/multi-tenant/considerations-recommendations" display="More info" xr:uid="{2577BE74-B1DC-4650-85F5-91C13BE4A19D}"/>
    <hyperlink ref="L1679" r:id="rId1035" tooltip="https://learn.microsoft.com/azure/cloud-adoption-framework/ready/landing-zone/design-area/multi-tenant/considerations-recommendations" display="More info" xr:uid="{1F7E45E2-DCC7-45E1-B7CE-73C618941295}"/>
    <hyperlink ref="L1680" r:id="rId1036" tooltip="https://learn.microsoft.com/azure/cloud-adoption-framework/ready/landing-zone/design-area/multi-tenant/considerations-recommendations" display="More info" xr:uid="{915122EB-ADBF-4BF5-A8DB-8F9BA63FA6EC}"/>
    <hyperlink ref="L1681" r:id="rId1037" tooltip="https://learn.microsoft.com/azure/cloud-adoption-framework/ready/landing-zone/design-area/multi-tenant/considerations-recommendations" display="More info" xr:uid="{A81E8482-2A88-420A-BC09-0CB39E0C234A}"/>
    <hyperlink ref="L1682" r:id="rId1038" tooltip="https://learn.microsoft.com/azure/cloud-adoption-framework/ready/landing-zone/design-area/multi-tenant/considerations-recommendations" display="More info" xr:uid="{C67437A6-988B-43C7-98A4-2FE32ED67900}"/>
    <hyperlink ref="L1683" r:id="rId1039" tooltip="https://learn.microsoft.com/azure/cloud-adoption-framework/ready/landing-zone/design-area/multi-tenant/considerations-recommendations" display="More info" xr:uid="{2993DFA6-E6B8-4433-A183-27FCFAF253AE}"/>
    <hyperlink ref="L1684" r:id="rId1040" tooltip="https://learn.microsoft.com/azure/cloud-adoption-framework/ready/landing-zone/design-area/multi-tenant/considerations-recommendations" display="More info" xr:uid="{294E448C-FD40-4719-AEB7-54D8F59EC9B4}"/>
    <hyperlink ref="L1685" r:id="rId1041" tooltip="https://learn.microsoft.com/azure/cloud-adoption-framework/ready/landing-zone/design-area/multi-tenant/considerations-recommendations" display="More info" xr:uid="{C1665ABA-189E-4842-B31F-800CAC36F9CA}"/>
    <hyperlink ref="L1686" r:id="rId1042" tooltip="https://learn.microsoft.com/azure/cloud-adoption-framework/ready/landing-zone/design-area/multi-tenant/considerations-recommendations" display="More info" xr:uid="{5BCC8526-EF9C-4F32-9D99-415C3BC6F1F0}"/>
    <hyperlink ref="L1687" r:id="rId1043" tooltip="https://learn.microsoft.com/azure/cloud-adoption-framework/ready/landing-zone/design-area/multi-tenant/considerations-recommendations" display="More info" xr:uid="{0E432530-F524-43AB-A4BA-DF9C63C18AC3}"/>
    <hyperlink ref="L1688" r:id="rId1044" tooltip="https://learn.microsoft.com/azure/cloud-adoption-framework/ready/landing-zone/design-area/multi-tenant/considerations-recommendations" display="More info" xr:uid="{ADE83AE2-340C-4614-A236-FF878FFD8609}"/>
    <hyperlink ref="L1689" r:id="rId1045" tooltip="https://learn.microsoft.com/azure/cloud-adoption-framework/ready/landing-zone/design-area/multi-tenant/considerations-recommendations" display="More info" xr:uid="{E22BF689-7569-4209-9B7E-69457768F0A5}"/>
    <hyperlink ref="L1690" r:id="rId1046" tooltip="https://learn.microsoft.com/azure/cloud-adoption-framework/ready/landing-zone/design-area/multi-tenant/considerations-recommendations" display="More info" xr:uid="{E4B1A2F8-C02F-4223-A431-2035954A4D6B}"/>
    <hyperlink ref="L1691" r:id="rId1047" tooltip="https://learn.microsoft.com/azure/cloud-adoption-framework/ready/landing-zone/design-area/multi-tenant/considerations-recommendations" display="More info" xr:uid="{AAC2A5D3-348A-4E3F-9AEA-A10CD2350513}"/>
    <hyperlink ref="L1692" r:id="rId1048" tooltip="https://learn.microsoft.com/azure/cloud-adoption-framework/ready/landing-zone/design-area/multi-tenant/considerations-recommendations" display="More info" xr:uid="{893025F0-A321-4BD9-851F-3729225BF7E2}"/>
    <hyperlink ref="L1693" r:id="rId1049" tooltip="https://learn.microsoft.com/azure/cloud-adoption-framework/ready/landing-zone/design-area/multi-tenant/considerations-recommendations" display="More info" xr:uid="{79CDB50C-CEEB-4CFB-AB6B-09A31CD72075}"/>
    <hyperlink ref="L1694" r:id="rId1050" tooltip="https://learn.microsoft.com/azure/cloud-adoption-framework/ready/landing-zone/design-area/multi-tenant/considerations-recommendations" display="More info" xr:uid="{8EA99710-A75F-436E-A55D-8D07FF41543B}"/>
    <hyperlink ref="L1695" r:id="rId1051" tooltip="https://learn.microsoft.com/azure/cloud-adoption-framework/ready/landing-zone/design-area/multi-tenant/considerations-recommendations" display="More info" xr:uid="{E6909AD1-87DA-4B3C-8967-BCDE2E83EC44}"/>
    <hyperlink ref="L1696" r:id="rId1052" tooltip="https://learn.microsoft.com/azure/cloud-adoption-framework/ready/landing-zone/design-area/multi-tenant/considerations-recommendations" display="More info" xr:uid="{5B084184-5810-4F11-84C5-EEDB0B48D2EE}"/>
    <hyperlink ref="L1697" r:id="rId1053" tooltip="https://learn.microsoft.com/azure/cloud-adoption-framework/ready/landing-zone/design-area/multi-tenant/considerations-recommendations" display="More info" xr:uid="{4A78A09E-F827-4768-AB4A-C4AD1A71EC78}"/>
    <hyperlink ref="L1698" r:id="rId1054" tooltip="https://learn.microsoft.com/azure/cloud-adoption-framework/ready/landing-zone/design-area/multi-tenant/considerations-recommendations" display="More info" xr:uid="{C54A50EC-EB7E-4146-A587-09EEA9FBBF9B}"/>
    <hyperlink ref="L1699" r:id="rId1055" tooltip="https://learn.microsoft.com/azure/cloud-adoption-framework/ready/landing-zone/design-area/multi-tenant/considerations-recommendations" display="More info" xr:uid="{0DCF44AD-5170-4724-97BA-EACB3502E4CA}"/>
    <hyperlink ref="L1700" r:id="rId1056" tooltip="https://learn.microsoft.com/azure/cloud-adoption-framework/ready/landing-zone/design-area/multi-tenant/considerations-recommendations" display="More info" xr:uid="{366D2147-E204-4EC2-A112-C06B0D2E845B}"/>
    <hyperlink ref="L1701" r:id="rId1057" tooltip="https://learn.microsoft.com/azure/cloud-adoption-framework/ready/landing-zone/design-area/multi-tenant/considerations-recommendations" display="More info" xr:uid="{0978F69A-FD63-453F-986A-97226EE9FDC2}"/>
    <hyperlink ref="L1702" r:id="rId1058" tooltip="https://learn.microsoft.com/azure/cloud-adoption-framework/ready/landing-zone/design-area/multi-tenant/considerations-recommendations" display="More info" xr:uid="{2067C318-0316-4A07-AF10-1249BA52A31C}"/>
    <hyperlink ref="L1703" r:id="rId1059" tooltip="https://learn.microsoft.com/azure/cloud-adoption-framework/ready/landing-zone/design-area/multi-tenant/considerations-recommendations" display="More info" xr:uid="{8A2A0E43-F8D2-4966-8722-514716D33754}"/>
    <hyperlink ref="L1704" r:id="rId1060" tooltip="https://learn.microsoft.com/azure/cloud-adoption-framework/ready/landing-zone/design-area/multi-tenant/considerations-recommendations" display="More info" xr:uid="{2F8B421F-49D8-44E0-A5D6-2EB88FEC8585}"/>
    <hyperlink ref="L1705" r:id="rId1061" tooltip="https://learn.microsoft.com/azure/cloud-adoption-framework/ready/landing-zone/design-area/multi-tenant/considerations-recommendations" display="More info" xr:uid="{0DF4CBD1-AA5C-4DCC-9F12-1ABA04AFA145}"/>
    <hyperlink ref="L1706" r:id="rId1062" tooltip="https://learn.microsoft.com/azure/cloud-adoption-framework/ready/landing-zone/design-area/multi-tenant/considerations-recommendations" display="More info" xr:uid="{5786F38C-D34F-41AD-9451-3DC6831D7F65}"/>
    <hyperlink ref="L1707" r:id="rId1063" tooltip="https://learn.microsoft.com/azure/cloud-adoption-framework/ready/landing-zone/design-area/multi-tenant/considerations-recommendations" display="More info" xr:uid="{D1C78585-8C6D-46AE-AFA3-0025073554FC}"/>
    <hyperlink ref="L1708" r:id="rId1064" tooltip="https://learn.microsoft.com/azure/cloud-adoption-framework/ready/landing-zone/design-area/multi-tenant/considerations-recommendations" display="More info" xr:uid="{055644D2-F523-4E1A-9F45-D04C4E0BC3E8}"/>
    <hyperlink ref="L1709" r:id="rId1065" tooltip="https://learn.microsoft.com/azure/cloud-adoption-framework/ready/landing-zone/design-area/multi-tenant/considerations-recommendations" display="More info" xr:uid="{9E4514DF-8CD5-4E59-9BA0-F82EC9B0785D}"/>
    <hyperlink ref="L1710" r:id="rId1066" tooltip="https://learn.microsoft.com/azure/cloud-adoption-framework/ready/landing-zone/design-area/multi-tenant/considerations-recommendations" display="More info" xr:uid="{58CE63AB-D35E-43FD-A7FA-E386009BE0BF}"/>
    <hyperlink ref="L1711" r:id="rId1067" tooltip="https://learn.microsoft.com/azure/cloud-adoption-framework/ready/landing-zone/design-area/multi-tenant/considerations-recommendations" display="More info" xr:uid="{4750061D-DD1E-46E6-9882-CD47B763D7E3}"/>
    <hyperlink ref="L1712" r:id="rId1068" tooltip="https://learn.microsoft.com/azure/cloud-adoption-framework/ready/landing-zone/design-area/multi-tenant/considerations-recommendations" display="More info" xr:uid="{8A9363FF-2407-44F9-88D1-0A3626616F6C}"/>
    <hyperlink ref="L1713" r:id="rId1069" tooltip="https://learn.microsoft.com/azure/cloud-adoption-framework/ready/landing-zone/design-area/multi-tenant/considerations-recommendations" display="More info" xr:uid="{71680FEE-9558-48C2-94C7-9F8B85201D3B}"/>
    <hyperlink ref="L1714" r:id="rId1070" tooltip="https://learn.microsoft.com/azure/cloud-adoption-framework/ready/landing-zone/design-area/multi-tenant/considerations-recommendations" display="More info" xr:uid="{73AE9714-C022-456E-9B51-787B9312B05D}"/>
    <hyperlink ref="L1715" r:id="rId1071" tooltip="https://learn.microsoft.com/azure/cloud-adoption-framework/ready/landing-zone/design-area/multi-tenant/considerations-recommendations" display="More info" xr:uid="{09D6F25E-8C2B-4E50-A2AA-0A5A7A3820AC}"/>
    <hyperlink ref="L1716" r:id="rId1072" tooltip="https://learn.microsoft.com/azure/cloud-adoption-framework/ready/landing-zone/design-area/multi-tenant/considerations-recommendations" display="More info" xr:uid="{99FF4A02-C800-4C78-BF5D-38C86DDF4C89}"/>
    <hyperlink ref="L1717" r:id="rId1073" tooltip="https://learn.microsoft.com/azure/cloud-adoption-framework/ready/landing-zone/design-area/multi-tenant/considerations-recommendations" display="More info" xr:uid="{6D7F5525-B7E0-4FFB-A1A9-10193EAFAFF3}"/>
    <hyperlink ref="L1718" r:id="rId1074" tooltip="https://learn.microsoft.com/azure/cloud-adoption-framework/ready/landing-zone/design-area/multi-tenant/considerations-recommendations" display="More info" xr:uid="{D7C9DBF9-FF38-4B0D-A2AA-4D0B13F44DE8}"/>
    <hyperlink ref="L1719" r:id="rId1075" tooltip="https://learn.microsoft.com/azure/cloud-adoption-framework/ready/landing-zone/design-area/multi-tenant/considerations-recommendations" display="More info" xr:uid="{C59620BF-C4E2-4F4A-B17E-BEBF01E728A4}"/>
    <hyperlink ref="L1720" r:id="rId1076" tooltip="https://learn.microsoft.com/azure/cloud-adoption-framework/ready/landing-zone/design-area/multi-tenant/considerations-recommendations" display="More info" xr:uid="{BF3A5EF5-0351-4208-B7C8-F23D352289FD}"/>
    <hyperlink ref="L1721" r:id="rId1077" tooltip="https://learn.microsoft.com/azure/cloud-adoption-framework/ready/landing-zone/design-area/multi-tenant/considerations-recommendations" display="More info" xr:uid="{3FAA3D27-0024-478B-8F33-A20AD2E1BE83}"/>
    <hyperlink ref="L1722" r:id="rId1078" tooltip="https://learn.microsoft.com/azure/cloud-adoption-framework/ready/landing-zone/design-area/multi-tenant/considerations-recommendations" display="More info" xr:uid="{5F44108A-20EB-41A0-A0F7-71C339BE5C5E}"/>
    <hyperlink ref="L1723" r:id="rId1079" tooltip="https://learn.microsoft.com/azure/cloud-adoption-framework/ready/landing-zone/design-area/multi-tenant/considerations-recommendations" display="More info" xr:uid="{CE6334A0-323D-465B-ACE0-1D998BDFD01A}"/>
    <hyperlink ref="L1724" r:id="rId1080" tooltip="https://learn.microsoft.com/azure/cloud-adoption-framework/ready/landing-zone/design-area/multi-tenant/considerations-recommendations" display="More info" xr:uid="{944FAC55-816B-4072-9CDA-34F099748D4F}"/>
    <hyperlink ref="L1725" r:id="rId1081" tooltip="https://learn.microsoft.com/azure/cloud-adoption-framework/ready/landing-zone/design-area/multi-tenant/considerations-recommendations" display="More info" xr:uid="{145AD0A4-CFE4-41B4-9751-4465DEEA2038}"/>
    <hyperlink ref="L1726" r:id="rId1082" tooltip="https://learn.microsoft.com/azure/cloud-adoption-framework/ready/landing-zone/design-area/multi-tenant/considerations-recommendations" display="More info" xr:uid="{9F0BE49D-E01E-4DAF-AEFD-1ABF42792D14}"/>
    <hyperlink ref="L1727" r:id="rId1083" tooltip="https://learn.microsoft.com/azure/cloud-adoption-framework/ready/landing-zone/design-area/multi-tenant/considerations-recommendations" display="More info" xr:uid="{E2D12D17-117D-4FFC-BFEB-D288D7276B06}"/>
    <hyperlink ref="L1728" r:id="rId1084" tooltip="https://learn.microsoft.com/azure/cloud-adoption-framework/ready/landing-zone/design-area/multi-tenant/considerations-recommendations" display="More info" xr:uid="{45D9B6D9-9F28-47FB-8F7C-2D44C775588D}"/>
    <hyperlink ref="L1729" r:id="rId1085" tooltip="https://learn.microsoft.com/azure/cloud-adoption-framework/ready/landing-zone/design-area/multi-tenant/considerations-recommendations" display="More info" xr:uid="{BEDE3F88-345B-406F-AD2A-C4ABE4A1B38C}"/>
    <hyperlink ref="L1730" r:id="rId1086" tooltip="https://learn.microsoft.com/azure/cloud-adoption-framework/ready/landing-zone/design-area/multi-tenant/considerations-recommendations" display="More info" xr:uid="{F4DB6BF2-A806-48E0-A29F-90FDE0935B59}"/>
    <hyperlink ref="L1731" r:id="rId1087" tooltip="https://learn.microsoft.com/azure/cloud-adoption-framework/ready/landing-zone/design-area/multi-tenant/considerations-recommendations" display="More info" xr:uid="{57B75560-FB08-4958-B04D-FA8574B37F84}"/>
    <hyperlink ref="L1732" r:id="rId1088" tooltip="https://learn.microsoft.com/azure/cloud-adoption-framework/ready/landing-zone/design-area/multi-tenant/considerations-recommendations" display="More info" xr:uid="{A51511FA-A9F4-4F45-9615-7538E1A5454B}"/>
    <hyperlink ref="L1733" r:id="rId1089" tooltip="https://learn.microsoft.com/azure/cloud-adoption-framework/ready/landing-zone/design-area/multi-tenant/considerations-recommendations" display="More info" xr:uid="{23CC82C1-CD83-456E-96A2-3B73F39AB681}"/>
    <hyperlink ref="L1734" r:id="rId1090" tooltip="https://learn.microsoft.com/azure/cloud-adoption-framework/ready/landing-zone/design-area/multi-tenant/considerations-recommendations" display="More info" xr:uid="{AD4DC89D-6FE0-466B-955D-BFE6DAD97E5F}"/>
    <hyperlink ref="L1735" r:id="rId1091" tooltip="https://learn.microsoft.com/azure/cloud-adoption-framework/ready/landing-zone/design-area/multi-tenant/considerations-recommendations" display="More info" xr:uid="{05A5F2E6-0717-4F43-8471-D71D9BB13148}"/>
    <hyperlink ref="L1736" r:id="rId1092" tooltip="https://learn.microsoft.com/azure/cloud-adoption-framework/ready/landing-zone/design-area/multi-tenant/considerations-recommendations" display="More info" xr:uid="{F9F5FABD-C30D-40E9-8E94-B80012EEF208}"/>
    <hyperlink ref="L1737" r:id="rId1093" tooltip="https://learn.microsoft.com/azure/cloud-adoption-framework/ready/landing-zone/design-area/multi-tenant/considerations-recommendations" display="More info" xr:uid="{2BCFE04D-96BD-492E-9F9A-0784CD1B948D}"/>
    <hyperlink ref="L1738" r:id="rId1094" tooltip="https://learn.microsoft.com/azure/cloud-adoption-framework/ready/landing-zone/design-area/multi-tenant/considerations-recommendations" display="More info" xr:uid="{B958BDB2-2D36-4FAB-BC84-2229691C9F31}"/>
    <hyperlink ref="L1739" r:id="rId1095" tooltip="https://learn.microsoft.com/azure/cloud-adoption-framework/ready/landing-zone/design-area/multi-tenant/considerations-recommendations" display="More info" xr:uid="{407B2178-4C8C-47EB-9117-6DBACB585970}"/>
    <hyperlink ref="L1740" r:id="rId1096" tooltip="https://learn.microsoft.com/azure/cloud-adoption-framework/ready/landing-zone/design-area/multi-tenant/considerations-recommendations" display="More info" xr:uid="{1BE2A19F-52AB-488E-B5B2-2B0EBE4BF4DC}"/>
    <hyperlink ref="L1741" r:id="rId1097" tooltip="https://learn.microsoft.com/azure/cloud-adoption-framework/ready/landing-zone/design-area/multi-tenant/considerations-recommendations" display="More info" xr:uid="{F824CFEF-6F9D-40AB-9D29-0D36F546F5FD}"/>
    <hyperlink ref="L1742" r:id="rId1098" tooltip="https://learn.microsoft.com/azure/cloud-adoption-framework/ready/landing-zone/design-area/multi-tenant/considerations-recommendations" display="More info" xr:uid="{0D24C8EA-05B1-4D54-A029-B6F1E2CA14D2}"/>
    <hyperlink ref="L1743" r:id="rId1099" tooltip="https://learn.microsoft.com/azure/cloud-adoption-framework/ready/landing-zone/design-area/multi-tenant/considerations-recommendations" display="More info" xr:uid="{2F5A00A4-E8BC-4F08-86EB-7A6AECBB802C}"/>
    <hyperlink ref="L1744" r:id="rId1100" tooltip="https://learn.microsoft.com/azure/cloud-adoption-framework/ready/landing-zone/design-area/multi-tenant/considerations-recommendations" display="More info" xr:uid="{27549AAE-3972-4AA4-8519-86AC6E4416A1}"/>
    <hyperlink ref="L1745" r:id="rId1101" tooltip="https://learn.microsoft.com/azure/cloud-adoption-framework/ready/landing-zone/design-area/multi-tenant/considerations-recommendations" display="More info" xr:uid="{1465BD7C-FBFB-4E24-8A53-F887BB9C7800}"/>
    <hyperlink ref="L1746" r:id="rId1102" tooltip="https://learn.microsoft.com/azure/cloud-adoption-framework/ready/landing-zone/design-area/multi-tenant/considerations-recommendations" display="More info" xr:uid="{C0D5AA74-600F-4256-97FF-AAF87FBDDEE0}"/>
    <hyperlink ref="L1747" r:id="rId1103" tooltip="https://learn.microsoft.com/azure/cloud-adoption-framework/ready/landing-zone/design-area/multi-tenant/considerations-recommendations" display="More info" xr:uid="{EB700C60-654F-417C-8F20-FE6B79174BF9}"/>
    <hyperlink ref="L1748" r:id="rId1104" tooltip="https://learn.microsoft.com/azure/cloud-adoption-framework/ready/landing-zone/design-area/multi-tenant/considerations-recommendations" display="More info" xr:uid="{137EBE7A-4034-48DE-959B-F96477732F71}"/>
    <hyperlink ref="L1749" r:id="rId1105" tooltip="https://learn.microsoft.com/azure/cloud-adoption-framework/ready/landing-zone/design-area/multi-tenant/considerations-recommendations" display="More info" xr:uid="{11E933E9-01FA-48DE-BAB3-96DCE62397EA}"/>
    <hyperlink ref="L1750" r:id="rId1106" tooltip="https://learn.microsoft.com/azure/cloud-adoption-framework/ready/landing-zone/design-area/multi-tenant/considerations-recommendations" display="More info" xr:uid="{79089823-8671-4A5D-AA73-E8D89FEE3105}"/>
    <hyperlink ref="L1751" r:id="rId1107" tooltip="https://learn.microsoft.com/azure/cloud-adoption-framework/ready/landing-zone/design-area/multi-tenant/considerations-recommendations" display="More info" xr:uid="{D51C172B-83A0-4EB4-B323-FD13AEF0930E}"/>
    <hyperlink ref="L1752" r:id="rId1108" tooltip="https://learn.microsoft.com/azure/cloud-adoption-framework/ready/landing-zone/design-area/multi-tenant/considerations-recommendations" display="More info" xr:uid="{A2026907-85D5-4F2C-B7E5-25C7EAD94A6B}"/>
    <hyperlink ref="L1753" r:id="rId1109" tooltip="https://learn.microsoft.com/azure/cloud-adoption-framework/ready/landing-zone/design-area/multi-tenant/considerations-recommendations" display="More info" xr:uid="{955217FA-0196-4FFD-94D8-F2E669306A06}"/>
    <hyperlink ref="L1754" r:id="rId1110" tooltip="https://learn.microsoft.com/azure/cloud-adoption-framework/ready/landing-zone/design-area/multi-tenant/considerations-recommendations" display="More info" xr:uid="{1B97D7D7-89C0-4862-BC79-BFF8EA26239F}"/>
    <hyperlink ref="L1755" r:id="rId1111" tooltip="https://learn.microsoft.com/azure/cloud-adoption-framework/ready/landing-zone/design-area/multi-tenant/considerations-recommendations" display="More info" xr:uid="{F13117B0-C766-4195-A30A-F30CF4451D85}"/>
    <hyperlink ref="L1756" r:id="rId1112" tooltip="https://learn.microsoft.com/azure/cloud-adoption-framework/ready/landing-zone/design-area/multi-tenant/considerations-recommendations" display="More info" xr:uid="{66953E4F-0540-45BB-9C00-AF71C51A5130}"/>
    <hyperlink ref="L1757" r:id="rId1113" tooltip="https://learn.microsoft.com/azure/cloud-adoption-framework/ready/landing-zone/design-area/multi-tenant/considerations-recommendations" display="More info" xr:uid="{1B984CC9-B382-4FE5-B80F-42F1C3306DC6}"/>
    <hyperlink ref="L1758" r:id="rId1114" tooltip="https://learn.microsoft.com/azure/cloud-adoption-framework/ready/landing-zone/design-area/multi-tenant/considerations-recommendations" display="More info" xr:uid="{50000768-8123-4838-9770-75C610F5E684}"/>
    <hyperlink ref="L1759" r:id="rId1115" tooltip="https://learn.microsoft.com/azure/cloud-adoption-framework/ready/landing-zone/design-area/multi-tenant/considerations-recommendations" display="More info" xr:uid="{23A406CE-2249-4BF3-B5CF-5FD7DAF8A544}"/>
    <hyperlink ref="L1760" r:id="rId1116" tooltip="https://learn.microsoft.com/azure/cloud-adoption-framework/ready/landing-zone/design-area/multi-tenant/considerations-recommendations" display="More info" xr:uid="{07FBC017-31AD-4058-9251-4791DA07A985}"/>
    <hyperlink ref="L1761" r:id="rId1117" tooltip="https://learn.microsoft.com/azure/cloud-adoption-framework/ready/landing-zone/design-area/multi-tenant/considerations-recommendations" display="More info" xr:uid="{61AC58FC-80F7-4C3C-BFC9-BCD4D4ABE976}"/>
    <hyperlink ref="L1762" r:id="rId1118" tooltip="https://learn.microsoft.com/azure/cloud-adoption-framework/ready/landing-zone/design-area/multi-tenant/considerations-recommendations" display="More info" xr:uid="{25EB1AC7-979F-4642-A8AE-8C9D1D104B79}"/>
    <hyperlink ref="L1763" r:id="rId1119" tooltip="https://learn.microsoft.com/azure/cloud-adoption-framework/ready/landing-zone/design-area/multi-tenant/considerations-recommendations" display="More info" xr:uid="{2F5AD646-664B-4B1A-ABFE-528C9C7CB63D}"/>
    <hyperlink ref="L1764" r:id="rId1120" tooltip="https://learn.microsoft.com/azure/cloud-adoption-framework/ready/landing-zone/design-area/multi-tenant/considerations-recommendations" display="More info" xr:uid="{ADEDB008-2E36-42DF-BCC0-CE20AB68A58F}"/>
    <hyperlink ref="L1765" r:id="rId1121" tooltip="https://learn.microsoft.com/azure/cloud-adoption-framework/ready/landing-zone/design-area/multi-tenant/considerations-recommendations" display="More info" xr:uid="{A9266B0E-5FD3-4DD6-ACEB-7C2BA303C1DF}"/>
    <hyperlink ref="L1766" r:id="rId1122" tooltip="https://learn.microsoft.com/azure/cloud-adoption-framework/ready/landing-zone/design-area/multi-tenant/considerations-recommendations" display="More info" xr:uid="{DF8D8444-5E7D-41A3-8808-E41123D2798C}"/>
    <hyperlink ref="L1767" r:id="rId1123" tooltip="https://learn.microsoft.com/azure/cloud-adoption-framework/ready/landing-zone/design-area/multi-tenant/considerations-recommendations" display="More info" xr:uid="{EAF15306-E13B-42FB-B8CE-39BC9A72ECDE}"/>
    <hyperlink ref="L1768" r:id="rId1124" tooltip="https://learn.microsoft.com/azure/cloud-adoption-framework/ready/landing-zone/design-area/multi-tenant/considerations-recommendations" display="More info" xr:uid="{9B80D902-6AA4-45FF-9DC7-8B9FE1C2FA41}"/>
    <hyperlink ref="L1769" r:id="rId1125" tooltip="https://learn.microsoft.com/azure/cloud-adoption-framework/ready/landing-zone/design-area/multi-tenant/considerations-recommendations" display="More info" xr:uid="{18CD3FCB-1F86-4B9C-854A-C59D1B627E93}"/>
    <hyperlink ref="L1770" r:id="rId1126" tooltip="https://learn.microsoft.com/azure/cloud-adoption-framework/ready/landing-zone/design-area/multi-tenant/considerations-recommendations" display="More info" xr:uid="{30E4281E-ADB0-4AE1-B6A0-AC34AD22F2D2}"/>
    <hyperlink ref="L1771" r:id="rId1127" tooltip="https://learn.microsoft.com/azure/cloud-adoption-framework/ready/landing-zone/design-area/multi-tenant/considerations-recommendations" display="More info" xr:uid="{353756E2-3C41-4079-8FB9-AB58FF88BAF4}"/>
    <hyperlink ref="L1772" r:id="rId1128" tooltip="https://learn.microsoft.com/azure/cloud-adoption-framework/ready/landing-zone/design-area/multi-tenant/considerations-recommendations" display="More info" xr:uid="{8FDE4D6F-374C-4D74-8085-8373A5B85456}"/>
    <hyperlink ref="L1773" r:id="rId1129" tooltip="https://learn.microsoft.com/azure/cloud-adoption-framework/ready/landing-zone/design-area/multi-tenant/considerations-recommendations" display="More info" xr:uid="{DD9992DB-C648-42D9-8977-0A1E80819FD1}"/>
    <hyperlink ref="L1774" r:id="rId1130" tooltip="https://learn.microsoft.com/azure/cloud-adoption-framework/ready/landing-zone/design-area/multi-tenant/considerations-recommendations" display="More info" xr:uid="{42F02901-ED9C-456D-8867-D74386592E29}"/>
    <hyperlink ref="L1775" r:id="rId1131" tooltip="https://learn.microsoft.com/azure/cloud-adoption-framework/ready/landing-zone/design-area/multi-tenant/considerations-recommendations" display="More info" xr:uid="{69564342-1223-4FCE-9955-B02FD924FF25}"/>
    <hyperlink ref="L1776" r:id="rId1132" tooltip="https://learn.microsoft.com/azure/cloud-adoption-framework/ready/landing-zone/design-area/multi-tenant/considerations-recommendations" display="More info" xr:uid="{EBD40BE1-CDDA-4D26-ADDB-C9299AE8934E}"/>
    <hyperlink ref="L1777" r:id="rId1133" tooltip="https://learn.microsoft.com/azure/cloud-adoption-framework/ready/landing-zone/design-area/multi-tenant/considerations-recommendations" display="More info" xr:uid="{93BFF79A-318E-401B-8EA8-E82DF914BB81}"/>
    <hyperlink ref="L1778" r:id="rId1134" tooltip="https://learn.microsoft.com/azure/cloud-adoption-framework/ready/landing-zone/design-area/multi-tenant/considerations-recommendations" display="More info" xr:uid="{1DECC608-D277-46EE-B3A6-6E40956AA722}"/>
    <hyperlink ref="L1779" r:id="rId1135" tooltip="https://learn.microsoft.com/azure/cloud-adoption-framework/ready/landing-zone/design-area/multi-tenant/considerations-recommendations" display="More info" xr:uid="{0C936612-582D-48E5-A356-231FC16B00FC}"/>
    <hyperlink ref="L1780" r:id="rId1136" tooltip="https://learn.microsoft.com/azure/cloud-adoption-framework/ready/landing-zone/design-area/multi-tenant/considerations-recommendations" display="More info" xr:uid="{4B7AD7B6-5F3D-4EF9-B884-90BEE34EBA9F}"/>
    <hyperlink ref="L1781" r:id="rId1137" tooltip="https://learn.microsoft.com/azure/cloud-adoption-framework/ready/landing-zone/design-area/multi-tenant/considerations-recommendations" display="More info" xr:uid="{AEC6D024-DCD7-4F94-B835-13B254C41419}"/>
    <hyperlink ref="L1782" r:id="rId1138" tooltip="https://learn.microsoft.com/azure/cloud-adoption-framework/ready/landing-zone/design-area/multi-tenant/considerations-recommendations" display="More info" xr:uid="{D461FB93-0EEF-4D01-B27E-35D3E9036E51}"/>
    <hyperlink ref="L1783" r:id="rId1139" tooltip="https://learn.microsoft.com/azure/cloud-adoption-framework/ready/landing-zone/design-area/multi-tenant/considerations-recommendations" display="More info" xr:uid="{A2A6ADA2-9AD3-4A85-B162-13535BACF839}"/>
    <hyperlink ref="L1784" r:id="rId1140" tooltip="https://learn.microsoft.com/azure/cloud-adoption-framework/ready/landing-zone/design-area/multi-tenant/considerations-recommendations" display="More info" xr:uid="{B69E0314-808A-4BF7-B0F4-CCC807529D87}"/>
    <hyperlink ref="L1785" r:id="rId1141" tooltip="https://learn.microsoft.com/azure/cloud-adoption-framework/ready/landing-zone/design-area/multi-tenant/considerations-recommendations" display="More info" xr:uid="{F7FD94BD-14D4-49DC-8F42-3E6BA6813301}"/>
    <hyperlink ref="L1786" r:id="rId1142" tooltip="https://learn.microsoft.com/azure/cloud-adoption-framework/ready/landing-zone/design-area/multi-tenant/considerations-recommendations" display="More info" xr:uid="{1AF03B1F-5394-4109-9331-7960214F9144}"/>
    <hyperlink ref="L1787" r:id="rId1143" tooltip="https://learn.microsoft.com/azure/cloud-adoption-framework/ready/landing-zone/design-area/multi-tenant/considerations-recommendations" display="More info" xr:uid="{DD7C8592-ADC1-4806-9DC5-443E9F53EBB9}"/>
    <hyperlink ref="L1788" r:id="rId1144" tooltip="https://learn.microsoft.com/azure/cloud-adoption-framework/ready/landing-zone/design-area/multi-tenant/considerations-recommendations" display="More info" xr:uid="{901718A4-5DF9-461B-8632-4F3A31DE3443}"/>
    <hyperlink ref="L1789" r:id="rId1145" tooltip="https://learn.microsoft.com/azure/cloud-adoption-framework/ready/landing-zone/design-area/multi-tenant/considerations-recommendations" display="More info" xr:uid="{54FA2F53-C405-4E1F-BC9C-8CF1583DE224}"/>
    <hyperlink ref="L1790" r:id="rId1146" tooltip="https://learn.microsoft.com/azure/cloud-adoption-framework/ready/landing-zone/design-area/multi-tenant/considerations-recommendations" display="More info" xr:uid="{9FCDC3DF-359A-4C14-97D1-08D8B38A4CDE}"/>
    <hyperlink ref="L1791" r:id="rId1147" tooltip="https://learn.microsoft.com/azure/cloud-adoption-framework/ready/landing-zone/design-area/multi-tenant/considerations-recommendations" display="More info" xr:uid="{C97E3CFA-7D8A-4BA1-89B7-A5ABF0105830}"/>
    <hyperlink ref="L1792" r:id="rId1148" tooltip="https://learn.microsoft.com/azure/cloud-adoption-framework/ready/landing-zone/design-area/multi-tenant/considerations-recommendations" display="More info" xr:uid="{A7C7DB7D-06EB-44A8-A284-5094E8A85D1A}"/>
    <hyperlink ref="L1793" r:id="rId1149" tooltip="https://learn.microsoft.com/azure/cloud-adoption-framework/ready/landing-zone/design-area/multi-tenant/considerations-recommendations" display="More info" xr:uid="{B76CEA36-EAB9-4000-A208-AEBA6E459FBF}"/>
    <hyperlink ref="L1794" r:id="rId1150" tooltip="https://learn.microsoft.com/azure/cloud-adoption-framework/ready/landing-zone/design-area/multi-tenant/considerations-recommendations" display="More info" xr:uid="{686EEAE5-3D9B-4525-8B06-C8C28C88178F}"/>
    <hyperlink ref="L1795" r:id="rId1151" tooltip="https://learn.microsoft.com/azure/cloud-adoption-framework/ready/landing-zone/design-area/multi-tenant/considerations-recommendations" display="More info" xr:uid="{DFED2A62-8F5B-4B27-B375-D67063970383}"/>
    <hyperlink ref="L1796" r:id="rId1152" tooltip="https://learn.microsoft.com/azure/cloud-adoption-framework/ready/landing-zone/design-area/multi-tenant/considerations-recommendations" display="More info" xr:uid="{277F0167-79D0-4B8A-B435-6757CEFA204D}"/>
    <hyperlink ref="L1797" r:id="rId1153" tooltip="https://learn.microsoft.com/azure/cloud-adoption-framework/ready/landing-zone/design-area/multi-tenant/considerations-recommendations" display="More info" xr:uid="{E2041554-C9E5-41D7-B632-42372526DFAD}"/>
    <hyperlink ref="L1798" r:id="rId1154" tooltip="https://learn.microsoft.com/azure/cloud-adoption-framework/ready/landing-zone/design-area/multi-tenant/considerations-recommendations" display="More info" xr:uid="{48D43D2E-4904-425A-8CFD-D72D616E38B7}"/>
    <hyperlink ref="L1799" r:id="rId1155" tooltip="https://learn.microsoft.com/azure/cloud-adoption-framework/ready/landing-zone/design-area/multi-tenant/considerations-recommendations" display="More info" xr:uid="{1CF2C13A-2CE9-406F-9C10-9B18FE7CD02D}"/>
    <hyperlink ref="L1800" r:id="rId1156" tooltip="https://learn.microsoft.com/azure/cloud-adoption-framework/ready/landing-zone/design-area/multi-tenant/considerations-recommendations" display="More info" xr:uid="{E6AE621B-2C85-4BC1-88F3-AB284B09A361}"/>
    <hyperlink ref="L1801" r:id="rId1157" tooltip="https://learn.microsoft.com/azure/cloud-adoption-framework/ready/landing-zone/design-area/multi-tenant/considerations-recommendations" display="More info" xr:uid="{FA5678D9-3DAF-4EE4-B6BD-15A1DB9EE9EA}"/>
    <hyperlink ref="L1802" r:id="rId1158" tooltip="https://learn.microsoft.com/azure/cloud-adoption-framework/ready/landing-zone/design-area/multi-tenant/considerations-recommendations" display="More info" xr:uid="{42FFB598-D709-427F-8BB7-695FCDF2EFAE}"/>
    <hyperlink ref="L1803" r:id="rId1159" tooltip="https://learn.microsoft.com/azure/cloud-adoption-framework/ready/landing-zone/design-area/multi-tenant/considerations-recommendations" display="More info" xr:uid="{0441650A-04A7-4F47-A014-AD958ADB52A4}"/>
    <hyperlink ref="L1804" r:id="rId1160" tooltip="https://learn.microsoft.com/azure/cloud-adoption-framework/ready/landing-zone/design-area/multi-tenant/considerations-recommendations" display="More info" xr:uid="{3B4687B4-C855-446D-8771-9CE0718AE895}"/>
    <hyperlink ref="L1805" r:id="rId1161" tooltip="https://learn.microsoft.com/azure/cloud-adoption-framework/ready/landing-zone/design-area/multi-tenant/considerations-recommendations" display="More info" xr:uid="{27462A3A-AE5A-4D22-A855-5686E95D430B}"/>
    <hyperlink ref="L1806" r:id="rId1162" tooltip="https://learn.microsoft.com/azure/cloud-adoption-framework/ready/landing-zone/design-area/multi-tenant/considerations-recommendations" display="More info" xr:uid="{F36565B3-89E2-49E0-ACFC-E7B29207AA0F}"/>
    <hyperlink ref="L1807" r:id="rId1163" tooltip="https://learn.microsoft.com/azure/cloud-adoption-framework/ready/landing-zone/design-area/multi-tenant/considerations-recommendations" display="More info" xr:uid="{53072E23-0D6E-4DAF-B481-43E9B633AE7E}"/>
    <hyperlink ref="L1808" r:id="rId1164" tooltip="https://learn.microsoft.com/azure/cloud-adoption-framework/ready/landing-zone/design-area/multi-tenant/considerations-recommendations" display="More info" xr:uid="{67040290-A525-4F79-B81D-3B302C45AA4E}"/>
    <hyperlink ref="L1809" r:id="rId1165" tooltip="https://learn.microsoft.com/azure/cloud-adoption-framework/ready/landing-zone/design-area/multi-tenant/considerations-recommendations" display="More info" xr:uid="{CC989960-5358-45D1-8F3E-CC1A95A86E52}"/>
    <hyperlink ref="L1810" r:id="rId1166" tooltip="https://learn.microsoft.com/azure/cloud-adoption-framework/ready/landing-zone/design-area/multi-tenant/considerations-recommendations" display="More info" xr:uid="{080CC680-4233-4905-B70B-3562F2D20AB5}"/>
    <hyperlink ref="L1811" r:id="rId1167" tooltip="https://learn.microsoft.com/azure/cloud-adoption-framework/ready/landing-zone/design-area/multi-tenant/considerations-recommendations" display="More info" xr:uid="{74F35D42-0F6B-4DDD-A42B-289CDCBDAA30}"/>
    <hyperlink ref="L1812" r:id="rId1168" tooltip="https://learn.microsoft.com/azure/cloud-adoption-framework/ready/landing-zone/design-area/multi-tenant/considerations-recommendations" display="More info" xr:uid="{C85FAD9F-E55F-4379-9101-F46C98F4459C}"/>
    <hyperlink ref="L1813" r:id="rId1169" tooltip="https://learn.microsoft.com/azure/cloud-adoption-framework/ready/landing-zone/design-area/multi-tenant/considerations-recommendations" display="More info" xr:uid="{FCC172F1-D325-48A1-80CB-D2862DE86611}"/>
    <hyperlink ref="L1814" r:id="rId1170" tooltip="https://learn.microsoft.com/azure/cloud-adoption-framework/ready/landing-zone/design-area/multi-tenant/considerations-recommendations" display="More info" xr:uid="{0DAAB5F2-7522-494B-AC4C-1F91DC7F0F37}"/>
    <hyperlink ref="L1815" r:id="rId1171" tooltip="https://learn.microsoft.com/azure/cloud-adoption-framework/ready/landing-zone/design-area/multi-tenant/considerations-recommendations" display="More info" xr:uid="{98C23015-B3D1-4219-BEFD-306F0388A6C4}"/>
    <hyperlink ref="L1816" r:id="rId1172" tooltip="https://learn.microsoft.com/azure/cloud-adoption-framework/ready/landing-zone/design-area/multi-tenant/considerations-recommendations" display="More info" xr:uid="{2DD653EF-2E0E-4B81-8161-87A84B80B561}"/>
    <hyperlink ref="L1817" r:id="rId1173" tooltip="https://learn.microsoft.com/azure/cloud-adoption-framework/ready/landing-zone/design-area/multi-tenant/considerations-recommendations" display="More info" xr:uid="{38A5D548-77A6-4CD2-B75D-D260AEC0ABF7}"/>
    <hyperlink ref="L1818" r:id="rId1174" tooltip="https://learn.microsoft.com/azure/cloud-adoption-framework/ready/landing-zone/design-area/multi-tenant/considerations-recommendations" display="More info" xr:uid="{1FF6036D-4258-416A-9BCF-619B62B951DF}"/>
    <hyperlink ref="L1819" r:id="rId1175" tooltip="https://learn.microsoft.com/azure/cloud-adoption-framework/ready/landing-zone/design-area/multi-tenant/considerations-recommendations" display="More info" xr:uid="{4A4E40B8-D74E-4E76-8235-F6DDD400C345}"/>
    <hyperlink ref="L1820" r:id="rId1176" tooltip="https://learn.microsoft.com/azure/cloud-adoption-framework/ready/landing-zone/design-area/multi-tenant/considerations-recommendations" display="More info" xr:uid="{9BA8F08D-490B-496A-AD69-827E60A39F9A}"/>
    <hyperlink ref="L1821" r:id="rId1177" tooltip="https://learn.microsoft.com/azure/cloud-adoption-framework/ready/landing-zone/design-area/multi-tenant/considerations-recommendations" display="More info" xr:uid="{2F8D9B45-CFF2-4659-8B10-64E24555A1B6}"/>
    <hyperlink ref="L1822" r:id="rId1178" tooltip="https://learn.microsoft.com/azure/cloud-adoption-framework/ready/landing-zone/design-area/multi-tenant/considerations-recommendations" display="More info" xr:uid="{CE42C25A-4D94-47EB-B19B-D75794EEF2BB}"/>
    <hyperlink ref="L1823" r:id="rId1179" tooltip="https://learn.microsoft.com/azure/cloud-adoption-framework/ready/landing-zone/design-area/multi-tenant/considerations-recommendations" display="More info" xr:uid="{329F689A-C1D0-4F9F-9353-08F17C3C8A48}"/>
    <hyperlink ref="L1824" r:id="rId1180" tooltip="https://learn.microsoft.com/azure/cloud-adoption-framework/ready/landing-zone/design-area/multi-tenant/considerations-recommendations" display="More info" xr:uid="{19D0A20B-715F-4253-B773-D37496DB242E}"/>
    <hyperlink ref="L1825" r:id="rId1181" tooltip="https://learn.microsoft.com/azure/cloud-adoption-framework/ready/landing-zone/design-area/multi-tenant/considerations-recommendations" display="More info" xr:uid="{A7251B2A-21B2-4175-B785-EA223B6EB6F3}"/>
    <hyperlink ref="L1826" r:id="rId1182" tooltip="https://learn.microsoft.com/azure/cloud-adoption-framework/ready/landing-zone/design-area/multi-tenant/considerations-recommendations" display="More info" xr:uid="{69096C73-FB53-42D9-BAF2-02E22F466649}"/>
    <hyperlink ref="L1827" r:id="rId1183" tooltip="https://learn.microsoft.com/azure/cloud-adoption-framework/ready/landing-zone/design-area/multi-tenant/considerations-recommendations" display="More info" xr:uid="{17EE260C-5F5A-45FD-A94B-CABF5C607291}"/>
    <hyperlink ref="L1828" r:id="rId1184" tooltip="https://learn.microsoft.com/azure/cloud-adoption-framework/ready/landing-zone/design-area/multi-tenant/considerations-recommendations" display="More info" xr:uid="{F4CAC2DC-FF00-4BFE-9905-055CD7580BA5}"/>
    <hyperlink ref="L1829" r:id="rId1185" tooltip="https://learn.microsoft.com/azure/cloud-adoption-framework/ready/landing-zone/design-area/multi-tenant/considerations-recommendations" display="More info" xr:uid="{186A684D-AB59-420C-8EE8-D712A768FA46}"/>
    <hyperlink ref="L1830" r:id="rId1186" tooltip="https://learn.microsoft.com/azure/cloud-adoption-framework/ready/landing-zone/design-area/multi-tenant/considerations-recommendations" display="More info" xr:uid="{B83EC8FE-FC27-44C1-AB4E-075FEE8DBCD2}"/>
    <hyperlink ref="L1831" r:id="rId1187" tooltip="https://learn.microsoft.com/azure/cloud-adoption-framework/ready/landing-zone/design-area/multi-tenant/considerations-recommendations" display="More info" xr:uid="{6B1BC4EC-1F1A-4EDB-8B62-31659EB10834}"/>
    <hyperlink ref="L1832" r:id="rId1188" tooltip="https://learn.microsoft.com/azure/cloud-adoption-framework/ready/landing-zone/design-area/multi-tenant/considerations-recommendations" display="More info" xr:uid="{B14363B7-6A8C-4757-A2EB-9B762B55DD8C}"/>
    <hyperlink ref="L1833" r:id="rId1189" tooltip="https://learn.microsoft.com/azure/cloud-adoption-framework/ready/landing-zone/design-area/multi-tenant/considerations-recommendations" display="More info" xr:uid="{91DDC683-6492-47E2-A904-727C5CBE8517}"/>
    <hyperlink ref="L1834" r:id="rId1190" tooltip="https://learn.microsoft.com/azure/cloud-adoption-framework/ready/landing-zone/design-area/multi-tenant/considerations-recommendations" display="More info" xr:uid="{32F78566-2182-4D59-933F-A67D0410FF8C}"/>
    <hyperlink ref="L1835" r:id="rId1191" tooltip="https://learn.microsoft.com/azure/cloud-adoption-framework/ready/landing-zone/design-area/multi-tenant/considerations-recommendations" display="More info" xr:uid="{8AEF3E53-53B0-494B-AB07-29F0F0FDAA38}"/>
    <hyperlink ref="L1836" r:id="rId1192" tooltip="https://learn.microsoft.com/azure/cloud-adoption-framework/ready/landing-zone/design-area/multi-tenant/considerations-recommendations" display="More info" xr:uid="{D1E5214E-A21D-4B94-9C4C-022A4734D87C}"/>
    <hyperlink ref="L1837" r:id="rId1193" tooltip="https://learn.microsoft.com/azure/cloud-adoption-framework/ready/landing-zone/design-area/multi-tenant/considerations-recommendations" display="More info" xr:uid="{D44421AA-24EE-43B5-B9DD-834758DCF9B6}"/>
    <hyperlink ref="L1838" r:id="rId1194" tooltip="https://learn.microsoft.com/azure/cloud-adoption-framework/ready/landing-zone/design-area/multi-tenant/considerations-recommendations" display="More info" xr:uid="{3E492B1D-18C1-42A5-9FB0-3DA4013E02FF}"/>
    <hyperlink ref="L1839" r:id="rId1195" tooltip="https://learn.microsoft.com/azure/cloud-adoption-framework/ready/landing-zone/design-area/multi-tenant/considerations-recommendations" display="More info" xr:uid="{6F72E507-DA34-47DE-8DE5-D60D0C49569C}"/>
    <hyperlink ref="L1840" r:id="rId1196" tooltip="https://learn.microsoft.com/azure/cloud-adoption-framework/ready/landing-zone/design-area/multi-tenant/considerations-recommendations" display="More info" xr:uid="{2412F3A8-F7D2-41E2-AD4E-7F02144B1C43}"/>
    <hyperlink ref="L1841" r:id="rId1197" tooltip="https://learn.microsoft.com/azure/cloud-adoption-framework/ready/landing-zone/design-area/multi-tenant/considerations-recommendations" display="More info" xr:uid="{B5D6B075-E5E0-4BBE-9A21-61BB33EB07F7}"/>
    <hyperlink ref="L1842" r:id="rId1198" tooltip="https://learn.microsoft.com/azure/cloud-adoption-framework/ready/landing-zone/design-area/multi-tenant/considerations-recommendations" display="More info" xr:uid="{184A3D0E-3CB1-458A-9E85-EB9F4F28DCEB}"/>
    <hyperlink ref="L1843" r:id="rId1199" tooltip="https://learn.microsoft.com/azure/cloud-adoption-framework/ready/landing-zone/design-area/multi-tenant/considerations-recommendations" display="More info" xr:uid="{2727D09F-BF44-432B-9DB3-C4698DE2CFCC}"/>
    <hyperlink ref="L1844" r:id="rId1200" tooltip="https://learn.microsoft.com/azure/cloud-adoption-framework/ready/landing-zone/design-area/multi-tenant/considerations-recommendations" display="More info" xr:uid="{0FD7FF56-A695-4A89-955C-8BAB1AE3ABCC}"/>
    <hyperlink ref="L1845" r:id="rId1201" tooltip="https://learn.microsoft.com/azure/cloud-adoption-framework/ready/landing-zone/design-area/multi-tenant/considerations-recommendations" display="More info" xr:uid="{5282C125-1282-4856-80F9-3D487231C6A6}"/>
    <hyperlink ref="L1846" r:id="rId1202" tooltip="https://learn.microsoft.com/azure/cloud-adoption-framework/ready/landing-zone/design-area/multi-tenant/considerations-recommendations" display="More info" xr:uid="{7174E5F5-8AD6-4822-9012-602EFF15A1DD}"/>
    <hyperlink ref="L1847" r:id="rId1203" tooltip="https://learn.microsoft.com/azure/cloud-adoption-framework/ready/landing-zone/design-area/multi-tenant/considerations-recommendations" display="More info" xr:uid="{D9C21929-6997-4F3B-ACBA-8EB50E801011}"/>
    <hyperlink ref="L1848" r:id="rId1204" tooltip="https://learn.microsoft.com/azure/cloud-adoption-framework/ready/landing-zone/design-area/multi-tenant/considerations-recommendations" display="More info" xr:uid="{445E30BD-6C0B-448C-91D2-9161C53BC83A}"/>
    <hyperlink ref="L1849" r:id="rId1205" tooltip="https://learn.microsoft.com/azure/cloud-adoption-framework/ready/landing-zone/design-area/multi-tenant/considerations-recommendations" display="More info" xr:uid="{84AFE563-BDB6-4B9D-8D6B-A39D049AF481}"/>
    <hyperlink ref="L1850" r:id="rId1206" tooltip="https://learn.microsoft.com/azure/cloud-adoption-framework/ready/landing-zone/design-area/multi-tenant/considerations-recommendations" display="More info" xr:uid="{F58CCD12-BF8C-4175-AE2C-5C88BE350150}"/>
    <hyperlink ref="L1851" r:id="rId1207" tooltip="https://learn.microsoft.com/azure/cloud-adoption-framework/ready/landing-zone/design-area/multi-tenant/considerations-recommendations" display="More info" xr:uid="{B039EADC-F593-4C0B-AEDF-06E8A89EDFE6}"/>
    <hyperlink ref="L1852" r:id="rId1208" tooltip="https://learn.microsoft.com/azure/cloud-adoption-framework/ready/landing-zone/design-area/multi-tenant/considerations-recommendations" display="More info" xr:uid="{D2AC291C-12E9-46AA-918E-1AEEF8491AAA}"/>
    <hyperlink ref="L1853" r:id="rId1209" tooltip="https://learn.microsoft.com/azure/cloud-adoption-framework/ready/landing-zone/design-area/multi-tenant/considerations-recommendations" display="More info" xr:uid="{DA20BD0E-2C98-44BC-A881-CBF9B0406093}"/>
    <hyperlink ref="L1854" r:id="rId1210" tooltip="https://learn.microsoft.com/azure/cloud-adoption-framework/ready/landing-zone/design-area/multi-tenant/considerations-recommendations" display="More info" xr:uid="{58D8EEEB-97D3-4A07-AC7C-C7B557353DB7}"/>
    <hyperlink ref="L1855" r:id="rId1211" tooltip="https://learn.microsoft.com/azure/cloud-adoption-framework/ready/landing-zone/design-area/multi-tenant/considerations-recommendations" display="More info" xr:uid="{18AE50AD-D178-49FC-8037-0A084159E26C}"/>
    <hyperlink ref="L1856" r:id="rId1212" tooltip="https://learn.microsoft.com/azure/cloud-adoption-framework/ready/landing-zone/design-area/multi-tenant/considerations-recommendations" display="More info" xr:uid="{35D13E8F-E49C-481F-84C9-4FD34B62A4D1}"/>
    <hyperlink ref="L1857" r:id="rId1213" tooltip="https://learn.microsoft.com/azure/cloud-adoption-framework/ready/landing-zone/design-area/multi-tenant/considerations-recommendations" display="More info" xr:uid="{679A6726-5122-4544-B97B-A7FF1902F9E8}"/>
    <hyperlink ref="L1858" r:id="rId1214" tooltip="https://learn.microsoft.com/azure/cloud-adoption-framework/ready/landing-zone/design-area/multi-tenant/considerations-recommendations" display="More info" xr:uid="{7975B04B-5A34-43D9-9DF2-99576E3F4315}"/>
    <hyperlink ref="L1859" r:id="rId1215" tooltip="https://learn.microsoft.com/azure/cloud-adoption-framework/ready/landing-zone/design-area/multi-tenant/considerations-recommendations" display="More info" xr:uid="{C7BF8F2D-D60A-4553-BAC9-072314339E7A}"/>
    <hyperlink ref="L1860" r:id="rId1216" tooltip="https://learn.microsoft.com/azure/cloud-adoption-framework/ready/landing-zone/design-area/multi-tenant/considerations-recommendations" display="More info" xr:uid="{AF3DC067-F67B-41E1-A78D-5B2630284358}"/>
    <hyperlink ref="L1861" r:id="rId1217" tooltip="https://learn.microsoft.com/azure/cloud-adoption-framework/ready/landing-zone/design-area/multi-tenant/considerations-recommendations" display="More info" xr:uid="{F9D354D1-6C50-4D97-B0A7-0BE63FD80D22}"/>
    <hyperlink ref="L1862" r:id="rId1218" tooltip="https://learn.microsoft.com/azure/cloud-adoption-framework/ready/landing-zone/design-area/multi-tenant/considerations-recommendations" display="More info" xr:uid="{F54FBB5D-0B97-45B9-814B-44CD9F254D94}"/>
    <hyperlink ref="L1863" r:id="rId1219" tooltip="https://learn.microsoft.com/azure/cloud-adoption-framework/ready/landing-zone/design-area/multi-tenant/considerations-recommendations" display="More info" xr:uid="{643072C5-A80B-48C4-8969-C288FA42F982}"/>
    <hyperlink ref="L1864" r:id="rId1220" tooltip="https://learn.microsoft.com/azure/cloud-adoption-framework/ready/landing-zone/design-area/multi-tenant/considerations-recommendations" display="More info" xr:uid="{6B9742F4-941D-4697-BA6A-2A4AD51AD39C}"/>
    <hyperlink ref="L1865" r:id="rId1221" tooltip="https://learn.microsoft.com/azure/cloud-adoption-framework/ready/landing-zone/design-area/multi-tenant/considerations-recommendations" display="More info" xr:uid="{9D665363-DB56-49DE-ACFD-6225D05D862A}"/>
    <hyperlink ref="L1866" r:id="rId1222" tooltip="https://learn.microsoft.com/azure/cloud-adoption-framework/ready/landing-zone/design-area/multi-tenant/considerations-recommendations" display="More info" xr:uid="{AE12D6BB-BEC8-4D4E-8781-A0486C918997}"/>
    <hyperlink ref="L1867" r:id="rId1223" tooltip="https://learn.microsoft.com/azure/cloud-adoption-framework/ready/landing-zone/design-area/multi-tenant/considerations-recommendations" display="More info" xr:uid="{0BC654BC-8436-4663-99BB-036D1EBBC165}"/>
    <hyperlink ref="L1868" r:id="rId1224" tooltip="https://learn.microsoft.com/azure/cloud-adoption-framework/ready/landing-zone/design-area/multi-tenant/considerations-recommendations" display="More info" xr:uid="{F8AAE40D-92D5-4D26-9069-6383CD2357D7}"/>
    <hyperlink ref="L1869" r:id="rId1225" tooltip="https://learn.microsoft.com/azure/cloud-adoption-framework/ready/landing-zone/design-area/multi-tenant/considerations-recommendations" display="More info" xr:uid="{030EC001-C986-4A9C-BBBA-A428EE372499}"/>
    <hyperlink ref="L1870" r:id="rId1226" tooltip="https://learn.microsoft.com/azure/cloud-adoption-framework/ready/landing-zone/design-area/multi-tenant/considerations-recommendations" display="More info" xr:uid="{B595B3A8-4C30-426D-A486-C2BD26DC5BB1}"/>
    <hyperlink ref="L1871" r:id="rId1227" tooltip="https://learn.microsoft.com/azure/cloud-adoption-framework/ready/landing-zone/design-area/multi-tenant/considerations-recommendations" display="More info" xr:uid="{AD63FD25-B437-48AD-978A-6BE9B91330EC}"/>
    <hyperlink ref="L1872" r:id="rId1228" tooltip="https://learn.microsoft.com/azure/cloud-adoption-framework/ready/landing-zone/design-area/multi-tenant/considerations-recommendations" display="More info" xr:uid="{4717AA79-BF6F-4A7D-B9D4-864EB3F04B67}"/>
    <hyperlink ref="L1873" r:id="rId1229" tooltip="https://learn.microsoft.com/azure/cloud-adoption-framework/ready/landing-zone/design-area/multi-tenant/considerations-recommendations" display="More info" xr:uid="{368583E5-4AF6-4E57-A3DE-98E6E6FE8799}"/>
    <hyperlink ref="L1874" r:id="rId1230" tooltip="https://learn.microsoft.com/azure/cloud-adoption-framework/ready/landing-zone/design-area/multi-tenant/considerations-recommendations" display="More info" xr:uid="{90F8BAD1-FB35-4F82-89E2-F3E80106451A}"/>
    <hyperlink ref="L1875" r:id="rId1231" tooltip="https://learn.microsoft.com/azure/cloud-adoption-framework/ready/landing-zone/design-area/multi-tenant/considerations-recommendations" display="More info" xr:uid="{B4E3DB44-1491-4AA0-9DB6-F11FCEC6A372}"/>
    <hyperlink ref="L1876" r:id="rId1232" tooltip="https://learn.microsoft.com/azure/cloud-adoption-framework/ready/landing-zone/design-area/multi-tenant/considerations-recommendations" display="More info" xr:uid="{1978E032-D7C8-4E71-9EE5-5574BDC20C09}"/>
    <hyperlink ref="L1877" r:id="rId1233" tooltip="https://learn.microsoft.com/azure/cloud-adoption-framework/ready/landing-zone/design-area/multi-tenant/considerations-recommendations" display="More info" xr:uid="{4ADCF9ED-E219-486E-A052-96608AC944BA}"/>
    <hyperlink ref="L1878" r:id="rId1234" tooltip="https://learn.microsoft.com/azure/cloud-adoption-framework/ready/landing-zone/design-area/multi-tenant/considerations-recommendations" display="More info" xr:uid="{67D70591-2803-41CA-AB69-FE1917377B66}"/>
    <hyperlink ref="L1879" r:id="rId1235" tooltip="https://learn.microsoft.com/azure/cloud-adoption-framework/ready/landing-zone/design-area/multi-tenant/considerations-recommendations" display="More info" xr:uid="{04F441D1-AC66-4DDA-8495-1B45FF3C4757}"/>
    <hyperlink ref="L1880" r:id="rId1236" tooltip="https://learn.microsoft.com/azure/cloud-adoption-framework/ready/landing-zone/design-area/multi-tenant/considerations-recommendations" display="More info" xr:uid="{A410F3BF-BEB5-4A09-81B3-031D06905368}"/>
    <hyperlink ref="L1881" r:id="rId1237" tooltip="https://learn.microsoft.com/azure/cloud-adoption-framework/ready/landing-zone/design-area/multi-tenant/considerations-recommendations" display="More info" xr:uid="{CE1DDE74-9BDF-492E-BCF0-D09956E30EA8}"/>
    <hyperlink ref="L1882" r:id="rId1238" tooltip="https://learn.microsoft.com/azure/cloud-adoption-framework/ready/landing-zone/design-area/multi-tenant/considerations-recommendations" display="More info" xr:uid="{F4E8D665-8C8D-4CF0-B1A2-45E9451259B2}"/>
    <hyperlink ref="L1883" r:id="rId1239" tooltip="https://learn.microsoft.com/azure/cloud-adoption-framework/ready/landing-zone/design-area/multi-tenant/considerations-recommendations" display="More info" xr:uid="{0420283E-BFAC-454E-A843-1361A4A2FD88}"/>
    <hyperlink ref="L1884" r:id="rId1240" tooltip="https://learn.microsoft.com/azure/cloud-adoption-framework/ready/landing-zone/design-area/multi-tenant/considerations-recommendations" display="More info" xr:uid="{0E567B3A-766D-4E66-84D2-9FA5CB0FDC8F}"/>
    <hyperlink ref="L1885" r:id="rId1241" tooltip="https://learn.microsoft.com/azure/cloud-adoption-framework/ready/landing-zone/design-area/multi-tenant/considerations-recommendations" display="More info" xr:uid="{B40DAF09-9CED-4AFE-8D72-84506A5F38C1}"/>
    <hyperlink ref="L1886" r:id="rId1242" tooltip="https://learn.microsoft.com/azure/cloud-adoption-framework/ready/landing-zone/design-area/multi-tenant/considerations-recommendations" display="More info" xr:uid="{06E2CC99-537E-4A64-A9A7-75080E33FB37}"/>
    <hyperlink ref="L1887" r:id="rId1243" tooltip="https://learn.microsoft.com/azure/cloud-adoption-framework/ready/landing-zone/design-area/multi-tenant/considerations-recommendations" display="More info" xr:uid="{4A9272AF-BBA5-4072-A674-DD309F181CE8}"/>
    <hyperlink ref="L1888" r:id="rId1244" tooltip="https://learn.microsoft.com/azure/cloud-adoption-framework/ready/landing-zone/design-area/multi-tenant/considerations-recommendations" display="More info" xr:uid="{1F06E69B-3AA9-4BB3-859E-D5D1C7F299B6}"/>
    <hyperlink ref="L1889" r:id="rId1245" tooltip="https://learn.microsoft.com/azure/cloud-adoption-framework/ready/landing-zone/design-area/multi-tenant/considerations-recommendations" display="More info" xr:uid="{4EEE6DA0-EF7C-4693-A523-694446EDEACD}"/>
    <hyperlink ref="L1890" r:id="rId1246" tooltip="https://learn.microsoft.com/azure/cloud-adoption-framework/ready/landing-zone/design-area/multi-tenant/considerations-recommendations" display="More info" xr:uid="{CFE0188D-9221-49DC-A010-3FB9F35D2590}"/>
    <hyperlink ref="L1891" r:id="rId1247" tooltip="https://learn.microsoft.com/azure/cloud-adoption-framework/ready/landing-zone/design-area/multi-tenant/considerations-recommendations" display="More info" xr:uid="{C199944C-8D9E-441F-9A51-3051505DC9D7}"/>
    <hyperlink ref="L1892" r:id="rId1248" tooltip="https://learn.microsoft.com/azure/cloud-adoption-framework/ready/landing-zone/design-area/multi-tenant/considerations-recommendations" display="More info" xr:uid="{3BD6B290-4107-4CB5-81D6-04047FD3BF47}"/>
    <hyperlink ref="L1893" r:id="rId1249" tooltip="https://learn.microsoft.com/azure/cloud-adoption-framework/ready/landing-zone/design-area/multi-tenant/considerations-recommendations" display="More info" xr:uid="{499B428A-7C35-42BE-A0B1-AFEB96D973A4}"/>
    <hyperlink ref="L1894" r:id="rId1250" tooltip="https://learn.microsoft.com/azure/cloud-adoption-framework/ready/landing-zone/design-area/multi-tenant/considerations-recommendations" display="More info" xr:uid="{2CB6E241-9E12-46CF-AD7C-47E144AC2E3D}"/>
    <hyperlink ref="L1895" r:id="rId1251" tooltip="https://learn.microsoft.com/azure/cloud-adoption-framework/ready/landing-zone/design-area/multi-tenant/considerations-recommendations" display="More info" xr:uid="{371BF7C8-51F0-423F-AD89-C014988842DE}"/>
    <hyperlink ref="L1896" r:id="rId1252" tooltip="https://learn.microsoft.com/azure/cloud-adoption-framework/ready/landing-zone/design-area/multi-tenant/considerations-recommendations" display="More info" xr:uid="{7A59EF56-F3C3-4762-94DA-D85D9FD79CA2}"/>
    <hyperlink ref="L1897" r:id="rId1253" tooltip="https://learn.microsoft.com/azure/cloud-adoption-framework/ready/landing-zone/design-area/multi-tenant/considerations-recommendations" display="More info" xr:uid="{E27F553D-188D-48A4-A0B7-E5056C545AD0}"/>
    <hyperlink ref="L1898" r:id="rId1254" tooltip="https://learn.microsoft.com/azure/cloud-adoption-framework/ready/landing-zone/design-area/multi-tenant/considerations-recommendations" display="More info" xr:uid="{138634FC-B653-4A7B-87C1-E76729A1A23E}"/>
    <hyperlink ref="L1899" r:id="rId1255" tooltip="https://learn.microsoft.com/azure/cloud-adoption-framework/ready/landing-zone/design-area/multi-tenant/considerations-recommendations" display="More info" xr:uid="{D4984950-8916-40C7-A8CA-0931B698BC3E}"/>
    <hyperlink ref="L1900" r:id="rId1256" tooltip="https://learn.microsoft.com/azure/cloud-adoption-framework/ready/landing-zone/design-area/multi-tenant/considerations-recommendations" display="More info" xr:uid="{C90B64CC-9458-446D-8B86-438896897F92}"/>
    <hyperlink ref="L1901" r:id="rId1257" tooltip="https://learn.microsoft.com/azure/cloud-adoption-framework/ready/landing-zone/design-area/multi-tenant/considerations-recommendations" display="More info" xr:uid="{EB7470E7-0299-4E46-967F-05CB13E5C965}"/>
    <hyperlink ref="L1902" r:id="rId1258" tooltip="https://learn.microsoft.com/azure/cloud-adoption-framework/ready/landing-zone/design-area/multi-tenant/considerations-recommendations" display="More info" xr:uid="{70371512-D683-4145-9174-5CCD16330E57}"/>
    <hyperlink ref="L1903" r:id="rId1259" tooltip="https://learn.microsoft.com/azure/cloud-adoption-framework/ready/landing-zone/design-area/multi-tenant/considerations-recommendations" display="More info" xr:uid="{D60A94B9-0E6D-4D7C-B9BC-8778B6B1B711}"/>
    <hyperlink ref="L1904" r:id="rId1260" tooltip="https://learn.microsoft.com/azure/cloud-adoption-framework/ready/landing-zone/design-area/multi-tenant/considerations-recommendations" display="More info" xr:uid="{98B161EA-0B21-448D-922E-90AECD1246DD}"/>
    <hyperlink ref="L1905" r:id="rId1261" tooltip="https://learn.microsoft.com/azure/cloud-adoption-framework/ready/landing-zone/design-area/multi-tenant/considerations-recommendations" display="More info" xr:uid="{759D8D56-72EB-4D20-A6DC-CFD0B3A250B5}"/>
    <hyperlink ref="L1906" r:id="rId1262" tooltip="https://learn.microsoft.com/azure/cloud-adoption-framework/ready/landing-zone/design-area/multi-tenant/considerations-recommendations" display="More info" xr:uid="{703D111E-5071-47BD-8FCA-4858139CE23D}"/>
    <hyperlink ref="L1907" r:id="rId1263" tooltip="https://learn.microsoft.com/azure/cloud-adoption-framework/ready/landing-zone/design-area/multi-tenant/considerations-recommendations" display="More info" xr:uid="{93771A69-2B90-48D0-BBCC-DDD37E74FC3B}"/>
    <hyperlink ref="L1908" r:id="rId1264" tooltip="https://learn.microsoft.com/azure/cloud-adoption-framework/ready/landing-zone/design-area/multi-tenant/considerations-recommendations" display="More info" xr:uid="{E3B7B828-D2F1-4FC7-B8C0-7D9DBA9BC3C5}"/>
    <hyperlink ref="L1909" r:id="rId1265" tooltip="https://learn.microsoft.com/azure/cloud-adoption-framework/ready/landing-zone/design-area/multi-tenant/considerations-recommendations" display="More info" xr:uid="{F296577C-02D7-43CF-A40F-60BAD29A02A4}"/>
    <hyperlink ref="L1910" r:id="rId1266" tooltip="https://learn.microsoft.com/azure/cloud-adoption-framework/ready/landing-zone/design-area/multi-tenant/considerations-recommendations" display="More info" xr:uid="{830B0B03-21B2-48FD-98BA-F8F825067244}"/>
    <hyperlink ref="L1911" r:id="rId1267" tooltip="https://learn.microsoft.com/azure/cloud-adoption-framework/ready/landing-zone/design-area/multi-tenant/considerations-recommendations" display="More info" xr:uid="{872D7DA1-E79B-4D6E-A1D8-F9C124ADE362}"/>
    <hyperlink ref="L1912" r:id="rId1268" tooltip="https://learn.microsoft.com/azure/cloud-adoption-framework/ready/landing-zone/design-area/multi-tenant/considerations-recommendations" display="More info" xr:uid="{6D93A2A5-EAA0-44F3-A8DA-7A9B5DDA1241}"/>
    <hyperlink ref="L1913" r:id="rId1269" tooltip="https://learn.microsoft.com/azure/cloud-adoption-framework/ready/landing-zone/design-area/multi-tenant/considerations-recommendations" display="More info" xr:uid="{8101474B-FEBE-444C-9212-D47860A9BD9D}"/>
    <hyperlink ref="L1914" r:id="rId1270" tooltip="https://learn.microsoft.com/azure/cloud-adoption-framework/ready/landing-zone/design-area/multi-tenant/considerations-recommendations" display="More info" xr:uid="{8589281E-5FC3-4B2D-A3E1-BF69CEB0F2F1}"/>
    <hyperlink ref="L1915" r:id="rId1271" tooltip="https://learn.microsoft.com/azure/cloud-adoption-framework/ready/landing-zone/design-area/multi-tenant/considerations-recommendations" display="More info" xr:uid="{EEE53C5D-B168-47FF-BD34-E59DE2DD682E}"/>
    <hyperlink ref="L1916" r:id="rId1272" tooltip="https://learn.microsoft.com/azure/cloud-adoption-framework/ready/landing-zone/design-area/multi-tenant/considerations-recommendations" display="More info" xr:uid="{80282247-D5C1-425D-BA31-9633A6654D9F}"/>
    <hyperlink ref="L1917" r:id="rId1273" tooltip="https://learn.microsoft.com/azure/cloud-adoption-framework/ready/landing-zone/design-area/multi-tenant/considerations-recommendations" display="More info" xr:uid="{3854F6E1-EC3F-4057-B3A7-3F5CF2DFF47D}"/>
    <hyperlink ref="L1918" r:id="rId1274" tooltip="https://learn.microsoft.com/azure/cloud-adoption-framework/ready/landing-zone/design-area/multi-tenant/considerations-recommendations" display="More info" xr:uid="{8E74DEAB-D1C6-41D0-BD6D-90DE526079E3}"/>
    <hyperlink ref="L1919" r:id="rId1275" tooltip="https://learn.microsoft.com/azure/cloud-adoption-framework/ready/landing-zone/design-area/multi-tenant/considerations-recommendations" display="More info" xr:uid="{501DE631-0D45-41C2-AD1E-1ACBB6B28205}"/>
    <hyperlink ref="L1920" r:id="rId1276" tooltip="https://learn.microsoft.com/azure/cloud-adoption-framework/ready/landing-zone/design-area/multi-tenant/considerations-recommendations" display="More info" xr:uid="{8262BEA2-61C9-4195-AB9A-29B9D974EBB4}"/>
    <hyperlink ref="L1921" r:id="rId1277" tooltip="https://learn.microsoft.com/azure/cloud-adoption-framework/ready/landing-zone/design-area/multi-tenant/considerations-recommendations" display="More info" xr:uid="{53DCB5E4-1098-4249-93F5-6984C1F99D90}"/>
    <hyperlink ref="L1922" r:id="rId1278" tooltip="https://learn.microsoft.com/azure/cloud-adoption-framework/ready/landing-zone/design-area/multi-tenant/considerations-recommendations" display="More info" xr:uid="{4C0D3477-3746-458D-A81E-42232FA22407}"/>
    <hyperlink ref="L1923" r:id="rId1279" tooltip="https://learn.microsoft.com/azure/cloud-adoption-framework/ready/landing-zone/design-area/multi-tenant/considerations-recommendations" display="More info" xr:uid="{ABEB190A-6485-4A78-A324-49CD78AB88F6}"/>
    <hyperlink ref="L1924" r:id="rId1280" tooltip="https://learn.microsoft.com/azure/cloud-adoption-framework/ready/landing-zone/design-area/multi-tenant/considerations-recommendations" display="More info" xr:uid="{93E57A53-50F9-4A9B-8260-8873CE3F5468}"/>
    <hyperlink ref="L1925" r:id="rId1281" tooltip="https://learn.microsoft.com/azure/cloud-adoption-framework/ready/landing-zone/design-area/multi-tenant/considerations-recommendations" display="More info" xr:uid="{AB524AB3-35DD-4098-82A4-EE396787B14C}"/>
    <hyperlink ref="L1926" r:id="rId1282" tooltip="https://learn.microsoft.com/azure/cloud-adoption-framework/ready/landing-zone/design-area/multi-tenant/considerations-recommendations" display="More info" xr:uid="{18A96940-734E-4E57-8DE2-EAFB08336F11}"/>
    <hyperlink ref="L1927" r:id="rId1283" tooltip="https://learn.microsoft.com/azure/cloud-adoption-framework/ready/landing-zone/design-area/multi-tenant/considerations-recommendations" display="More info" xr:uid="{F3A7A90E-B6ED-45BD-909E-E2776EF710F1}"/>
    <hyperlink ref="L1928" r:id="rId1284" tooltip="https://learn.microsoft.com/azure/cloud-adoption-framework/ready/landing-zone/design-area/multi-tenant/considerations-recommendations" display="More info" xr:uid="{699C348E-A5B9-4FF9-BD1B-C76387823D57}"/>
    <hyperlink ref="L1929" r:id="rId1285" tooltip="https://learn.microsoft.com/azure/cloud-adoption-framework/ready/landing-zone/design-area/multi-tenant/considerations-recommendations" display="More info" xr:uid="{734DA070-8C1A-4A8B-973A-75C1326FA8B9}"/>
    <hyperlink ref="L1930" r:id="rId1286" tooltip="https://learn.microsoft.com/azure/cloud-adoption-framework/ready/landing-zone/design-area/multi-tenant/considerations-recommendations" display="More info" xr:uid="{EE3E72B6-FFEB-4795-9ADC-202BFBCB2C32}"/>
    <hyperlink ref="L1931" r:id="rId1287" tooltip="https://learn.microsoft.com/azure/cloud-adoption-framework/ready/landing-zone/design-area/multi-tenant/considerations-recommendations" display="More info" xr:uid="{5675895A-7A93-491D-9F65-9D4C56964BE7}"/>
    <hyperlink ref="L1932" r:id="rId1288" tooltip="https://learn.microsoft.com/azure/cloud-adoption-framework/ready/landing-zone/design-area/multi-tenant/considerations-recommendations" display="More info" xr:uid="{11121825-3477-4F3C-92E2-41148BD47546}"/>
    <hyperlink ref="L1933" r:id="rId1289" tooltip="https://learn.microsoft.com/azure/cloud-adoption-framework/ready/landing-zone/design-area/multi-tenant/considerations-recommendations" display="More info" xr:uid="{77810B38-71C3-4340-A392-C5388FA51B7B}"/>
    <hyperlink ref="L1934" r:id="rId1290" tooltip="https://learn.microsoft.com/azure/cloud-adoption-framework/ready/landing-zone/design-area/multi-tenant/considerations-recommendations" display="More info" xr:uid="{38CD0D60-66D5-4F22-AF35-AB05D6E4C024}"/>
    <hyperlink ref="L1935" r:id="rId1291" tooltip="https://learn.microsoft.com/azure/cloud-adoption-framework/ready/landing-zone/design-area/multi-tenant/considerations-recommendations" display="More info" xr:uid="{AD02F1A6-F3CC-4F20-B841-2FBCEF0CFBEF}"/>
    <hyperlink ref="L1936" r:id="rId1292" tooltip="https://learn.microsoft.com/azure/cloud-adoption-framework/ready/landing-zone/design-area/multi-tenant/considerations-recommendations" display="More info" xr:uid="{F4A98990-8981-4C03-BB38-40CB93694252}"/>
    <hyperlink ref="L1937" r:id="rId1293" tooltip="https://learn.microsoft.com/azure/cloud-adoption-framework/ready/landing-zone/design-area/multi-tenant/considerations-recommendations" display="More info" xr:uid="{2B47483F-5515-42AD-BF19-27ABE86E06AD}"/>
    <hyperlink ref="L1938" r:id="rId1294" tooltip="https://learn.microsoft.com/azure/cloud-adoption-framework/ready/landing-zone/design-area/multi-tenant/considerations-recommendations" display="More info" xr:uid="{40823CDC-723C-4560-BC29-F0BD05BEB56E}"/>
    <hyperlink ref="L1939" r:id="rId1295" tooltip="https://learn.microsoft.com/azure/cloud-adoption-framework/ready/landing-zone/design-area/multi-tenant/considerations-recommendations" display="More info" xr:uid="{A560D951-E6A6-44A1-8A12-EEAA737511FB}"/>
    <hyperlink ref="L1940" r:id="rId1296" tooltip="https://learn.microsoft.com/azure/cloud-adoption-framework/ready/landing-zone/design-area/multi-tenant/considerations-recommendations" display="More info" xr:uid="{171894F5-F5B7-4370-BCA5-7AA467D2E1E1}"/>
    <hyperlink ref="L1941" r:id="rId1297" tooltip="https://learn.microsoft.com/azure/cloud-adoption-framework/ready/landing-zone/design-area/multi-tenant/considerations-recommendations" display="More info" xr:uid="{3252255B-FD3C-486C-85A1-40DE71441342}"/>
    <hyperlink ref="L1942" r:id="rId1298" tooltip="https://learn.microsoft.com/azure/cloud-adoption-framework/ready/landing-zone/design-area/multi-tenant/considerations-recommendations" display="More info" xr:uid="{B347222D-D5F3-4923-A1FE-531FD61CE34E}"/>
    <hyperlink ref="L1943" r:id="rId1299" tooltip="https://learn.microsoft.com/azure/cloud-adoption-framework/ready/landing-zone/design-area/multi-tenant/considerations-recommendations" display="More info" xr:uid="{ACC94D0D-69ED-42F4-A6D3-F7BF8C21230B}"/>
    <hyperlink ref="L1944" r:id="rId1300" tooltip="https://learn.microsoft.com/azure/cloud-adoption-framework/ready/landing-zone/design-area/multi-tenant/considerations-recommendations" display="More info" xr:uid="{0638E371-E96C-4CCB-887F-96DD1F29190D}"/>
    <hyperlink ref="L1945" r:id="rId1301" tooltip="https://learn.microsoft.com/azure/cloud-adoption-framework/ready/landing-zone/design-area/multi-tenant/considerations-recommendations" display="More info" xr:uid="{52FB6AEA-5EAD-4816-BE38-D376BA5ADE39}"/>
    <hyperlink ref="L1946" r:id="rId1302" tooltip="https://learn.microsoft.com/azure/cloud-adoption-framework/ready/landing-zone/design-area/multi-tenant/considerations-recommendations" display="More info" xr:uid="{0006BF71-CE2E-4FB7-A770-EE0229E65384}"/>
    <hyperlink ref="L1947" r:id="rId1303" tooltip="https://learn.microsoft.com/azure/cloud-adoption-framework/ready/landing-zone/design-area/multi-tenant/considerations-recommendations" display="More info" xr:uid="{70A5E33E-9FEF-486E-BFBA-6295E4F68D61}"/>
    <hyperlink ref="L1948" r:id="rId1304" tooltip="https://learn.microsoft.com/azure/cloud-adoption-framework/ready/landing-zone/design-area/multi-tenant/considerations-recommendations" display="More info" xr:uid="{E3A58AEF-DC19-44F7-833F-7872E2C8F794}"/>
    <hyperlink ref="L1949" r:id="rId1305" tooltip="https://learn.microsoft.com/azure/cloud-adoption-framework/ready/landing-zone/design-area/multi-tenant/considerations-recommendations" display="More info" xr:uid="{794F516E-877B-4F23-A2FB-2C2D14A1685E}"/>
    <hyperlink ref="L1950" r:id="rId1306" tooltip="https://learn.microsoft.com/azure/cloud-adoption-framework/ready/landing-zone/design-area/multi-tenant/considerations-recommendations" display="More info" xr:uid="{CA871DE8-EC75-4FCD-8351-5D6301DB7856}"/>
    <hyperlink ref="L1951" r:id="rId1307" tooltip="https://learn.microsoft.com/azure/cloud-adoption-framework/ready/landing-zone/design-area/multi-tenant/considerations-recommendations" display="More info" xr:uid="{7900673E-0026-4C7B-BA62-4971685BF1F0}"/>
    <hyperlink ref="L1952" r:id="rId1308" tooltip="https://learn.microsoft.com/azure/cloud-adoption-framework/ready/landing-zone/design-area/multi-tenant/considerations-recommendations" display="More info" xr:uid="{D282881F-3EF8-493B-9400-1A7E0906D69B}"/>
    <hyperlink ref="L1953" r:id="rId1309" tooltip="https://learn.microsoft.com/azure/cloud-adoption-framework/ready/landing-zone/design-area/multi-tenant/considerations-recommendations" display="More info" xr:uid="{063E1F3B-D740-4888-87CB-2F2B7695FE4B}"/>
    <hyperlink ref="L1954" r:id="rId1310" tooltip="https://learn.microsoft.com/azure/cloud-adoption-framework/ready/landing-zone/design-area/multi-tenant/considerations-recommendations" display="More info" xr:uid="{BE09D8B1-79BA-4854-8EBA-7DDEB205E72C}"/>
    <hyperlink ref="L1955" r:id="rId1311" tooltip="https://learn.microsoft.com/azure/cloud-adoption-framework/ready/landing-zone/design-area/multi-tenant/considerations-recommendations" display="More info" xr:uid="{191A1C95-0E02-400F-AB30-827A3CB8BB0C}"/>
    <hyperlink ref="L1956" r:id="rId1312" tooltip="https://learn.microsoft.com/azure/cloud-adoption-framework/ready/landing-zone/design-area/multi-tenant/considerations-recommendations" display="More info" xr:uid="{F224ED1D-A05E-4DC7-A5C6-16DAC1F5CCC4}"/>
    <hyperlink ref="L1957" r:id="rId1313" tooltip="https://learn.microsoft.com/azure/cloud-adoption-framework/ready/landing-zone/design-area/multi-tenant/considerations-recommendations" display="More info" xr:uid="{66F9CD2B-BB7C-4DF9-8551-FD198B1A1DF8}"/>
    <hyperlink ref="L1958" r:id="rId1314" tooltip="https://learn.microsoft.com/azure/cloud-adoption-framework/ready/landing-zone/design-area/multi-tenant/considerations-recommendations" display="More info" xr:uid="{0D7C6CF7-2485-4A4B-B8B0-C0EF6546E127}"/>
    <hyperlink ref="L1959" r:id="rId1315" tooltip="https://learn.microsoft.com/azure/cloud-adoption-framework/ready/landing-zone/design-area/multi-tenant/considerations-recommendations" display="More info" xr:uid="{2146CC76-3C2F-4AF7-A1B9-B06BB06EB825}"/>
    <hyperlink ref="L1960" r:id="rId1316" tooltip="https://learn.microsoft.com/azure/cloud-adoption-framework/ready/landing-zone/design-area/multi-tenant/considerations-recommendations" display="More info" xr:uid="{1A838D91-44D7-498A-9F2B-7E93F7E9D8CA}"/>
    <hyperlink ref="L1961" r:id="rId1317" tooltip="https://learn.microsoft.com/azure/cloud-adoption-framework/ready/landing-zone/design-area/multi-tenant/considerations-recommendations" display="More info" xr:uid="{99FAB868-1883-41A4-9A03-6CD1411DA826}"/>
    <hyperlink ref="L1962" r:id="rId1318" tooltip="https://learn.microsoft.com/azure/cloud-adoption-framework/ready/landing-zone/design-area/multi-tenant/considerations-recommendations" display="More info" xr:uid="{A3ECB830-B02C-4CFD-982F-D8212311FC78}"/>
    <hyperlink ref="L1963" r:id="rId1319" tooltip="https://learn.microsoft.com/azure/cloud-adoption-framework/ready/landing-zone/design-area/multi-tenant/considerations-recommendations" display="More info" xr:uid="{2F3423D5-D0EB-407F-A272-5D4D6905C604}"/>
    <hyperlink ref="L1964" r:id="rId1320" tooltip="https://learn.microsoft.com/azure/cloud-adoption-framework/ready/landing-zone/design-area/multi-tenant/considerations-recommendations" display="More info" xr:uid="{8A9A8012-9CAE-4A17-B36B-C2D703EFEF79}"/>
    <hyperlink ref="L1965" r:id="rId1321" tooltip="https://learn.microsoft.com/azure/cloud-adoption-framework/ready/landing-zone/design-area/multi-tenant/considerations-recommendations" display="More info" xr:uid="{08E00F07-0CFC-429F-AEB4-CD833B8F6C8A}"/>
    <hyperlink ref="L1966" r:id="rId1322" tooltip="https://learn.microsoft.com/azure/cloud-adoption-framework/ready/landing-zone/design-area/multi-tenant/considerations-recommendations" display="More info" xr:uid="{9DC63683-4504-4780-9A0C-853DEF9CE5C0}"/>
    <hyperlink ref="L1967" r:id="rId1323" tooltip="https://learn.microsoft.com/azure/cloud-adoption-framework/ready/landing-zone/design-area/multi-tenant/considerations-recommendations" display="More info" xr:uid="{1D53CDA8-F863-4DDD-88D4-558A715FF9F5}"/>
    <hyperlink ref="L1968" r:id="rId1324" tooltip="https://learn.microsoft.com/azure/cloud-adoption-framework/ready/landing-zone/design-area/multi-tenant/considerations-recommendations" display="More info" xr:uid="{368EF616-557E-4578-9C16-2632BFBAE7D2}"/>
    <hyperlink ref="L1969" r:id="rId1325" tooltip="https://learn.microsoft.com/azure/cloud-adoption-framework/ready/landing-zone/design-area/multi-tenant/considerations-recommendations" display="More info" xr:uid="{469098E8-0008-4190-A202-FE19949450E1}"/>
    <hyperlink ref="L1970" r:id="rId1326" tooltip="https://learn.microsoft.com/azure/cloud-adoption-framework/ready/landing-zone/design-area/multi-tenant/considerations-recommendations" display="More info" xr:uid="{C1ABA4A4-B025-4360-B485-626FB2097E5B}"/>
    <hyperlink ref="L1971" r:id="rId1327" tooltip="https://learn.microsoft.com/azure/cloud-adoption-framework/ready/landing-zone/design-area/multi-tenant/considerations-recommendations" display="More info" xr:uid="{BD6F599E-D546-4FB8-A067-4EB1BB55F06C}"/>
    <hyperlink ref="L1972" r:id="rId1328" tooltip="https://learn.microsoft.com/azure/cloud-adoption-framework/ready/landing-zone/design-area/multi-tenant/considerations-recommendations" display="More info" xr:uid="{4F9ECC0F-C211-4076-8479-BD26AB8B970A}"/>
    <hyperlink ref="L1973" r:id="rId1329" tooltip="https://learn.microsoft.com/azure/cloud-adoption-framework/ready/landing-zone/design-area/multi-tenant/considerations-recommendations" display="More info" xr:uid="{FA7FF14F-14C2-4091-A015-B600DAE7C018}"/>
    <hyperlink ref="L1974" r:id="rId1330" tooltip="https://learn.microsoft.com/azure/cloud-adoption-framework/ready/landing-zone/design-area/multi-tenant/considerations-recommendations" display="More info" xr:uid="{B8AF5A32-4913-47DB-9C3B-4C57CC34F683}"/>
    <hyperlink ref="L1975" r:id="rId1331" tooltip="https://learn.microsoft.com/azure/cloud-adoption-framework/ready/landing-zone/design-area/multi-tenant/considerations-recommendations" display="More info" xr:uid="{B75A6991-8D45-4B86-B8D8-E5DFBB0FD0F8}"/>
    <hyperlink ref="L1976" r:id="rId1332" tooltip="https://learn.microsoft.com/azure/cloud-adoption-framework/ready/landing-zone/design-area/multi-tenant/considerations-recommendations" display="More info" xr:uid="{561EEAD4-E07E-499D-8A34-FDBC3EDF171D}"/>
    <hyperlink ref="L1977" r:id="rId1333" tooltip="https://learn.microsoft.com/azure/cloud-adoption-framework/ready/landing-zone/design-area/multi-tenant/considerations-recommendations" display="More info" xr:uid="{AD241255-2F37-4041-BC28-05288AFAAFC4}"/>
    <hyperlink ref="L1978" r:id="rId1334" tooltip="https://learn.microsoft.com/azure/cloud-adoption-framework/ready/landing-zone/design-area/multi-tenant/considerations-recommendations" display="More info" xr:uid="{4FF96789-5ACD-4580-854C-1A20F3651A1B}"/>
    <hyperlink ref="L1979" r:id="rId1335" tooltip="https://learn.microsoft.com/azure/cloud-adoption-framework/ready/landing-zone/design-area/multi-tenant/considerations-recommendations" display="More info" xr:uid="{A5F48472-082E-4C34-8046-BD943A982384}"/>
    <hyperlink ref="L1980" r:id="rId1336" tooltip="https://learn.microsoft.com/azure/cloud-adoption-framework/ready/landing-zone/design-area/multi-tenant/considerations-recommendations" display="More info" xr:uid="{A52D7B74-EBB6-44FB-95C8-8C686A3DC588}"/>
    <hyperlink ref="L1981" r:id="rId1337" tooltip="https://learn.microsoft.com/azure/cloud-adoption-framework/ready/landing-zone/design-area/multi-tenant/considerations-recommendations" display="More info" xr:uid="{60FCE65D-9284-4CCF-BA02-FDBE3D00400F}"/>
    <hyperlink ref="L1982" r:id="rId1338" tooltip="https://learn.microsoft.com/azure/cloud-adoption-framework/ready/landing-zone/design-area/multi-tenant/considerations-recommendations" display="More info" xr:uid="{286D9658-BD4C-4FAB-A966-098E8A79893E}"/>
    <hyperlink ref="L1983" r:id="rId1339" tooltip="https://learn.microsoft.com/azure/cloud-adoption-framework/ready/landing-zone/design-area/multi-tenant/considerations-recommendations" display="More info" xr:uid="{998FD4C7-D60F-4431-91DC-F372C21A4ADE}"/>
    <hyperlink ref="L1984" r:id="rId1340" tooltip="https://learn.microsoft.com/azure/cloud-adoption-framework/ready/landing-zone/design-area/multi-tenant/considerations-recommendations" display="More info" xr:uid="{199E10E5-4B7F-4087-B38C-AD0B74D05F38}"/>
    <hyperlink ref="L1985" r:id="rId1341" tooltip="https://learn.microsoft.com/azure/cloud-adoption-framework/ready/landing-zone/design-area/multi-tenant/considerations-recommendations" display="More info" xr:uid="{F05D4241-25FB-4F8C-BE5F-E80EB70C832E}"/>
    <hyperlink ref="L1986" r:id="rId1342" tooltip="https://learn.microsoft.com/azure/cloud-adoption-framework/ready/landing-zone/design-area/multi-tenant/considerations-recommendations" display="More info" xr:uid="{0882D6AE-E895-4757-B357-BC23C9A4F698}"/>
    <hyperlink ref="L1987" r:id="rId1343" tooltip="https://learn.microsoft.com/azure/cloud-adoption-framework/ready/landing-zone/design-area/multi-tenant/considerations-recommendations" display="More info" xr:uid="{6B19CC54-A360-4DEB-9B55-1DF87AE2ED3C}"/>
    <hyperlink ref="L1988" r:id="rId1344" tooltip="https://learn.microsoft.com/azure/cloud-adoption-framework/ready/landing-zone/design-area/multi-tenant/considerations-recommendations" display="More info" xr:uid="{B3FD4F52-702E-44D0-B18E-7AAB6F2C3CE5}"/>
    <hyperlink ref="L1989" r:id="rId1345" tooltip="https://learn.microsoft.com/azure/cloud-adoption-framework/ready/landing-zone/design-area/multi-tenant/considerations-recommendations" display="More info" xr:uid="{786E2EA5-2C81-4E7F-88B2-9D9EF5C53363}"/>
    <hyperlink ref="L1990" r:id="rId1346" tooltip="https://learn.microsoft.com/azure/cloud-adoption-framework/ready/landing-zone/design-area/multi-tenant/considerations-recommendations" display="More info" xr:uid="{38F78D80-1772-43DD-8B90-55067B5C852E}"/>
    <hyperlink ref="L1991" r:id="rId1347" tooltip="https://learn.microsoft.com/azure/cloud-adoption-framework/ready/landing-zone/design-area/multi-tenant/considerations-recommendations" display="More info" xr:uid="{753675AE-25DB-4BE1-8A91-9FA48B94F305}"/>
    <hyperlink ref="L1992" r:id="rId1348" tooltip="https://learn.microsoft.com/azure/cloud-adoption-framework/ready/landing-zone/design-area/multi-tenant/considerations-recommendations" display="More info" xr:uid="{E46C077C-5EA7-4CB2-9961-14977034344C}"/>
    <hyperlink ref="L1993" r:id="rId1349" tooltip="https://learn.microsoft.com/azure/cloud-adoption-framework/ready/landing-zone/design-area/multi-tenant/considerations-recommendations" display="More info" xr:uid="{422DED57-D1F4-4724-A8A3-233D6F7BABF7}"/>
    <hyperlink ref="L1994" r:id="rId1350" tooltip="https://learn.microsoft.com/azure/cloud-adoption-framework/ready/landing-zone/design-area/multi-tenant/considerations-recommendations" display="More info" xr:uid="{FD0BCDD9-3550-4DE5-8FC0-DAC8E917D340}"/>
    <hyperlink ref="L1995" r:id="rId1351" tooltip="https://learn.microsoft.com/azure/cloud-adoption-framework/ready/landing-zone/design-area/multi-tenant/considerations-recommendations" display="More info" xr:uid="{09CB8184-6C3B-4038-B338-D4B8BB9A8D91}"/>
    <hyperlink ref="L1996" r:id="rId1352" tooltip="https://learn.microsoft.com/azure/cloud-adoption-framework/ready/landing-zone/design-area/multi-tenant/considerations-recommendations" display="More info" xr:uid="{D79C362D-5410-46E0-BC3D-BDA6645D4580}"/>
    <hyperlink ref="L1997" r:id="rId1353" tooltip="https://learn.microsoft.com/azure/cloud-adoption-framework/ready/landing-zone/design-area/multi-tenant/considerations-recommendations" display="More info" xr:uid="{FFFD257C-E999-4149-81B8-CD3B1F20BE7F}"/>
    <hyperlink ref="L1998" r:id="rId1354" tooltip="https://learn.microsoft.com/azure/cloud-adoption-framework/ready/landing-zone/design-area/multi-tenant/considerations-recommendations" display="More info" xr:uid="{9B8CB38A-79EF-4B42-AAA4-8A5F12E10126}"/>
    <hyperlink ref="L1999" r:id="rId1355" tooltip="https://learn.microsoft.com/azure/cloud-adoption-framework/ready/landing-zone/design-area/multi-tenant/considerations-recommendations" display="More info" xr:uid="{2445738E-B3A7-4654-9716-40831E9DBDC4}"/>
    <hyperlink ref="L2000" r:id="rId1356" tooltip="https://learn.microsoft.com/azure/cloud-adoption-framework/ready/landing-zone/design-area/multi-tenant/considerations-recommendations" display="More info" xr:uid="{8D439E4E-E3FE-431B-99B0-C73D12EAF75B}"/>
    <hyperlink ref="L2001" r:id="rId1357" tooltip="https://learn.microsoft.com/azure/cloud-adoption-framework/ready/landing-zone/design-area/multi-tenant/considerations-recommendations" display="More info" xr:uid="{B37F3D49-B366-460C-9D03-2ADA12A35544}"/>
    <hyperlink ref="L2002" r:id="rId1358" tooltip="https://learn.microsoft.com/azure/cloud-adoption-framework/ready/landing-zone/design-area/multi-tenant/considerations-recommendations" display="More info" xr:uid="{5CFC1465-A2EF-4D4A-B18A-ABF8A0EADFD3}"/>
    <hyperlink ref="L2003" r:id="rId1359" tooltip="https://learn.microsoft.com/azure/cloud-adoption-framework/ready/landing-zone/design-area/multi-tenant/considerations-recommendations" display="More info" xr:uid="{4440B2AF-C201-424C-8EC5-45B381C48735}"/>
    <hyperlink ref="L2004" r:id="rId1360" tooltip="https://learn.microsoft.com/azure/cloud-adoption-framework/ready/landing-zone/design-area/multi-tenant/considerations-recommendations" display="More info" xr:uid="{2A5819C7-B142-465A-82F9-DA747A297E22}"/>
    <hyperlink ref="L2005" r:id="rId1361" tooltip="https://learn.microsoft.com/azure/cloud-adoption-framework/ready/landing-zone/design-area/multi-tenant/considerations-recommendations" display="More info" xr:uid="{12E93C38-2AAF-49E2-B060-4CA21C79125B}"/>
    <hyperlink ref="L2006" r:id="rId1362" tooltip="https://learn.microsoft.com/azure/cloud-adoption-framework/ready/landing-zone/design-area/multi-tenant/considerations-recommendations" display="More info" xr:uid="{3256F9F4-EA75-4F40-B051-03ADD1F9147E}"/>
    <hyperlink ref="L2007" r:id="rId1363" tooltip="https://learn.microsoft.com/azure/cloud-adoption-framework/ready/landing-zone/design-area/multi-tenant/considerations-recommendations" display="More info" xr:uid="{07CF5414-FAD8-48B8-8C5B-3D5B66D14C8C}"/>
    <hyperlink ref="L2008" r:id="rId1364" tooltip="https://learn.microsoft.com/azure/cloud-adoption-framework/ready/landing-zone/design-area/multi-tenant/considerations-recommendations" display="More info" xr:uid="{B411C26E-298D-4895-B076-3E082C5D40D9}"/>
    <hyperlink ref="L2009" r:id="rId1365" tooltip="https://learn.microsoft.com/azure/cloud-adoption-framework/ready/landing-zone/design-area/multi-tenant/considerations-recommendations" display="More info" xr:uid="{E15256A0-4919-425B-9839-F754525144A0}"/>
    <hyperlink ref="L2010" r:id="rId1366" tooltip="https://learn.microsoft.com/azure/cloud-adoption-framework/ready/landing-zone/design-area/multi-tenant/considerations-recommendations" display="More info" xr:uid="{370DE3E1-1C6E-4EF0-895D-8B612D77D939}"/>
    <hyperlink ref="L2011" r:id="rId1367" tooltip="https://learn.microsoft.com/azure/cloud-adoption-framework/ready/landing-zone/design-area/multi-tenant/considerations-recommendations" display="More info" xr:uid="{FA63EEB6-23C4-4112-AFF3-D326A6DAE230}"/>
    <hyperlink ref="L2012" r:id="rId1368" tooltip="https://learn.microsoft.com/azure/cloud-adoption-framework/ready/landing-zone/design-area/multi-tenant/considerations-recommendations" display="More info" xr:uid="{D2040AE5-7312-4BD9-BC9F-E7666BA94BE1}"/>
    <hyperlink ref="L2013" r:id="rId1369" tooltip="https://learn.microsoft.com/azure/cloud-adoption-framework/ready/landing-zone/design-area/multi-tenant/considerations-recommendations" display="More info" xr:uid="{6B1191E1-0974-4AED-AEAC-2322EC219489}"/>
    <hyperlink ref="L2014" r:id="rId1370" tooltip="https://learn.microsoft.com/azure/cloud-adoption-framework/ready/landing-zone/design-area/multi-tenant/considerations-recommendations" display="More info" xr:uid="{625A7994-AD2C-4D7E-89B8-7587A7FB51EE}"/>
    <hyperlink ref="L2015" r:id="rId1371" tooltip="https://learn.microsoft.com/azure/cloud-adoption-framework/ready/landing-zone/design-area/multi-tenant/considerations-recommendations" display="More info" xr:uid="{490B9862-1257-4B5E-85D5-DDCFAF948ADE}"/>
    <hyperlink ref="L2016" r:id="rId1372" tooltip="https://learn.microsoft.com/azure/cloud-adoption-framework/ready/landing-zone/design-area/multi-tenant/considerations-recommendations" display="More info" xr:uid="{B4092A66-2028-4C41-9CEE-020776EA6D64}"/>
    <hyperlink ref="L2017" r:id="rId1373" tooltip="https://learn.microsoft.com/azure/cloud-adoption-framework/ready/landing-zone/design-area/multi-tenant/considerations-recommendations" display="More info" xr:uid="{3D20B09F-115D-42EF-8A38-DA2AE5ACA74D}"/>
    <hyperlink ref="L2018" r:id="rId1374" tooltip="https://learn.microsoft.com/azure/cloud-adoption-framework/ready/landing-zone/design-area/multi-tenant/considerations-recommendations" display="More info" xr:uid="{551CC926-8E48-4803-ABD3-37404A768D98}"/>
    <hyperlink ref="L2019" r:id="rId1375" tooltip="https://learn.microsoft.com/azure/cloud-adoption-framework/ready/landing-zone/design-area/multi-tenant/considerations-recommendations" display="More info" xr:uid="{54B63167-F522-4B12-B551-CAF816C93E5E}"/>
    <hyperlink ref="L2020" r:id="rId1376" tooltip="https://learn.microsoft.com/azure/cloud-adoption-framework/ready/landing-zone/design-area/multi-tenant/considerations-recommendations" display="More info" xr:uid="{A245F2E4-EA0B-417D-85FF-49D5D19C3621}"/>
    <hyperlink ref="L2021" r:id="rId1377" tooltip="https://learn.microsoft.com/azure/cloud-adoption-framework/ready/landing-zone/design-area/multi-tenant/considerations-recommendations" display="More info" xr:uid="{DEB8A671-5A97-4B47-9ABC-E09644709FF3}"/>
    <hyperlink ref="L2022" r:id="rId1378" tooltip="https://learn.microsoft.com/azure/cloud-adoption-framework/ready/landing-zone/design-area/multi-tenant/considerations-recommendations" display="More info" xr:uid="{AA654470-15EB-428B-BEC0-4C4F11A6C26B}"/>
    <hyperlink ref="L2023" r:id="rId1379" tooltip="https://learn.microsoft.com/azure/cloud-adoption-framework/ready/landing-zone/design-area/multi-tenant/considerations-recommendations" display="More info" xr:uid="{246CD73D-2BB1-41AB-83C2-9DC5B952E37E}"/>
    <hyperlink ref="L2024" r:id="rId1380" tooltip="https://learn.microsoft.com/azure/cloud-adoption-framework/ready/landing-zone/design-area/multi-tenant/considerations-recommendations" display="More info" xr:uid="{33CBA9F4-41E4-49CD-B36B-9D9BB05C8497}"/>
    <hyperlink ref="L2025" r:id="rId1381" tooltip="https://learn.microsoft.com/azure/cloud-adoption-framework/ready/landing-zone/design-area/multi-tenant/considerations-recommendations" display="More info" xr:uid="{EEE78137-7AD2-4838-B9E2-EFF364FE2233}"/>
    <hyperlink ref="L2026" r:id="rId1382" tooltip="https://learn.microsoft.com/azure/cloud-adoption-framework/ready/landing-zone/design-area/multi-tenant/considerations-recommendations" display="More info" xr:uid="{8D256962-D0CF-42CD-85E8-0E47ACE6358F}"/>
    <hyperlink ref="L2027" r:id="rId1383" tooltip="https://learn.microsoft.com/azure/cloud-adoption-framework/ready/landing-zone/design-area/multi-tenant/considerations-recommendations" display="More info" xr:uid="{DB5F0914-053C-44C1-A0A4-DA0BE13BC086}"/>
    <hyperlink ref="L2028" r:id="rId1384" tooltip="https://learn.microsoft.com/azure/cloud-adoption-framework/ready/landing-zone/design-area/multi-tenant/considerations-recommendations" display="More info" xr:uid="{49BADBB3-EA99-4BAC-98F3-D76D8D1F8E7A}"/>
    <hyperlink ref="L2029" r:id="rId1385" tooltip="https://learn.microsoft.com/azure/cloud-adoption-framework/ready/landing-zone/design-area/multi-tenant/considerations-recommendations" display="More info" xr:uid="{DBC56B9F-3677-41B0-99D2-8FF8E3520744}"/>
    <hyperlink ref="L2030" r:id="rId1386" tooltip="https://learn.microsoft.com/azure/cloud-adoption-framework/ready/landing-zone/design-area/multi-tenant/considerations-recommendations" display="More info" xr:uid="{FF499BF1-1164-44BA-AFD7-82FB5DAB62F1}"/>
    <hyperlink ref="L2031" r:id="rId1387" tooltip="https://learn.microsoft.com/azure/cloud-adoption-framework/ready/landing-zone/design-area/multi-tenant/considerations-recommendations" display="More info" xr:uid="{E7CE22C5-A94A-4828-A351-7272CD27A00C}"/>
    <hyperlink ref="L2032" r:id="rId1388" tooltip="https://learn.microsoft.com/azure/cloud-adoption-framework/ready/landing-zone/design-area/multi-tenant/considerations-recommendations" display="More info" xr:uid="{FE561E3C-FECE-4C1E-8061-B361AECA77C4}"/>
    <hyperlink ref="L2033" r:id="rId1389" tooltip="https://learn.microsoft.com/azure/cloud-adoption-framework/ready/landing-zone/design-area/multi-tenant/considerations-recommendations" display="More info" xr:uid="{5F78B8D9-F930-4716-95FF-9A81E6A0A59F}"/>
    <hyperlink ref="L2034" r:id="rId1390" tooltip="https://learn.microsoft.com/azure/cloud-adoption-framework/ready/landing-zone/design-area/multi-tenant/considerations-recommendations" display="More info" xr:uid="{38114854-3650-48F4-A8E9-FACB8E738DE1}"/>
    <hyperlink ref="L2035" r:id="rId1391" tooltip="https://learn.microsoft.com/azure/cloud-adoption-framework/ready/landing-zone/design-area/multi-tenant/considerations-recommendations" display="More info" xr:uid="{47B43D2C-A390-497D-9A35-8459CABF0759}"/>
    <hyperlink ref="L2036" r:id="rId1392" tooltip="https://learn.microsoft.com/azure/cloud-adoption-framework/ready/landing-zone/design-area/multi-tenant/considerations-recommendations" display="More info" xr:uid="{14A3E9A8-A37F-440C-B59B-90DCDC6009DF}"/>
    <hyperlink ref="L2037" r:id="rId1393" tooltip="https://learn.microsoft.com/azure/cloud-adoption-framework/ready/landing-zone/design-area/multi-tenant/considerations-recommendations" display="More info" xr:uid="{FB816904-970B-4337-A404-A935BC0CA0D4}"/>
    <hyperlink ref="L2038" r:id="rId1394" tooltip="https://learn.microsoft.com/azure/cloud-adoption-framework/ready/landing-zone/design-area/multi-tenant/considerations-recommendations" display="More info" xr:uid="{2ACA5B57-1ED6-47C2-A8B5-A3B3DE1F19A9}"/>
    <hyperlink ref="L2039" r:id="rId1395" tooltip="https://learn.microsoft.com/azure/cloud-adoption-framework/ready/landing-zone/design-area/multi-tenant/considerations-recommendations" display="More info" xr:uid="{034F13D4-5FB3-4090-BC31-E0BF12D43588}"/>
    <hyperlink ref="L2040" r:id="rId1396" tooltip="https://learn.microsoft.com/azure/cloud-adoption-framework/ready/landing-zone/design-area/multi-tenant/considerations-recommendations" display="More info" xr:uid="{A4E77354-8D45-4FF9-AD79-CDC79809B95C}"/>
    <hyperlink ref="L2041" r:id="rId1397" tooltip="https://learn.microsoft.com/azure/cloud-adoption-framework/ready/landing-zone/design-area/multi-tenant/considerations-recommendations" display="More info" xr:uid="{34E4B3DF-B496-4141-848B-36F1FD2D4CDB}"/>
    <hyperlink ref="L2042" r:id="rId1398" tooltip="https://learn.microsoft.com/azure/cloud-adoption-framework/ready/landing-zone/design-area/multi-tenant/considerations-recommendations" display="More info" xr:uid="{146126D3-ED6E-486A-868B-56FCFDC87D9A}"/>
    <hyperlink ref="L2043" r:id="rId1399" tooltip="https://learn.microsoft.com/azure/cloud-adoption-framework/ready/landing-zone/design-area/multi-tenant/considerations-recommendations" display="More info" xr:uid="{FD92E55F-B48B-4BC4-9483-CA639B5BAAB6}"/>
    <hyperlink ref="L2044" r:id="rId1400" tooltip="https://learn.microsoft.com/azure/cloud-adoption-framework/ready/landing-zone/design-area/multi-tenant/considerations-recommendations" display="More info" xr:uid="{4C4D9BFC-BF3A-416B-8FE6-432F9BC31FC7}"/>
    <hyperlink ref="L2045" r:id="rId1401" tooltip="https://learn.microsoft.com/azure/cloud-adoption-framework/ready/landing-zone/design-area/multi-tenant/considerations-recommendations" display="More info" xr:uid="{2893C8AB-3B9E-479F-A8BF-45A5ED86B309}"/>
    <hyperlink ref="L2046" r:id="rId1402" tooltip="https://learn.microsoft.com/azure/cloud-adoption-framework/ready/landing-zone/design-area/multi-tenant/considerations-recommendations" display="More info" xr:uid="{0E22D175-7BA6-4832-849F-53819BFC2FB3}"/>
    <hyperlink ref="L2047" r:id="rId1403" tooltip="https://learn.microsoft.com/azure/cloud-adoption-framework/ready/landing-zone/design-area/multi-tenant/considerations-recommendations" display="More info" xr:uid="{E2F635F7-3EB1-494F-9411-4BAAE472FA34}"/>
    <hyperlink ref="L2048" r:id="rId1404" tooltip="https://learn.microsoft.com/azure/cloud-adoption-framework/ready/landing-zone/design-area/multi-tenant/considerations-recommendations" display="More info" xr:uid="{DF1BC995-FA09-43BF-A254-670F36D901DD}"/>
    <hyperlink ref="L2049" r:id="rId1405" tooltip="https://learn.microsoft.com/azure/cloud-adoption-framework/ready/landing-zone/design-area/multi-tenant/considerations-recommendations" display="More info" xr:uid="{3EAEB861-A3F4-409D-9A88-6855577B5471}"/>
    <hyperlink ref="L2050" r:id="rId1406" tooltip="https://learn.microsoft.com/azure/cloud-adoption-framework/ready/landing-zone/design-area/multi-tenant/considerations-recommendations" display="More info" xr:uid="{EBC8573C-6271-4491-8472-91D0EBDE1824}"/>
    <hyperlink ref="L2051" r:id="rId1407" tooltip="https://learn.microsoft.com/azure/cloud-adoption-framework/ready/landing-zone/design-area/multi-tenant/considerations-recommendations" display="More info" xr:uid="{55CF5A51-1F1D-454E-AC9B-D88CF8D8DB10}"/>
    <hyperlink ref="L2052" r:id="rId1408" tooltip="https://learn.microsoft.com/azure/cloud-adoption-framework/ready/landing-zone/design-area/multi-tenant/considerations-recommendations" display="More info" xr:uid="{0BF4E050-55BD-4F16-AB67-DAE4653A3C90}"/>
    <hyperlink ref="L2053" r:id="rId1409" tooltip="https://learn.microsoft.com/azure/cloud-adoption-framework/ready/landing-zone/design-area/multi-tenant/considerations-recommendations" display="More info" xr:uid="{A1C738B5-5055-4F76-8A63-9DF6FE61B209}"/>
    <hyperlink ref="L2054" r:id="rId1410" tooltip="https://learn.microsoft.com/azure/cloud-adoption-framework/ready/landing-zone/design-area/multi-tenant/considerations-recommendations" display="More info" xr:uid="{9AFA73FE-64B1-4974-8CD6-1078719A74CA}"/>
    <hyperlink ref="L2055" r:id="rId1411" tooltip="https://learn.microsoft.com/azure/cloud-adoption-framework/ready/landing-zone/design-area/multi-tenant/considerations-recommendations" display="More info" xr:uid="{A0F17FC1-D22C-4340-A812-AA6B347EAEBE}"/>
    <hyperlink ref="L2056" r:id="rId1412" tooltip="https://learn.microsoft.com/azure/cloud-adoption-framework/ready/landing-zone/design-area/multi-tenant/considerations-recommendations" display="More info" xr:uid="{F781F2B5-8E2E-4ECC-A70D-256E23DBCF0F}"/>
    <hyperlink ref="L2057" r:id="rId1413" tooltip="https://learn.microsoft.com/azure/cloud-adoption-framework/ready/landing-zone/design-area/multi-tenant/considerations-recommendations" display="More info" xr:uid="{8535F4B3-E316-4EC6-9197-66F95A85A519}"/>
    <hyperlink ref="L2058" r:id="rId1414" tooltip="https://learn.microsoft.com/azure/cloud-adoption-framework/ready/landing-zone/design-area/multi-tenant/considerations-recommendations" display="More info" xr:uid="{82986C54-750D-4923-BCF3-2B94D93E9B3D}"/>
    <hyperlink ref="L2059" r:id="rId1415" tooltip="https://learn.microsoft.com/azure/cloud-adoption-framework/ready/landing-zone/design-area/multi-tenant/considerations-recommendations" display="More info" xr:uid="{0D479D39-6565-4E95-A4B2-1FE905D6C1DD}"/>
    <hyperlink ref="L2060" r:id="rId1416" tooltip="https://learn.microsoft.com/azure/cloud-adoption-framework/ready/landing-zone/design-area/multi-tenant/considerations-recommendations" display="More info" xr:uid="{E0363D94-0D26-4E11-9673-45E08D386B9B}"/>
    <hyperlink ref="L2061" r:id="rId1417" tooltip="https://learn.microsoft.com/azure/cloud-adoption-framework/ready/landing-zone/design-area/multi-tenant/considerations-recommendations" display="More info" xr:uid="{AA0E1DD6-840F-40A5-B63E-7C4893D72542}"/>
    <hyperlink ref="L2062" r:id="rId1418" tooltip="https://learn.microsoft.com/azure/cloud-adoption-framework/ready/landing-zone/design-area/multi-tenant/considerations-recommendations" display="More info" xr:uid="{06A73C18-AE7F-4C06-A985-CB64EF6A2CEC}"/>
    <hyperlink ref="L2063" r:id="rId1419" tooltip="https://learn.microsoft.com/azure/cloud-adoption-framework/ready/landing-zone/design-area/multi-tenant/considerations-recommendations" display="More info" xr:uid="{C8995D71-7DF2-437A-80D6-97CA4676C814}"/>
    <hyperlink ref="L2064" r:id="rId1420" tooltip="https://learn.microsoft.com/azure/cloud-adoption-framework/ready/landing-zone/design-area/multi-tenant/considerations-recommendations" display="More info" xr:uid="{3CB3C943-CF34-452B-9357-9CD596D4F43C}"/>
    <hyperlink ref="L2065" r:id="rId1421" tooltip="https://learn.microsoft.com/azure/cloud-adoption-framework/ready/landing-zone/design-area/multi-tenant/considerations-recommendations" display="More info" xr:uid="{4633A59D-264F-481E-B047-CA261F945308}"/>
    <hyperlink ref="L2066" r:id="rId1422" tooltip="https://learn.microsoft.com/azure/cloud-adoption-framework/ready/landing-zone/design-area/multi-tenant/considerations-recommendations" display="More info" xr:uid="{F0625D41-FE5C-4196-8407-A314814A8E7E}"/>
    <hyperlink ref="L2067" r:id="rId1423" tooltip="https://learn.microsoft.com/azure/cloud-adoption-framework/ready/landing-zone/design-area/multi-tenant/considerations-recommendations" display="More info" xr:uid="{D54D6106-F475-4411-A481-DABAAD4686D8}"/>
    <hyperlink ref="L2068" r:id="rId1424" tooltip="https://learn.microsoft.com/azure/cloud-adoption-framework/ready/landing-zone/design-area/multi-tenant/considerations-recommendations" display="More info" xr:uid="{45210487-FC8E-4AB1-B2D9-480C8B69316B}"/>
    <hyperlink ref="L2069" r:id="rId1425" tooltip="https://learn.microsoft.com/azure/cloud-adoption-framework/ready/landing-zone/design-area/multi-tenant/considerations-recommendations" display="More info" xr:uid="{DEF2614D-7AA6-4CD8-A4E3-77094F9D021B}"/>
    <hyperlink ref="L2070" r:id="rId1426" tooltip="https://learn.microsoft.com/azure/cloud-adoption-framework/ready/landing-zone/design-area/multi-tenant/considerations-recommendations" display="More info" xr:uid="{4901659B-D59D-4E0D-B42F-359DE089BE62}"/>
    <hyperlink ref="L2071" r:id="rId1427" tooltip="https://learn.microsoft.com/azure/cloud-adoption-framework/ready/landing-zone/design-area/multi-tenant/considerations-recommendations" display="More info" xr:uid="{D0820C44-EC5A-4F09-9F34-BB76606D9988}"/>
    <hyperlink ref="L2072" r:id="rId1428" tooltip="https://learn.microsoft.com/azure/cloud-adoption-framework/ready/landing-zone/design-area/multi-tenant/considerations-recommendations" display="More info" xr:uid="{585D76DD-47D9-4757-8DCF-A95528640E5E}"/>
    <hyperlink ref="L2073" r:id="rId1429" tooltip="https://learn.microsoft.com/azure/cloud-adoption-framework/ready/landing-zone/design-area/multi-tenant/considerations-recommendations" display="More info" xr:uid="{27477293-C941-4659-A2D9-3C3123D925A0}"/>
    <hyperlink ref="L2074" r:id="rId1430" tooltip="https://learn.microsoft.com/azure/cloud-adoption-framework/ready/landing-zone/design-area/multi-tenant/considerations-recommendations" display="More info" xr:uid="{CA7AD47C-7FE0-4F53-B139-4DC23F26593C}"/>
    <hyperlink ref="L2075" r:id="rId1431" tooltip="https://learn.microsoft.com/azure/cloud-adoption-framework/ready/landing-zone/design-area/multi-tenant/considerations-recommendations" display="More info" xr:uid="{1D70123C-75AF-4FA7-A3E6-647F228D9CAA}"/>
    <hyperlink ref="L2076" r:id="rId1432" tooltip="https://learn.microsoft.com/azure/cloud-adoption-framework/ready/landing-zone/design-area/multi-tenant/considerations-recommendations" display="More info" xr:uid="{7C342CB4-0580-49D7-B6B2-B539480FC5F5}"/>
    <hyperlink ref="L2077" r:id="rId1433" tooltip="https://learn.microsoft.com/azure/cloud-adoption-framework/ready/landing-zone/design-area/multi-tenant/considerations-recommendations" display="More info" xr:uid="{44DE3F46-4820-4F77-8B7D-675D3ED1473F}"/>
    <hyperlink ref="L2078" r:id="rId1434" tooltip="https://learn.microsoft.com/azure/cloud-adoption-framework/ready/landing-zone/design-area/multi-tenant/considerations-recommendations" display="More info" xr:uid="{2F9AA3C1-1B13-4799-9CED-384E4BCFEB84}"/>
    <hyperlink ref="L2079" r:id="rId1435" tooltip="https://learn.microsoft.com/azure/cloud-adoption-framework/ready/landing-zone/design-area/multi-tenant/considerations-recommendations" display="More info" xr:uid="{539A88ED-F492-4610-B909-EBC1F9782E2F}"/>
    <hyperlink ref="L2080" r:id="rId1436" tooltip="https://learn.microsoft.com/azure/cloud-adoption-framework/ready/landing-zone/design-area/multi-tenant/considerations-recommendations" display="More info" xr:uid="{1AB0A17F-1BF3-4082-BDFF-0A0C232338AB}"/>
    <hyperlink ref="L2081" r:id="rId1437" tooltip="https://learn.microsoft.com/azure/cloud-adoption-framework/ready/landing-zone/design-area/multi-tenant/considerations-recommendations" display="More info" xr:uid="{7CEAF54F-5A8C-4426-9E85-BB5005ACED12}"/>
    <hyperlink ref="L2082" r:id="rId1438" tooltip="https://learn.microsoft.com/azure/cloud-adoption-framework/ready/landing-zone/design-area/multi-tenant/considerations-recommendations" display="More info" xr:uid="{D4CBF18C-4DAB-4FFA-AE52-5D9EA2302F77}"/>
    <hyperlink ref="L2083" r:id="rId1439" tooltip="https://learn.microsoft.com/azure/cloud-adoption-framework/ready/landing-zone/design-area/multi-tenant/considerations-recommendations" display="More info" xr:uid="{40B92D4B-CC2C-4D7D-9923-4D0353F95D08}"/>
    <hyperlink ref="L2084" r:id="rId1440" tooltip="https://learn.microsoft.com/azure/cloud-adoption-framework/ready/landing-zone/design-area/multi-tenant/considerations-recommendations" display="More info" xr:uid="{F6E43E79-CB0F-4398-9103-751271E8E2D3}"/>
    <hyperlink ref="L2085" r:id="rId1441" tooltip="https://learn.microsoft.com/azure/cloud-adoption-framework/ready/landing-zone/design-area/multi-tenant/considerations-recommendations" display="More info" xr:uid="{82DE6B64-0DDD-4B16-BA24-74B86E2F7A72}"/>
    <hyperlink ref="L2086" r:id="rId1442" tooltip="https://learn.microsoft.com/azure/cloud-adoption-framework/ready/landing-zone/design-area/multi-tenant/considerations-recommendations" display="More info" xr:uid="{CDF9C314-70A0-4893-B62E-F00424576EEB}"/>
    <hyperlink ref="L2087" r:id="rId1443" tooltip="https://learn.microsoft.com/azure/cloud-adoption-framework/ready/landing-zone/design-area/multi-tenant/considerations-recommendations" display="More info" xr:uid="{5E19C614-AC03-4A88-9F8F-E302B648500F}"/>
    <hyperlink ref="L2088" r:id="rId1444" tooltip="https://learn.microsoft.com/azure/cloud-adoption-framework/ready/landing-zone/design-area/multi-tenant/considerations-recommendations" display="More info" xr:uid="{43FEB057-AA6E-4C76-A238-D0CE1025006B}"/>
    <hyperlink ref="L2089" r:id="rId1445" tooltip="https://learn.microsoft.com/azure/cloud-adoption-framework/ready/landing-zone/design-area/multi-tenant/considerations-recommendations" display="More info" xr:uid="{32B0ED4B-6BCA-47B7-A059-FCB888AD408D}"/>
    <hyperlink ref="L2090" r:id="rId1446" tooltip="https://learn.microsoft.com/azure/cloud-adoption-framework/ready/landing-zone/design-area/multi-tenant/considerations-recommendations" display="More info" xr:uid="{2869EA99-4247-47FC-8C71-11EB9513530E}"/>
    <hyperlink ref="L2091" r:id="rId1447" tooltip="https://learn.microsoft.com/azure/cloud-adoption-framework/ready/landing-zone/design-area/multi-tenant/considerations-recommendations" display="More info" xr:uid="{F8B3AC5B-424E-410B-BA7C-7EE150DAE9B9}"/>
    <hyperlink ref="L2092" r:id="rId1448" tooltip="https://learn.microsoft.com/azure/cloud-adoption-framework/ready/landing-zone/design-area/multi-tenant/considerations-recommendations" display="More info" xr:uid="{B182B211-739E-4423-8EC9-43B7AE0D3182}"/>
    <hyperlink ref="L2093" r:id="rId1449" tooltip="https://learn.microsoft.com/azure/cloud-adoption-framework/ready/landing-zone/design-area/multi-tenant/considerations-recommendations" display="More info" xr:uid="{8863A0AE-AB4C-4CF8-9609-7B94C90F0BE6}"/>
    <hyperlink ref="L2094" r:id="rId1450" tooltip="https://learn.microsoft.com/azure/cloud-adoption-framework/ready/landing-zone/design-area/multi-tenant/considerations-recommendations" display="More info" xr:uid="{EBCED8F4-A875-4F6F-978F-5374550B4736}"/>
    <hyperlink ref="L2095" r:id="rId1451" tooltip="https://learn.microsoft.com/azure/cloud-adoption-framework/ready/landing-zone/design-area/multi-tenant/considerations-recommendations" display="More info" xr:uid="{63092D59-F928-43FA-858E-8AED6C4D6055}"/>
    <hyperlink ref="L2096" r:id="rId1452" tooltip="https://learn.microsoft.com/azure/cloud-adoption-framework/ready/landing-zone/design-area/multi-tenant/considerations-recommendations" display="More info" xr:uid="{06C9C6AD-FA17-4B1A-A0DC-2DDE703E27F6}"/>
    <hyperlink ref="L2097" r:id="rId1453" tooltip="https://learn.microsoft.com/azure/cloud-adoption-framework/ready/landing-zone/design-area/multi-tenant/considerations-recommendations" display="More info" xr:uid="{94547657-B883-42AD-A1AD-5CBCFA0CDC16}"/>
    <hyperlink ref="L2098" r:id="rId1454" tooltip="https://learn.microsoft.com/azure/cloud-adoption-framework/ready/landing-zone/design-area/multi-tenant/considerations-recommendations" display="More info" xr:uid="{B8243B33-C541-45BA-9B9B-6B7E4DB470E7}"/>
    <hyperlink ref="L2099" r:id="rId1455" tooltip="https://learn.microsoft.com/azure/cloud-adoption-framework/ready/landing-zone/design-area/multi-tenant/considerations-recommendations" display="More info" xr:uid="{3CD263CC-AB4D-4C39-9EC7-0D7ED5681A72}"/>
    <hyperlink ref="L2100" r:id="rId1456" tooltip="https://learn.microsoft.com/azure/cloud-adoption-framework/ready/landing-zone/design-area/multi-tenant/considerations-recommendations" display="More info" xr:uid="{B9383D8F-53B4-48C2-9D1E-3B15BE22FAD9}"/>
    <hyperlink ref="L2101" r:id="rId1457" tooltip="https://learn.microsoft.com/azure/cloud-adoption-framework/ready/landing-zone/design-area/multi-tenant/considerations-recommendations" display="More info" xr:uid="{0464DF63-A228-4694-ADF1-7CA5936976A2}"/>
    <hyperlink ref="L2102" r:id="rId1458" tooltip="https://learn.microsoft.com/azure/cloud-adoption-framework/ready/landing-zone/design-area/multi-tenant/considerations-recommendations" display="More info" xr:uid="{25DD1FFF-DD91-4B86-B47A-B3510A62A2D5}"/>
    <hyperlink ref="L2103" r:id="rId1459" tooltip="https://learn.microsoft.com/azure/cloud-adoption-framework/ready/landing-zone/design-area/multi-tenant/considerations-recommendations" display="More info" xr:uid="{F12287F5-D46B-4665-846D-ECA482FE6238}"/>
    <hyperlink ref="L2104" r:id="rId1460" tooltip="https://learn.microsoft.com/azure/cloud-adoption-framework/ready/landing-zone/design-area/multi-tenant/considerations-recommendations" display="More info" xr:uid="{04D58600-69A2-4546-8600-5BF77DD5ECF4}"/>
    <hyperlink ref="L2105" r:id="rId1461" tooltip="https://learn.microsoft.com/azure/cloud-adoption-framework/ready/landing-zone/design-area/multi-tenant/considerations-recommendations" display="More info" xr:uid="{85413F72-A247-45FC-A63C-54737A7E38A2}"/>
    <hyperlink ref="L2106" r:id="rId1462" tooltip="https://learn.microsoft.com/azure/cloud-adoption-framework/ready/landing-zone/design-area/multi-tenant/considerations-recommendations" display="More info" xr:uid="{30581DA9-50C4-4A24-B442-FBA1354C0348}"/>
    <hyperlink ref="L2107" r:id="rId1463" tooltip="https://learn.microsoft.com/azure/cloud-adoption-framework/ready/landing-zone/design-area/multi-tenant/considerations-recommendations" display="More info" xr:uid="{516D0983-DFEB-4903-9D18-C3BE40B25A59}"/>
    <hyperlink ref="L2108" r:id="rId1464" tooltip="https://learn.microsoft.com/azure/cloud-adoption-framework/ready/landing-zone/design-area/multi-tenant/considerations-recommendations" display="More info" xr:uid="{C76059DC-F3B6-411E-B9FD-139044145FBB}"/>
    <hyperlink ref="L2109" r:id="rId1465" tooltip="https://learn.microsoft.com/azure/cloud-adoption-framework/ready/landing-zone/design-area/multi-tenant/considerations-recommendations" display="More info" xr:uid="{F01BA148-5D8C-4646-9F4F-3E0A580ACBA9}"/>
    <hyperlink ref="L2110" r:id="rId1466" tooltip="https://learn.microsoft.com/azure/cloud-adoption-framework/ready/landing-zone/design-area/multi-tenant/considerations-recommendations" display="More info" xr:uid="{8678A3CB-CC37-4AB9-9950-58C868EA8ADB}"/>
    <hyperlink ref="L2111" r:id="rId1467" tooltip="https://learn.microsoft.com/azure/cloud-adoption-framework/ready/landing-zone/design-area/multi-tenant/considerations-recommendations" display="More info" xr:uid="{4B614D09-EE0E-4551-BDA5-8A3922F8C3AD}"/>
    <hyperlink ref="L2112" r:id="rId1468" tooltip="https://learn.microsoft.com/azure/cloud-adoption-framework/ready/landing-zone/design-area/multi-tenant/considerations-recommendations" display="More info" xr:uid="{4E58DF2B-3429-4DB0-8CDC-C7FCE8860A92}"/>
    <hyperlink ref="L2113" r:id="rId1469" tooltip="https://learn.microsoft.com/azure/cloud-adoption-framework/ready/landing-zone/design-area/multi-tenant/considerations-recommendations" display="More info" xr:uid="{01E07EAE-019E-4995-B603-D2B4F1AA1ED8}"/>
    <hyperlink ref="L2114" r:id="rId1470" tooltip="https://learn.microsoft.com/azure/cloud-adoption-framework/ready/landing-zone/design-area/multi-tenant/considerations-recommendations" display="More info" xr:uid="{AD621A48-14E7-42ED-885B-A9052DBC01EF}"/>
    <hyperlink ref="L2115" r:id="rId1471" tooltip="https://learn.microsoft.com/azure/cloud-adoption-framework/ready/landing-zone/design-area/multi-tenant/considerations-recommendations" display="More info" xr:uid="{FDDCEC15-FA17-4398-BDA3-8CE651B8CBBC}"/>
    <hyperlink ref="L2116" r:id="rId1472" tooltip="https://learn.microsoft.com/azure/cloud-adoption-framework/ready/landing-zone/design-area/multi-tenant/considerations-recommendations" display="More info" xr:uid="{61CDEAA0-687C-4565-B70F-ED2B0C950128}"/>
    <hyperlink ref="L2117" r:id="rId1473" tooltip="https://learn.microsoft.com/azure/cloud-adoption-framework/ready/landing-zone/design-area/multi-tenant/considerations-recommendations" display="More info" xr:uid="{E4D9334A-FA4C-4650-ACD0-6120E6DE7BCC}"/>
    <hyperlink ref="L2118" r:id="rId1474" tooltip="https://learn.microsoft.com/azure/cloud-adoption-framework/ready/landing-zone/design-area/multi-tenant/considerations-recommendations" display="More info" xr:uid="{E6893C3D-F9B1-4A7A-A14D-9B38EFECFFE0}"/>
    <hyperlink ref="L2119" r:id="rId1475" tooltip="https://learn.microsoft.com/azure/cloud-adoption-framework/ready/landing-zone/design-area/multi-tenant/considerations-recommendations" display="More info" xr:uid="{768B7325-EE0E-47AC-8E67-6966EDA48C7A}"/>
    <hyperlink ref="L2120" r:id="rId1476" tooltip="https://learn.microsoft.com/azure/cloud-adoption-framework/ready/landing-zone/design-area/multi-tenant/considerations-recommendations" display="More info" xr:uid="{25E7971D-8EB5-452F-A959-E126D7151176}"/>
    <hyperlink ref="L2121" r:id="rId1477" tooltip="https://learn.microsoft.com/azure/cloud-adoption-framework/ready/landing-zone/design-area/multi-tenant/considerations-recommendations" display="More info" xr:uid="{4448D678-CFED-470A-AA41-71D324FB8DF5}"/>
    <hyperlink ref="L2122" r:id="rId1478" tooltip="https://learn.microsoft.com/azure/cloud-adoption-framework/ready/landing-zone/design-area/multi-tenant/considerations-recommendations" display="More info" xr:uid="{6BFD2BEA-3E9B-42F3-945E-24332F8E9388}"/>
    <hyperlink ref="L2123" r:id="rId1479" tooltip="https://learn.microsoft.com/azure/cloud-adoption-framework/ready/landing-zone/design-area/multi-tenant/considerations-recommendations" display="More info" xr:uid="{E7AD4E99-C5C5-4339-AEFB-12CEBD6B81BA}"/>
    <hyperlink ref="L2124" r:id="rId1480" tooltip="https://learn.microsoft.com/azure/cloud-adoption-framework/ready/landing-zone/design-area/multi-tenant/considerations-recommendations" display="More info" xr:uid="{247BAACF-2097-43B6-8472-E8ECDF0612FA}"/>
    <hyperlink ref="L2125" r:id="rId1481" tooltip="https://learn.microsoft.com/azure/cloud-adoption-framework/ready/landing-zone/design-area/multi-tenant/considerations-recommendations" display="More info" xr:uid="{4CCD77DF-51E2-4C7B-A47E-82BBAEE91D7D}"/>
    <hyperlink ref="L2126" r:id="rId1482" tooltip="https://learn.microsoft.com/azure/cloud-adoption-framework/ready/landing-zone/design-area/multi-tenant/considerations-recommendations" display="More info" xr:uid="{E9AB15E3-59B0-4A70-A8FE-239B96A384CA}"/>
    <hyperlink ref="L2127" r:id="rId1483" tooltip="https://learn.microsoft.com/azure/cloud-adoption-framework/ready/landing-zone/design-area/multi-tenant/considerations-recommendations" display="More info" xr:uid="{80A33274-2105-42C3-AB60-ADE2BFF274A2}"/>
    <hyperlink ref="L2128" r:id="rId1484" tooltip="https://learn.microsoft.com/azure/cloud-adoption-framework/ready/landing-zone/design-area/multi-tenant/considerations-recommendations" display="More info" xr:uid="{6A47932C-8A1F-4F5A-B6C3-8FD390745C36}"/>
    <hyperlink ref="L2129" r:id="rId1485" tooltip="https://learn.microsoft.com/azure/cloud-adoption-framework/ready/landing-zone/design-area/multi-tenant/considerations-recommendations" display="More info" xr:uid="{A5149328-9266-4617-AFA7-4531526C89D8}"/>
    <hyperlink ref="L2130" r:id="rId1486" tooltip="https://learn.microsoft.com/azure/cloud-adoption-framework/ready/landing-zone/design-area/multi-tenant/considerations-recommendations" display="More info" xr:uid="{987AD17C-D8A6-4492-9329-7D167715540F}"/>
    <hyperlink ref="L2131" r:id="rId1487" tooltip="https://learn.microsoft.com/azure/cloud-adoption-framework/ready/landing-zone/design-area/multi-tenant/considerations-recommendations" display="More info" xr:uid="{E6503CED-48FA-4447-8A0E-EF95CE2CCC00}"/>
    <hyperlink ref="L2132" r:id="rId1488" tooltip="https://learn.microsoft.com/azure/cloud-adoption-framework/ready/landing-zone/design-area/multi-tenant/considerations-recommendations" display="More info" xr:uid="{3FE5D54E-BAAB-4BE0-996E-5C57D268CB4D}"/>
    <hyperlink ref="L2133" r:id="rId1489" tooltip="https://learn.microsoft.com/azure/cloud-adoption-framework/ready/landing-zone/design-area/multi-tenant/considerations-recommendations" display="More info" xr:uid="{6E5516A9-2ADB-4805-964D-7A311A4083BC}"/>
    <hyperlink ref="L2134" r:id="rId1490" tooltip="https://learn.microsoft.com/azure/cloud-adoption-framework/ready/landing-zone/design-area/multi-tenant/considerations-recommendations" display="More info" xr:uid="{B9B0FAE9-BC1D-4B8E-A772-F8A42BEFE84B}"/>
    <hyperlink ref="L2135" r:id="rId1491" tooltip="https://learn.microsoft.com/azure/cloud-adoption-framework/ready/landing-zone/design-area/multi-tenant/considerations-recommendations" display="More info" xr:uid="{6C0932B4-0F43-4305-93BF-6ECE9C284DCA}"/>
    <hyperlink ref="L2136" r:id="rId1492" tooltip="https://learn.microsoft.com/azure/cloud-adoption-framework/ready/landing-zone/design-area/multi-tenant/considerations-recommendations" display="More info" xr:uid="{C2FB4E29-BECD-497E-95E1-DD1C67A3F882}"/>
    <hyperlink ref="L2137" r:id="rId1493" tooltip="https://learn.microsoft.com/azure/cloud-adoption-framework/ready/landing-zone/design-area/multi-tenant/considerations-recommendations" display="More info" xr:uid="{DD3E50EE-AA4B-48B7-BA99-26849A78D2D1}"/>
    <hyperlink ref="L2138" r:id="rId1494" tooltip="https://learn.microsoft.com/azure/cloud-adoption-framework/ready/landing-zone/design-area/multi-tenant/considerations-recommendations" display="More info" xr:uid="{D4C3A0C6-A333-47D2-ACFE-CD0B60AFF214}"/>
    <hyperlink ref="L2139" r:id="rId1495" tooltip="https://learn.microsoft.com/azure/cloud-adoption-framework/ready/landing-zone/design-area/multi-tenant/considerations-recommendations" display="More info" xr:uid="{60744AA7-2511-4D5C-9640-5662D2D02872}"/>
    <hyperlink ref="L2140" r:id="rId1496" tooltip="https://learn.microsoft.com/azure/cloud-adoption-framework/ready/landing-zone/design-area/multi-tenant/considerations-recommendations" display="More info" xr:uid="{839E7C3D-D0B1-4341-A366-5C0804BD4F49}"/>
    <hyperlink ref="L2141" r:id="rId1497" tooltip="https://learn.microsoft.com/azure/cloud-adoption-framework/ready/landing-zone/design-area/multi-tenant/considerations-recommendations" display="More info" xr:uid="{F654BED6-D644-4328-B611-837D48D39E49}"/>
    <hyperlink ref="L2142" r:id="rId1498" tooltip="https://learn.microsoft.com/azure/cloud-adoption-framework/ready/landing-zone/design-area/multi-tenant/considerations-recommendations" display="More info" xr:uid="{FE077DD1-A5B3-421B-968D-C57428D9C021}"/>
    <hyperlink ref="L2143" r:id="rId1499" tooltip="https://learn.microsoft.com/azure/cloud-adoption-framework/ready/landing-zone/design-area/multi-tenant/considerations-recommendations" display="More info" xr:uid="{83AFB49A-06DC-4CA8-B577-0F3E3B5E3B44}"/>
    <hyperlink ref="L2144" r:id="rId1500" tooltip="https://learn.microsoft.com/azure/cloud-adoption-framework/ready/landing-zone/design-area/multi-tenant/considerations-recommendations" display="More info" xr:uid="{46E20901-6CF8-41E8-A56C-F55F12F43BA3}"/>
    <hyperlink ref="L2145" r:id="rId1501" tooltip="https://learn.microsoft.com/azure/cloud-adoption-framework/ready/landing-zone/design-area/multi-tenant/considerations-recommendations" display="More info" xr:uid="{340FC9CD-E463-40DF-8EDA-6D59676DD6E5}"/>
    <hyperlink ref="L2146" r:id="rId1502" tooltip="https://learn.microsoft.com/azure/cloud-adoption-framework/ready/landing-zone/design-area/multi-tenant/considerations-recommendations" display="More info" xr:uid="{A99C27DD-63E8-48C4-8A09-8F243D957C75}"/>
    <hyperlink ref="L2147" r:id="rId1503" tooltip="https://learn.microsoft.com/azure/cloud-adoption-framework/ready/landing-zone/design-area/multi-tenant/considerations-recommendations" display="More info" xr:uid="{E3530369-34C9-43F9-B331-372B62DF6881}"/>
    <hyperlink ref="L2148" r:id="rId1504" tooltip="https://learn.microsoft.com/azure/cloud-adoption-framework/ready/landing-zone/design-area/multi-tenant/considerations-recommendations" display="More info" xr:uid="{D59760C6-01CE-4B42-95D4-8E10CB0B17D1}"/>
    <hyperlink ref="L2149" r:id="rId1505" tooltip="https://learn.microsoft.com/azure/cloud-adoption-framework/ready/landing-zone/design-area/multi-tenant/considerations-recommendations" display="More info" xr:uid="{C9539392-11E9-4BD8-BEAA-E1E2153B5B28}"/>
    <hyperlink ref="L2150" r:id="rId1506" tooltip="https://learn.microsoft.com/azure/cloud-adoption-framework/ready/landing-zone/design-area/multi-tenant/considerations-recommendations" display="More info" xr:uid="{9E4D9B48-CE21-45B1-80DB-03DD8F1EA7D4}"/>
    <hyperlink ref="L2151" r:id="rId1507" tooltip="https://learn.microsoft.com/azure/cloud-adoption-framework/ready/landing-zone/design-area/multi-tenant/considerations-recommendations" display="More info" xr:uid="{FF3ED3CA-E6AF-4417-9AC3-C214143E1261}"/>
    <hyperlink ref="L2152" r:id="rId1508" tooltip="https://learn.microsoft.com/azure/cloud-adoption-framework/ready/landing-zone/design-area/multi-tenant/considerations-recommendations" display="More info" xr:uid="{5B1CFB6F-21C1-4CA4-B26E-BFCD6E104FB0}"/>
    <hyperlink ref="L2153" r:id="rId1509" tooltip="https://learn.microsoft.com/azure/cloud-adoption-framework/ready/landing-zone/design-area/multi-tenant/considerations-recommendations" display="More info" xr:uid="{3F19A043-9C1D-446A-B13E-58CAA7402162}"/>
    <hyperlink ref="L2154" r:id="rId1510" tooltip="https://learn.microsoft.com/azure/cloud-adoption-framework/ready/landing-zone/design-area/multi-tenant/considerations-recommendations" display="More info" xr:uid="{63E1DAB7-51F6-404E-B47E-342F01691C22}"/>
    <hyperlink ref="L2155" r:id="rId1511" tooltip="https://learn.microsoft.com/azure/cloud-adoption-framework/ready/landing-zone/design-area/multi-tenant/considerations-recommendations" display="More info" xr:uid="{66C9C540-5878-4C19-BDE3-1382B88DB143}"/>
    <hyperlink ref="L2156" r:id="rId1512" tooltip="https://learn.microsoft.com/azure/cloud-adoption-framework/ready/landing-zone/design-area/multi-tenant/considerations-recommendations" display="More info" xr:uid="{A77F4BF6-33A8-4F04-BDED-1777CCD30267}"/>
    <hyperlink ref="L2157" r:id="rId1513" tooltip="https://learn.microsoft.com/azure/cloud-adoption-framework/ready/landing-zone/design-area/multi-tenant/considerations-recommendations" display="More info" xr:uid="{A563A289-3CC9-46B2-ACCB-7C4292876291}"/>
    <hyperlink ref="L2158" r:id="rId1514" tooltip="https://learn.microsoft.com/azure/cloud-adoption-framework/ready/landing-zone/design-area/multi-tenant/considerations-recommendations" display="More info" xr:uid="{F9FF338A-40AF-4296-BC0F-A0E176B81936}"/>
    <hyperlink ref="L2159" r:id="rId1515" tooltip="https://learn.microsoft.com/azure/cloud-adoption-framework/ready/landing-zone/design-area/multi-tenant/considerations-recommendations" display="More info" xr:uid="{B6492745-1F1C-47E8-BBF9-956CC7E117C8}"/>
    <hyperlink ref="L2160" r:id="rId1516" tooltip="https://learn.microsoft.com/azure/cloud-adoption-framework/ready/landing-zone/design-area/multi-tenant/considerations-recommendations" display="More info" xr:uid="{B4E6BD25-7384-4400-B499-656943C4F14B}"/>
    <hyperlink ref="L2161" r:id="rId1517" tooltip="https://learn.microsoft.com/azure/cloud-adoption-framework/ready/landing-zone/design-area/multi-tenant/considerations-recommendations" display="More info" xr:uid="{F520AE9F-B397-41E4-80F6-451A63D62897}"/>
    <hyperlink ref="L2162" r:id="rId1518" tooltip="https://learn.microsoft.com/azure/cloud-adoption-framework/ready/landing-zone/design-area/multi-tenant/considerations-recommendations" display="More info" xr:uid="{16C84691-6FE3-415C-AEBF-A061A14DF0DB}"/>
    <hyperlink ref="L2163" r:id="rId1519" tooltip="https://learn.microsoft.com/azure/cloud-adoption-framework/ready/landing-zone/design-area/multi-tenant/considerations-recommendations" display="More info" xr:uid="{AD320BB2-7EC1-4B7E-BA95-59D4F7BC4791}"/>
    <hyperlink ref="L2164" r:id="rId1520" tooltip="https://learn.microsoft.com/azure/cloud-adoption-framework/ready/landing-zone/design-area/multi-tenant/considerations-recommendations" display="More info" xr:uid="{6A1E8CE4-3ED3-42C9-BB45-D7C10E04681B}"/>
    <hyperlink ref="L2165" r:id="rId1521" tooltip="https://learn.microsoft.com/azure/cloud-adoption-framework/ready/landing-zone/design-area/multi-tenant/considerations-recommendations" display="More info" xr:uid="{0E7CC201-D874-4BF7-ACA1-C44ACD3FAEEE}"/>
    <hyperlink ref="L2166" r:id="rId1522" tooltip="https://learn.microsoft.com/azure/cloud-adoption-framework/ready/landing-zone/design-area/multi-tenant/considerations-recommendations" display="More info" xr:uid="{615FBC05-73A1-463A-860D-7B7FE8E38FAA}"/>
    <hyperlink ref="L2167" r:id="rId1523" tooltip="https://learn.microsoft.com/azure/cloud-adoption-framework/ready/landing-zone/design-area/multi-tenant/considerations-recommendations" display="More info" xr:uid="{A25C6A8F-65D4-4878-BE12-1A0EA981C6B2}"/>
    <hyperlink ref="L2168" r:id="rId1524" tooltip="https://learn.microsoft.com/azure/cloud-adoption-framework/ready/landing-zone/design-area/multi-tenant/considerations-recommendations" display="More info" xr:uid="{03323441-A8DA-4653-A189-8FEB639DD603}"/>
    <hyperlink ref="L2169" r:id="rId1525" tooltip="https://learn.microsoft.com/azure/cloud-adoption-framework/ready/landing-zone/design-area/multi-tenant/considerations-recommendations" display="More info" xr:uid="{DBDB9F24-F826-4714-B493-F3A3577737DD}"/>
    <hyperlink ref="L2170" r:id="rId1526" tooltip="https://learn.microsoft.com/azure/cloud-adoption-framework/ready/landing-zone/design-area/multi-tenant/considerations-recommendations" display="More info" xr:uid="{5F941157-7E79-47A7-B4A6-3B02299BBAFF}"/>
    <hyperlink ref="L2171" r:id="rId1527" tooltip="https://learn.microsoft.com/azure/cloud-adoption-framework/ready/landing-zone/design-area/multi-tenant/considerations-recommendations" display="More info" xr:uid="{31015069-003F-4438-B2CF-87B682DC384C}"/>
    <hyperlink ref="L2172" r:id="rId1528" tooltip="https://learn.microsoft.com/azure/cloud-adoption-framework/ready/landing-zone/design-area/multi-tenant/considerations-recommendations" display="More info" xr:uid="{22A26201-6119-403E-8DEC-642BB85D43B1}"/>
    <hyperlink ref="L2173" r:id="rId1529" tooltip="https://learn.microsoft.com/azure/cloud-adoption-framework/ready/landing-zone/design-area/multi-tenant/considerations-recommendations" display="More info" xr:uid="{D0030183-C25A-4E6E-8FB5-3F723D166E0A}"/>
    <hyperlink ref="L2174" r:id="rId1530" tooltip="https://learn.microsoft.com/azure/cloud-adoption-framework/ready/landing-zone/design-area/multi-tenant/considerations-recommendations" display="More info" xr:uid="{25103C91-E55C-444B-A4CB-ED5909FAB295}"/>
    <hyperlink ref="L2175" r:id="rId1531" tooltip="https://learn.microsoft.com/azure/cloud-adoption-framework/ready/landing-zone/design-area/multi-tenant/considerations-recommendations" display="More info" xr:uid="{F0456D58-DA55-4485-B2FA-E611D5A5E654}"/>
    <hyperlink ref="L2176" r:id="rId1532" tooltip="https://learn.microsoft.com/azure/cloud-adoption-framework/ready/landing-zone/design-area/multi-tenant/considerations-recommendations" display="More info" xr:uid="{494E7BF9-01E7-4041-A797-63386F95E3DD}"/>
    <hyperlink ref="L2177" r:id="rId1533" tooltip="https://learn.microsoft.com/azure/cloud-adoption-framework/ready/landing-zone/design-area/multi-tenant/considerations-recommendations" display="More info" xr:uid="{0F75F65A-D1DC-4470-A278-C591320EDB2C}"/>
    <hyperlink ref="L2178" r:id="rId1534" tooltip="https://learn.microsoft.com/azure/cloud-adoption-framework/ready/landing-zone/design-area/multi-tenant/considerations-recommendations" display="More info" xr:uid="{D29C61A7-0304-4E70-908B-990057BFA22B}"/>
    <hyperlink ref="L2179" r:id="rId1535" tooltip="https://learn.microsoft.com/azure/cloud-adoption-framework/ready/landing-zone/design-area/multi-tenant/considerations-recommendations" display="More info" xr:uid="{5ED464D3-62FD-42C9-8042-22BAB69F11B0}"/>
    <hyperlink ref="L2180" r:id="rId1536" tooltip="https://learn.microsoft.com/azure/cloud-adoption-framework/ready/landing-zone/design-area/multi-tenant/considerations-recommendations" display="More info" xr:uid="{2D0F56A8-91E0-4A73-BE4E-14E700C6E2F6}"/>
    <hyperlink ref="L2181" r:id="rId1537" tooltip="https://learn.microsoft.com/azure/cloud-adoption-framework/ready/landing-zone/design-area/multi-tenant/considerations-recommendations" display="More info" xr:uid="{92589C73-D160-4AC4-BED2-654214F61ED9}"/>
    <hyperlink ref="L2182" r:id="rId1538" tooltip="https://learn.microsoft.com/azure/cloud-adoption-framework/ready/landing-zone/design-area/multi-tenant/considerations-recommendations" display="More info" xr:uid="{6A632D57-E52D-404A-BD7E-DF18548D1170}"/>
    <hyperlink ref="L2183" r:id="rId1539" tooltip="https://learn.microsoft.com/azure/cloud-adoption-framework/ready/landing-zone/design-area/multi-tenant/considerations-recommendations" display="More info" xr:uid="{31C5FE12-6446-4A2B-80E4-0083FF7656EC}"/>
    <hyperlink ref="L2184" r:id="rId1540" tooltip="https://learn.microsoft.com/azure/cloud-adoption-framework/ready/landing-zone/design-area/multi-tenant/considerations-recommendations" display="More info" xr:uid="{780B24B5-31BD-4BCC-B98E-84B211F5B37C}"/>
    <hyperlink ref="L2185" r:id="rId1541" tooltip="https://learn.microsoft.com/azure/cloud-adoption-framework/ready/landing-zone/design-area/multi-tenant/considerations-recommendations" display="More info" xr:uid="{59414A84-F6BE-44AE-A3D1-4EDE948B4F7D}"/>
    <hyperlink ref="L2186" r:id="rId1542" tooltip="https://learn.microsoft.com/azure/cloud-adoption-framework/ready/landing-zone/design-area/multi-tenant/considerations-recommendations" display="More info" xr:uid="{95154AC3-9274-4B77-980C-C321BD91943A}"/>
    <hyperlink ref="L2187" r:id="rId1543" tooltip="https://learn.microsoft.com/azure/cloud-adoption-framework/ready/landing-zone/design-area/multi-tenant/considerations-recommendations" display="More info" xr:uid="{9DA13D3D-95C6-465B-A832-D91E84F21927}"/>
    <hyperlink ref="L2188" r:id="rId1544" tooltip="https://learn.microsoft.com/azure/cloud-adoption-framework/ready/landing-zone/design-area/multi-tenant/considerations-recommendations" display="More info" xr:uid="{62DD65F7-9790-43DD-ACA1-C2CA0B6D5EFE}"/>
    <hyperlink ref="L2189" r:id="rId1545" tooltip="https://learn.microsoft.com/azure/cloud-adoption-framework/ready/landing-zone/design-area/multi-tenant/considerations-recommendations" display="More info" xr:uid="{9EDE77A8-BE28-43FB-8796-80F3031E2892}"/>
    <hyperlink ref="L2190" r:id="rId1546" tooltip="https://learn.microsoft.com/azure/cloud-adoption-framework/ready/landing-zone/design-area/multi-tenant/considerations-recommendations" display="More info" xr:uid="{41DEFF0E-14E6-4923-B1B4-C697FBA88B18}"/>
    <hyperlink ref="L2191" r:id="rId1547" tooltip="https://learn.microsoft.com/azure/cloud-adoption-framework/ready/landing-zone/design-area/multi-tenant/considerations-recommendations" display="More info" xr:uid="{B5D811A1-0B79-468E-BE4F-3E9A8D514FCA}"/>
    <hyperlink ref="L2192" r:id="rId1548" tooltip="https://learn.microsoft.com/azure/cloud-adoption-framework/ready/landing-zone/design-area/multi-tenant/considerations-recommendations" display="More info" xr:uid="{58A1CBE0-5B9C-449A-8FDB-59D3EBD75855}"/>
    <hyperlink ref="L2193" r:id="rId1549" tooltip="https://learn.microsoft.com/azure/cloud-adoption-framework/ready/landing-zone/design-area/multi-tenant/considerations-recommendations" display="More info" xr:uid="{75844702-9F6D-448E-B767-51B662F21180}"/>
    <hyperlink ref="L2194" r:id="rId1550" tooltip="https://learn.microsoft.com/azure/cloud-adoption-framework/ready/landing-zone/design-area/multi-tenant/considerations-recommendations" display="More info" xr:uid="{8A5723D9-E3A6-4347-96FF-3971FF85E899}"/>
    <hyperlink ref="L2195" r:id="rId1551" tooltip="https://learn.microsoft.com/azure/cloud-adoption-framework/ready/landing-zone/design-area/multi-tenant/considerations-recommendations" display="More info" xr:uid="{239904F8-0F69-4B10-A1D4-09F9F3A18D2C}"/>
    <hyperlink ref="L2196" r:id="rId1552" tooltip="https://learn.microsoft.com/azure/cloud-adoption-framework/ready/landing-zone/design-area/multi-tenant/considerations-recommendations" display="More info" xr:uid="{A5AA0414-D9D2-4EE4-AE88-6631926AA90C}"/>
    <hyperlink ref="L2197" r:id="rId1553" tooltip="https://learn.microsoft.com/azure/cloud-adoption-framework/ready/landing-zone/design-area/multi-tenant/considerations-recommendations" display="More info" xr:uid="{50A73175-052A-4D26-B736-5254E54839EF}"/>
    <hyperlink ref="L2198" r:id="rId1554" tooltip="https://learn.microsoft.com/azure/cloud-adoption-framework/ready/landing-zone/design-area/multi-tenant/considerations-recommendations" display="More info" xr:uid="{00CDFBE0-E20A-4D34-B70D-746C7E538778}"/>
    <hyperlink ref="L2199" r:id="rId1555" tooltip="https://learn.microsoft.com/azure/cloud-adoption-framework/ready/landing-zone/design-area/multi-tenant/considerations-recommendations" display="More info" xr:uid="{3A48BAAE-E174-4F2E-81E2-74FCEE813221}"/>
    <hyperlink ref="L2200" r:id="rId1556" tooltip="https://learn.microsoft.com/azure/cloud-adoption-framework/ready/landing-zone/design-area/multi-tenant/considerations-recommendations" display="More info" xr:uid="{E645578A-B260-4ECD-9A45-5CDE72F62E95}"/>
    <hyperlink ref="L2201" r:id="rId1557" tooltip="https://learn.microsoft.com/azure/cloud-adoption-framework/ready/landing-zone/design-area/multi-tenant/considerations-recommendations" display="More info" xr:uid="{3F994CE6-B17C-4177-A848-576895D2DBED}"/>
    <hyperlink ref="L2202" r:id="rId1558" tooltip="https://learn.microsoft.com/azure/cloud-adoption-framework/ready/landing-zone/design-area/multi-tenant/considerations-recommendations" display="More info" xr:uid="{1B2D1643-2E03-49C1-8D19-FAC75A6C1CF9}"/>
    <hyperlink ref="L2203" r:id="rId1559" tooltip="https://learn.microsoft.com/azure/cloud-adoption-framework/ready/landing-zone/design-area/multi-tenant/considerations-recommendations" display="More info" xr:uid="{31EE588D-8233-4CB8-95AE-9DA7BDBB72C1}"/>
    <hyperlink ref="L2204" r:id="rId1560" tooltip="https://learn.microsoft.com/azure/cloud-adoption-framework/ready/landing-zone/design-area/multi-tenant/considerations-recommendations" display="More info" xr:uid="{8AB63EC9-9A77-4E3A-B634-29A07A96E774}"/>
    <hyperlink ref="L2205" r:id="rId1561" tooltip="https://learn.microsoft.com/azure/cloud-adoption-framework/ready/landing-zone/design-area/multi-tenant/considerations-recommendations" display="More info" xr:uid="{571A93B1-D866-4927-B4A8-29B943E82B44}"/>
    <hyperlink ref="L2206" r:id="rId1562" tooltip="https://learn.microsoft.com/azure/cloud-adoption-framework/ready/landing-zone/design-area/multi-tenant/considerations-recommendations" display="More info" xr:uid="{56A11AB7-AEB9-4872-8232-3555A91D8297}"/>
    <hyperlink ref="L2207" r:id="rId1563" tooltip="https://learn.microsoft.com/azure/cloud-adoption-framework/ready/landing-zone/design-area/multi-tenant/considerations-recommendations" display="More info" xr:uid="{B9830E6F-B8D6-43C5-9F55-F015DBA7D06A}"/>
    <hyperlink ref="L2208" r:id="rId1564" tooltip="https://learn.microsoft.com/azure/cloud-adoption-framework/ready/landing-zone/design-area/multi-tenant/considerations-recommendations" display="More info" xr:uid="{BF15ABDE-1EBF-4348-AA66-CBF4E15C7448}"/>
    <hyperlink ref="L2209" r:id="rId1565" tooltip="https://learn.microsoft.com/azure/cloud-adoption-framework/ready/landing-zone/design-area/multi-tenant/considerations-recommendations" display="More info" xr:uid="{DCC9D19B-D6E9-4180-8C6C-141436380013}"/>
    <hyperlink ref="L2210" r:id="rId1566" tooltip="https://learn.microsoft.com/azure/cloud-adoption-framework/ready/landing-zone/design-area/multi-tenant/considerations-recommendations" display="More info" xr:uid="{A96332C9-7039-4409-ABBE-A303A901B804}"/>
    <hyperlink ref="L2211" r:id="rId1567" tooltip="https://learn.microsoft.com/azure/cloud-adoption-framework/ready/landing-zone/design-area/multi-tenant/considerations-recommendations" display="More info" xr:uid="{EB40F3F5-2519-4E7D-BA2C-BB337865E4CC}"/>
    <hyperlink ref="L2212" r:id="rId1568" tooltip="https://learn.microsoft.com/azure/cloud-adoption-framework/ready/landing-zone/design-area/multi-tenant/considerations-recommendations" display="More info" xr:uid="{3EC07745-AB2E-4777-A3C7-00F05D035E0C}"/>
    <hyperlink ref="L2213" r:id="rId1569" tooltip="https://learn.microsoft.com/azure/cloud-adoption-framework/ready/landing-zone/design-area/multi-tenant/considerations-recommendations" display="More info" xr:uid="{B9FCAC12-5C0A-406E-A561-90387DED341B}"/>
    <hyperlink ref="L2214" r:id="rId1570" tooltip="https://learn.microsoft.com/azure/cloud-adoption-framework/ready/landing-zone/design-area/multi-tenant/considerations-recommendations" display="More info" xr:uid="{EB08EBA6-99E0-45AD-B833-6919F0C4D229}"/>
    <hyperlink ref="L2215" r:id="rId1571" tooltip="https://learn.microsoft.com/azure/cloud-adoption-framework/ready/landing-zone/design-area/multi-tenant/considerations-recommendations" display="More info" xr:uid="{6C3707E9-E760-40A9-BC19-F1DB331D9084}"/>
    <hyperlink ref="L2216" r:id="rId1572" tooltip="https://learn.microsoft.com/azure/cloud-adoption-framework/ready/landing-zone/design-area/multi-tenant/considerations-recommendations" display="More info" xr:uid="{5C0082B3-3888-47F4-A1FC-EDA079B04D98}"/>
    <hyperlink ref="L2217" r:id="rId1573" tooltip="https://learn.microsoft.com/azure/cloud-adoption-framework/ready/landing-zone/design-area/multi-tenant/considerations-recommendations" display="More info" xr:uid="{CC5E5780-C309-44DC-B780-DA57133C5171}"/>
    <hyperlink ref="L2218" r:id="rId1574" tooltip="https://learn.microsoft.com/azure/cloud-adoption-framework/ready/landing-zone/design-area/multi-tenant/considerations-recommendations" display="More info" xr:uid="{ECF1B042-B76A-4528-B8BF-C311F31EF3B8}"/>
    <hyperlink ref="L2219" r:id="rId1575" tooltip="https://learn.microsoft.com/azure/cloud-adoption-framework/ready/landing-zone/design-area/multi-tenant/considerations-recommendations" display="More info" xr:uid="{C233C9BF-39DF-4E6E-BE0A-CFE18AC6FBC0}"/>
    <hyperlink ref="L2220" r:id="rId1576" tooltip="https://learn.microsoft.com/azure/cloud-adoption-framework/ready/landing-zone/design-area/multi-tenant/considerations-recommendations" display="More info" xr:uid="{5AD18255-515C-4319-91E0-4AA844400708}"/>
    <hyperlink ref="L2221" r:id="rId1577" tooltip="https://learn.microsoft.com/azure/cloud-adoption-framework/ready/landing-zone/design-area/multi-tenant/considerations-recommendations" display="More info" xr:uid="{F7924E39-1E86-4755-9BA0-903F12E3220E}"/>
    <hyperlink ref="L2222" r:id="rId1578" tooltip="https://learn.microsoft.com/azure/cloud-adoption-framework/ready/landing-zone/design-area/multi-tenant/considerations-recommendations" display="More info" xr:uid="{B10B8B4B-5DE7-4AC5-8B48-4919F37EDA31}"/>
    <hyperlink ref="L2223" r:id="rId1579" tooltip="https://learn.microsoft.com/azure/cloud-adoption-framework/ready/landing-zone/design-area/multi-tenant/considerations-recommendations" display="More info" xr:uid="{EEAF43C2-E8C2-476C-AFCA-7BC13846E0FE}"/>
    <hyperlink ref="L2224" r:id="rId1580" tooltip="https://learn.microsoft.com/azure/cloud-adoption-framework/ready/landing-zone/design-area/multi-tenant/considerations-recommendations" display="More info" xr:uid="{435DEFAA-BD7C-4DC8-8A69-12404E9D7C6E}"/>
    <hyperlink ref="L2225" r:id="rId1581" tooltip="https://learn.microsoft.com/azure/cloud-adoption-framework/ready/landing-zone/design-area/multi-tenant/considerations-recommendations" display="More info" xr:uid="{4ABB22BB-0B79-44A7-A88F-3E0363C29C28}"/>
    <hyperlink ref="L2226" r:id="rId1582" tooltip="https://learn.microsoft.com/azure/cloud-adoption-framework/ready/landing-zone/design-area/multi-tenant/considerations-recommendations" display="More info" xr:uid="{67AC3048-E5B3-4C1B-9C54-05AF7C188077}"/>
    <hyperlink ref="L2227" r:id="rId1583" tooltip="https://learn.microsoft.com/azure/cloud-adoption-framework/ready/landing-zone/design-area/multi-tenant/considerations-recommendations" display="More info" xr:uid="{326C453B-7CA8-4CD3-8F77-1DEEF4957160}"/>
    <hyperlink ref="L2228" r:id="rId1584" tooltip="https://learn.microsoft.com/azure/cloud-adoption-framework/ready/landing-zone/design-area/multi-tenant/considerations-recommendations" display="More info" xr:uid="{40609677-298F-4663-A3F3-B756D6C2AC19}"/>
    <hyperlink ref="L2229" r:id="rId1585" tooltip="https://learn.microsoft.com/azure/cloud-adoption-framework/ready/landing-zone/design-area/multi-tenant/considerations-recommendations" display="More info" xr:uid="{353818FF-4C9B-4309-8313-56B6629D5A52}"/>
    <hyperlink ref="L2230" r:id="rId1586" tooltip="https://learn.microsoft.com/azure/cloud-adoption-framework/ready/landing-zone/design-area/multi-tenant/considerations-recommendations" display="More info" xr:uid="{2DFA5B5A-5C99-4667-A9E8-925D190F232E}"/>
    <hyperlink ref="L2231" r:id="rId1587" tooltip="https://learn.microsoft.com/azure/cloud-adoption-framework/ready/landing-zone/design-area/multi-tenant/considerations-recommendations" display="More info" xr:uid="{068D154E-5DB3-4A52-BCE1-F2E6F5303710}"/>
    <hyperlink ref="L2232" r:id="rId1588" tooltip="https://learn.microsoft.com/azure/cloud-adoption-framework/ready/landing-zone/design-area/multi-tenant/considerations-recommendations" display="More info" xr:uid="{7FA4DF78-CA4C-48E7-BFF1-836B3726D2B6}"/>
    <hyperlink ref="L2233" r:id="rId1589" tooltip="https://learn.microsoft.com/azure/cloud-adoption-framework/ready/landing-zone/design-area/multi-tenant/considerations-recommendations" display="More info" xr:uid="{9D7DCB32-206C-43CC-8375-08351B23EC4E}"/>
    <hyperlink ref="L2234" r:id="rId1590" tooltip="https://learn.microsoft.com/azure/cloud-adoption-framework/ready/landing-zone/design-area/multi-tenant/considerations-recommendations" display="More info" xr:uid="{54D2F947-10BE-467D-A766-0FC4DC816184}"/>
    <hyperlink ref="L2235" r:id="rId1591" tooltip="https://learn.microsoft.com/azure/cloud-adoption-framework/ready/landing-zone/design-area/multi-tenant/considerations-recommendations" display="More info" xr:uid="{829B2929-52F4-4C12-83FD-A33C2E02F0D8}"/>
    <hyperlink ref="L2236" r:id="rId1592" tooltip="https://learn.microsoft.com/azure/cloud-adoption-framework/ready/landing-zone/design-area/multi-tenant/considerations-recommendations" display="More info" xr:uid="{7F2366DE-4959-40B6-ABC9-7AEAE7562127}"/>
    <hyperlink ref="L2237" r:id="rId1593" tooltip="https://learn.microsoft.com/azure/cloud-adoption-framework/ready/landing-zone/design-area/multi-tenant/considerations-recommendations" display="More info" xr:uid="{4DD37865-F5E6-4B24-836B-C5DE1AD9B380}"/>
    <hyperlink ref="L2238" r:id="rId1594" tooltip="https://learn.microsoft.com/azure/cloud-adoption-framework/ready/landing-zone/design-area/multi-tenant/considerations-recommendations" display="More info" xr:uid="{F262B625-3A33-4DD3-A03F-2AD9637C04FC}"/>
    <hyperlink ref="L2239" r:id="rId1595" tooltip="https://learn.microsoft.com/azure/cloud-adoption-framework/ready/landing-zone/design-area/multi-tenant/considerations-recommendations" display="More info" xr:uid="{2C365E7B-10F1-4EAE-914B-F251A10E5982}"/>
    <hyperlink ref="L2240" r:id="rId1596" tooltip="https://learn.microsoft.com/azure/cloud-adoption-framework/ready/landing-zone/design-area/multi-tenant/considerations-recommendations" display="More info" xr:uid="{B2FB02DA-6E03-44F1-B962-A445FC12AD0A}"/>
    <hyperlink ref="L2241" r:id="rId1597" tooltip="https://learn.microsoft.com/azure/cloud-adoption-framework/ready/landing-zone/design-area/multi-tenant/considerations-recommendations" display="More info" xr:uid="{0CD07029-9C5D-40EA-BC17-BE630ECB9162}"/>
    <hyperlink ref="L2242" r:id="rId1598" tooltip="https://learn.microsoft.com/azure/cloud-adoption-framework/ready/landing-zone/design-area/multi-tenant/considerations-recommendations" display="More info" xr:uid="{DA2CF6BE-8AFA-4592-B273-7A4C8332EFDA}"/>
    <hyperlink ref="L2243" r:id="rId1599" tooltip="https://learn.microsoft.com/azure/cloud-adoption-framework/ready/landing-zone/design-area/multi-tenant/considerations-recommendations" display="More info" xr:uid="{9DE44E84-0C3E-49E1-B6F3-A9F8F63F9A9D}"/>
    <hyperlink ref="L2244" r:id="rId1600" tooltip="https://learn.microsoft.com/azure/cloud-adoption-framework/ready/landing-zone/design-area/multi-tenant/considerations-recommendations" display="More info" xr:uid="{14400986-C857-41C7-B2A5-3330AF771D16}"/>
    <hyperlink ref="L2245" r:id="rId1601" tooltip="https://learn.microsoft.com/azure/cloud-adoption-framework/ready/landing-zone/design-area/multi-tenant/considerations-recommendations" display="More info" xr:uid="{BF4B566E-36EA-4949-A061-2B78F3EA5953}"/>
    <hyperlink ref="L2246" r:id="rId1602" tooltip="https://learn.microsoft.com/azure/cloud-adoption-framework/ready/landing-zone/design-area/multi-tenant/considerations-recommendations" display="More info" xr:uid="{3445565A-99A2-4032-9BD1-A065F02886C3}"/>
    <hyperlink ref="L2247" r:id="rId1603" tooltip="https://learn.microsoft.com/azure/cloud-adoption-framework/ready/landing-zone/design-area/multi-tenant/considerations-recommendations" display="More info" xr:uid="{9C255D27-9DF5-4460-B77A-D45F89B83ACA}"/>
    <hyperlink ref="L2248" r:id="rId1604" tooltip="https://learn.microsoft.com/azure/cloud-adoption-framework/ready/landing-zone/design-area/multi-tenant/considerations-recommendations" display="More info" xr:uid="{5F75283E-B3A9-43CC-83CF-BAA34CF9E506}"/>
    <hyperlink ref="L2249" r:id="rId1605" tooltip="https://learn.microsoft.com/azure/cloud-adoption-framework/ready/landing-zone/design-area/multi-tenant/considerations-recommendations" display="More info" xr:uid="{5FF7C404-D773-4DA5-8AB2-9695BF59253E}"/>
    <hyperlink ref="L2250" r:id="rId1606" tooltip="https://learn.microsoft.com/azure/cloud-adoption-framework/ready/landing-zone/design-area/multi-tenant/considerations-recommendations" display="More info" xr:uid="{5818E424-6372-4753-9880-5B46C78611C3}"/>
    <hyperlink ref="L2251" r:id="rId1607" tooltip="https://learn.microsoft.com/azure/cloud-adoption-framework/ready/landing-zone/design-area/multi-tenant/considerations-recommendations" display="More info" xr:uid="{B1943AE8-4184-40D9-9CC9-6B00C7913813}"/>
    <hyperlink ref="L2252" r:id="rId1608" tooltip="https://learn.microsoft.com/azure/cloud-adoption-framework/ready/landing-zone/design-area/multi-tenant/considerations-recommendations" display="More info" xr:uid="{24774131-D942-463D-9777-F67A4DA20B01}"/>
    <hyperlink ref="L2253" r:id="rId1609" tooltip="https://learn.microsoft.com/azure/cloud-adoption-framework/ready/landing-zone/design-area/multi-tenant/considerations-recommendations" display="More info" xr:uid="{8D37844B-A437-4CCA-A1A5-B1766126E184}"/>
    <hyperlink ref="L2254" r:id="rId1610" tooltip="https://learn.microsoft.com/azure/cloud-adoption-framework/ready/landing-zone/design-area/multi-tenant/considerations-recommendations" display="More info" xr:uid="{4F5AC3D2-4750-46AC-A8E9-0C747C423D65}"/>
    <hyperlink ref="L2255" r:id="rId1611" tooltip="https://learn.microsoft.com/azure/cloud-adoption-framework/ready/landing-zone/design-area/multi-tenant/considerations-recommendations" display="More info" xr:uid="{08454B27-7C84-4110-8538-38AEF4133FA2}"/>
    <hyperlink ref="L2256" r:id="rId1612" tooltip="https://learn.microsoft.com/azure/cloud-adoption-framework/ready/landing-zone/design-area/multi-tenant/considerations-recommendations" display="More info" xr:uid="{B570C3D0-F4EB-4BB4-9376-E3DF9C86BE45}"/>
    <hyperlink ref="L2257" r:id="rId1613" tooltip="https://learn.microsoft.com/azure/cloud-adoption-framework/ready/landing-zone/design-area/multi-tenant/considerations-recommendations" display="More info" xr:uid="{4556233C-2141-41FD-8246-F6045F02EC47}"/>
    <hyperlink ref="L2258" r:id="rId1614" tooltip="https://learn.microsoft.com/azure/cloud-adoption-framework/ready/landing-zone/design-area/multi-tenant/considerations-recommendations" display="More info" xr:uid="{61D0D166-B114-41CF-929C-0063FB8D8F2B}"/>
    <hyperlink ref="L2259" r:id="rId1615" tooltip="https://learn.microsoft.com/azure/cloud-adoption-framework/ready/landing-zone/design-area/multi-tenant/considerations-recommendations" display="More info" xr:uid="{D77A06DF-4585-41D4-B398-49B2035C3B44}"/>
    <hyperlink ref="L2260" r:id="rId1616" tooltip="https://learn.microsoft.com/azure/cloud-adoption-framework/ready/landing-zone/design-area/multi-tenant/considerations-recommendations" display="More info" xr:uid="{94E82C2E-033B-409E-A016-3D89F37C17F6}"/>
    <hyperlink ref="L2261" r:id="rId1617" tooltip="https://learn.microsoft.com/azure/cloud-adoption-framework/ready/landing-zone/design-area/multi-tenant/considerations-recommendations" display="More info" xr:uid="{DEF1A6E0-A06E-4933-AA69-A1F23A1F53DD}"/>
    <hyperlink ref="L2262" r:id="rId1618" tooltip="https://learn.microsoft.com/azure/cloud-adoption-framework/ready/landing-zone/design-area/multi-tenant/considerations-recommendations" display="More info" xr:uid="{14FD3ABA-9DFB-416F-81B1-02716C1CF98E}"/>
    <hyperlink ref="L2263" r:id="rId1619" tooltip="https://learn.microsoft.com/azure/cloud-adoption-framework/ready/landing-zone/design-area/multi-tenant/considerations-recommendations" display="More info" xr:uid="{26E8B511-EE3C-4D18-964C-482AEECDB3CE}"/>
    <hyperlink ref="L2264" r:id="rId1620" tooltip="https://learn.microsoft.com/azure/cloud-adoption-framework/ready/landing-zone/design-area/multi-tenant/considerations-recommendations" display="More info" xr:uid="{A1500FBA-B660-47A2-8BAA-E4F70E81B141}"/>
    <hyperlink ref="L2265" r:id="rId1621" tooltip="https://learn.microsoft.com/azure/cloud-adoption-framework/ready/landing-zone/design-area/multi-tenant/considerations-recommendations" display="More info" xr:uid="{902B0093-9AB3-4F86-B83E-FDB77AFA8BE0}"/>
    <hyperlink ref="L2266" r:id="rId1622" tooltip="https://learn.microsoft.com/azure/cloud-adoption-framework/ready/landing-zone/design-area/multi-tenant/considerations-recommendations" display="More info" xr:uid="{C92AB9A8-4020-4E38-A7C7-0B481511AB70}"/>
    <hyperlink ref="L2267" r:id="rId1623" tooltip="https://learn.microsoft.com/azure/cloud-adoption-framework/ready/landing-zone/design-area/multi-tenant/considerations-recommendations" display="More info" xr:uid="{0641EF6A-67CF-4F0E-B748-D200B5944108}"/>
    <hyperlink ref="L2268" r:id="rId1624" tooltip="https://learn.microsoft.com/azure/cloud-adoption-framework/ready/landing-zone/design-area/multi-tenant/considerations-recommendations" display="More info" xr:uid="{6DB95551-BED5-4995-9A28-4624F23A7C27}"/>
    <hyperlink ref="L2269" r:id="rId1625" tooltip="https://learn.microsoft.com/azure/cloud-adoption-framework/ready/landing-zone/design-area/multi-tenant/considerations-recommendations" display="More info" xr:uid="{A861FF8A-32FF-41BD-A783-4FD54CC70A0D}"/>
    <hyperlink ref="L2270" r:id="rId1626" tooltip="https://learn.microsoft.com/azure/cloud-adoption-framework/ready/landing-zone/design-area/multi-tenant/considerations-recommendations" display="More info" xr:uid="{378A2FA2-1026-4971-B8A9-CCA0A256AC5D}"/>
    <hyperlink ref="L2271" r:id="rId1627" tooltip="https://learn.microsoft.com/azure/cloud-adoption-framework/ready/landing-zone/design-area/multi-tenant/considerations-recommendations" display="More info" xr:uid="{57DB37F4-2247-4466-8B24-E03D42D9CDE6}"/>
    <hyperlink ref="L2272" r:id="rId1628" tooltip="https://learn.microsoft.com/azure/cloud-adoption-framework/ready/landing-zone/design-area/multi-tenant/considerations-recommendations" display="More info" xr:uid="{1B922D7C-58EC-452F-9012-576ABBEA64C8}"/>
    <hyperlink ref="L2273" r:id="rId1629" tooltip="https://learn.microsoft.com/azure/cloud-adoption-framework/ready/landing-zone/design-area/multi-tenant/considerations-recommendations" display="More info" xr:uid="{E50021EC-2225-45A1-B1EC-CC08BE122773}"/>
    <hyperlink ref="L2274" r:id="rId1630" tooltip="https://learn.microsoft.com/azure/cloud-adoption-framework/ready/landing-zone/design-area/multi-tenant/considerations-recommendations" display="More info" xr:uid="{889E7860-FF26-4870-BCE4-0CAA4F17BD09}"/>
    <hyperlink ref="L2275" r:id="rId1631" tooltip="https://learn.microsoft.com/azure/cloud-adoption-framework/ready/landing-zone/design-area/multi-tenant/considerations-recommendations" display="More info" xr:uid="{4AAA5CC6-D2E5-4DDC-BF01-542B45F2A8CF}"/>
    <hyperlink ref="L2276" r:id="rId1632" tooltip="https://learn.microsoft.com/azure/cloud-adoption-framework/ready/landing-zone/design-area/multi-tenant/considerations-recommendations" display="More info" xr:uid="{0F543804-224F-4F81-8B7E-5C94BE4A7B1F}"/>
    <hyperlink ref="L2277" r:id="rId1633" tooltip="https://learn.microsoft.com/azure/cloud-adoption-framework/ready/landing-zone/design-area/multi-tenant/considerations-recommendations" display="More info" xr:uid="{A42FD34E-4B20-4F8D-8D0E-ABB5952A9D05}"/>
    <hyperlink ref="L2278" r:id="rId1634" tooltip="https://learn.microsoft.com/azure/cloud-adoption-framework/ready/landing-zone/design-area/multi-tenant/considerations-recommendations" display="More info" xr:uid="{C6D9A499-E58F-43EF-AB9D-3606A26668DC}"/>
    <hyperlink ref="L2279" r:id="rId1635" tooltip="https://learn.microsoft.com/azure/cloud-adoption-framework/ready/landing-zone/design-area/multi-tenant/considerations-recommendations" display="More info" xr:uid="{17D3B6DF-87A9-450A-884D-4DF30671F5E6}"/>
    <hyperlink ref="L2280" r:id="rId1636" tooltip="https://learn.microsoft.com/azure/cloud-adoption-framework/ready/landing-zone/design-area/multi-tenant/considerations-recommendations" display="More info" xr:uid="{B6B46D03-F823-40C4-8B2F-015E62565E1D}"/>
    <hyperlink ref="L2281" r:id="rId1637" tooltip="https://learn.microsoft.com/azure/cloud-adoption-framework/ready/landing-zone/design-area/multi-tenant/considerations-recommendations" display="More info" xr:uid="{AB6D7E10-020E-4606-B8F6-BE3458E15E84}"/>
    <hyperlink ref="L2282" r:id="rId1638" tooltip="https://learn.microsoft.com/azure/cloud-adoption-framework/ready/landing-zone/design-area/multi-tenant/considerations-recommendations" display="More info" xr:uid="{07A5E4D3-6850-4E2D-893C-6CC9281021B2}"/>
    <hyperlink ref="L2283" r:id="rId1639" tooltip="https://learn.microsoft.com/azure/cloud-adoption-framework/ready/landing-zone/design-area/multi-tenant/considerations-recommendations" display="More info" xr:uid="{C2A2C2AC-745B-4095-9D4B-AD685A0945BF}"/>
    <hyperlink ref="L2284" r:id="rId1640" tooltip="https://learn.microsoft.com/azure/cloud-adoption-framework/ready/landing-zone/design-area/multi-tenant/considerations-recommendations" display="More info" xr:uid="{4C2B48F8-B642-4BA2-BE84-DEAB3B5BC712}"/>
    <hyperlink ref="L2285" r:id="rId1641" tooltip="https://learn.microsoft.com/azure/cloud-adoption-framework/ready/landing-zone/design-area/multi-tenant/considerations-recommendations" display="More info" xr:uid="{9638871A-75F0-43D1-A1BB-1687E95EBBA8}"/>
    <hyperlink ref="L2286" r:id="rId1642" tooltip="https://learn.microsoft.com/azure/cloud-adoption-framework/ready/landing-zone/design-area/multi-tenant/considerations-recommendations" display="More info" xr:uid="{31831128-A1F4-4FE5-866A-C85E68108380}"/>
    <hyperlink ref="L2287" r:id="rId1643" tooltip="https://learn.microsoft.com/azure/cloud-adoption-framework/ready/landing-zone/design-area/multi-tenant/considerations-recommendations" display="More info" xr:uid="{D2FB3041-D67E-4585-9CF2-61F4F44B2CF7}"/>
    <hyperlink ref="L2288" r:id="rId1644" tooltip="https://learn.microsoft.com/azure/cloud-adoption-framework/ready/landing-zone/design-area/multi-tenant/considerations-recommendations" display="More info" xr:uid="{3F2FCA1D-6A01-4384-BFF1-10DA619E1FB5}"/>
    <hyperlink ref="L2289" r:id="rId1645" tooltip="https://learn.microsoft.com/azure/cloud-adoption-framework/ready/landing-zone/design-area/multi-tenant/considerations-recommendations" display="More info" xr:uid="{52A732E5-E8FE-4199-A44C-2B65B78D5CFE}"/>
    <hyperlink ref="L2290" r:id="rId1646" tooltip="https://learn.microsoft.com/azure/cloud-adoption-framework/ready/landing-zone/design-area/multi-tenant/considerations-recommendations" display="More info" xr:uid="{D37B0009-EC55-4D5A-A3D7-C60DC546658D}"/>
    <hyperlink ref="L2291" r:id="rId1647" tooltip="https://learn.microsoft.com/azure/cloud-adoption-framework/ready/landing-zone/design-area/multi-tenant/considerations-recommendations" display="More info" xr:uid="{3A9631A0-4EBE-45C7-84C7-1149CB95E6A4}"/>
    <hyperlink ref="L2292" r:id="rId1648" tooltip="https://learn.microsoft.com/azure/cloud-adoption-framework/ready/landing-zone/design-area/multi-tenant/considerations-recommendations" display="More info" xr:uid="{662482A3-1F35-4C6A-BFFF-4C165EE9AB7A}"/>
    <hyperlink ref="L2293" r:id="rId1649" tooltip="https://learn.microsoft.com/azure/cloud-adoption-framework/ready/landing-zone/design-area/multi-tenant/considerations-recommendations" display="More info" xr:uid="{C73767EE-D876-4587-BC32-EC8783DB4EC3}"/>
    <hyperlink ref="L2294" r:id="rId1650" tooltip="https://learn.microsoft.com/azure/cloud-adoption-framework/ready/landing-zone/design-area/multi-tenant/considerations-recommendations" display="More info" xr:uid="{21D7E785-B5B3-467F-A73A-C26BF914E89D}"/>
    <hyperlink ref="L2295" r:id="rId1651" tooltip="https://learn.microsoft.com/azure/cloud-adoption-framework/ready/landing-zone/design-area/multi-tenant/considerations-recommendations" display="More info" xr:uid="{F099BA06-3436-454E-88D0-D93EF22537D7}"/>
    <hyperlink ref="L2296" r:id="rId1652" tooltip="https://learn.microsoft.com/azure/cloud-adoption-framework/ready/landing-zone/design-area/multi-tenant/considerations-recommendations" display="More info" xr:uid="{338CA427-94CD-4B77-AFDC-49D8A31D5B96}"/>
    <hyperlink ref="L2297" r:id="rId1653" tooltip="https://learn.microsoft.com/azure/cloud-adoption-framework/ready/landing-zone/design-area/multi-tenant/considerations-recommendations" display="More info" xr:uid="{E5397ED5-41B7-49A8-B171-44DA4B500C80}"/>
    <hyperlink ref="L2298" r:id="rId1654" tooltip="https://learn.microsoft.com/azure/cloud-adoption-framework/ready/landing-zone/design-area/multi-tenant/considerations-recommendations" display="More info" xr:uid="{2CDF9767-92C9-4678-8E87-3EF8FEB41A8D}"/>
    <hyperlink ref="L2299" r:id="rId1655" tooltip="https://learn.microsoft.com/azure/cloud-adoption-framework/ready/landing-zone/design-area/multi-tenant/considerations-recommendations" display="More info" xr:uid="{1AC98C01-A3AD-4965-8B70-9C0DE05290A9}"/>
    <hyperlink ref="L2300" r:id="rId1656" tooltip="https://learn.microsoft.com/azure/cloud-adoption-framework/ready/landing-zone/design-area/multi-tenant/considerations-recommendations" display="More info" xr:uid="{D4FC055B-B490-4740-941C-44BBCD10FD7E}"/>
    <hyperlink ref="L2301" r:id="rId1657" tooltip="https://learn.microsoft.com/azure/cloud-adoption-framework/ready/landing-zone/design-area/multi-tenant/considerations-recommendations" display="More info" xr:uid="{928EBBB5-F244-45E6-9158-E46C26F4FB0A}"/>
    <hyperlink ref="L2302" r:id="rId1658" tooltip="https://learn.microsoft.com/azure/cloud-adoption-framework/ready/landing-zone/design-area/multi-tenant/considerations-recommendations" display="More info" xr:uid="{3DB02E16-3900-4C70-8231-F57DF2ABC139}"/>
    <hyperlink ref="L2303" r:id="rId1659" tooltip="https://learn.microsoft.com/azure/cloud-adoption-framework/ready/landing-zone/design-area/multi-tenant/considerations-recommendations" display="More info" xr:uid="{6119422D-DA50-4DC0-9472-8FF95E7B5FEB}"/>
    <hyperlink ref="L2304" r:id="rId1660" tooltip="https://learn.microsoft.com/azure/cloud-adoption-framework/ready/landing-zone/design-area/multi-tenant/considerations-recommendations" display="More info" xr:uid="{E2344AFE-E1C0-4678-9ED8-AD969EB2B1ED}"/>
    <hyperlink ref="L2305" r:id="rId1661" tooltip="https://learn.microsoft.com/azure/cloud-adoption-framework/ready/landing-zone/design-area/multi-tenant/considerations-recommendations" display="More info" xr:uid="{45BB8701-2801-430A-8B5B-E1D8A65203BA}"/>
    <hyperlink ref="L2306" r:id="rId1662" tooltip="https://learn.microsoft.com/azure/cloud-adoption-framework/ready/landing-zone/design-area/multi-tenant/considerations-recommendations" display="More info" xr:uid="{3E2F8CAA-72A7-45AF-966F-315DF5C0D7E3}"/>
    <hyperlink ref="L2307" r:id="rId1663" tooltip="https://learn.microsoft.com/azure/cloud-adoption-framework/ready/landing-zone/design-area/multi-tenant/considerations-recommendations" display="More info" xr:uid="{796A5F25-4947-4F88-980C-96E1D3BEF386}"/>
    <hyperlink ref="L2308" r:id="rId1664" tooltip="https://learn.microsoft.com/azure/cloud-adoption-framework/ready/landing-zone/design-area/multi-tenant/considerations-recommendations" display="More info" xr:uid="{4A14CEA7-55DC-4AF7-BBBC-5C2E1BA7393A}"/>
    <hyperlink ref="L2309" r:id="rId1665" tooltip="https://learn.microsoft.com/azure/cloud-adoption-framework/ready/landing-zone/design-area/multi-tenant/considerations-recommendations" display="More info" xr:uid="{B103B4D2-67BD-46E0-8402-53BC40BC0B86}"/>
    <hyperlink ref="L2310" r:id="rId1666" tooltip="https://learn.microsoft.com/azure/cloud-adoption-framework/ready/landing-zone/design-area/multi-tenant/considerations-recommendations" display="More info" xr:uid="{E819E63E-AE4F-424E-B30E-F0BA34FF7C5A}"/>
    <hyperlink ref="L2311" r:id="rId1667" tooltip="https://learn.microsoft.com/azure/cloud-adoption-framework/ready/landing-zone/design-area/multi-tenant/considerations-recommendations" display="More info" xr:uid="{BB347E34-E043-44B4-B04F-342B1679696F}"/>
    <hyperlink ref="L2312" r:id="rId1668" tooltip="https://learn.microsoft.com/azure/cloud-adoption-framework/ready/landing-zone/design-area/multi-tenant/considerations-recommendations" display="More info" xr:uid="{56B6DE1D-5C04-491A-A4A1-ED706F815F99}"/>
    <hyperlink ref="L2313" r:id="rId1669" tooltip="https://learn.microsoft.com/azure/cloud-adoption-framework/ready/landing-zone/design-area/multi-tenant/considerations-recommendations" display="More info" xr:uid="{C1DAF7CB-C90B-4F47-9367-BD04AE6E83EB}"/>
    <hyperlink ref="L2314" r:id="rId1670" tooltip="https://learn.microsoft.com/azure/cloud-adoption-framework/ready/landing-zone/design-area/multi-tenant/considerations-recommendations" display="More info" xr:uid="{E411CCAA-A0EF-4D42-8064-170ECD0D14B6}"/>
    <hyperlink ref="L2315" r:id="rId1671" tooltip="https://learn.microsoft.com/azure/cloud-adoption-framework/ready/landing-zone/design-area/multi-tenant/considerations-recommendations" display="More info" xr:uid="{5D9DBB38-B659-4169-B902-2C153E6984CF}"/>
    <hyperlink ref="L2316" r:id="rId1672" tooltip="https://learn.microsoft.com/azure/cloud-adoption-framework/ready/landing-zone/design-area/multi-tenant/considerations-recommendations" display="More info" xr:uid="{F1B39D47-2041-419A-A621-8D894CDC66EB}"/>
    <hyperlink ref="L2317" r:id="rId1673" tooltip="https://learn.microsoft.com/azure/cloud-adoption-framework/ready/landing-zone/design-area/multi-tenant/considerations-recommendations" display="More info" xr:uid="{47CD695A-09DE-4AF0-96A7-081F8ECCFA26}"/>
    <hyperlink ref="L2318" r:id="rId1674" tooltip="https://learn.microsoft.com/azure/cloud-adoption-framework/ready/landing-zone/design-area/multi-tenant/considerations-recommendations" display="More info" xr:uid="{29554021-A21B-43AC-B149-79C13102E500}"/>
    <hyperlink ref="L2319" r:id="rId1675" tooltip="https://learn.microsoft.com/azure/cloud-adoption-framework/ready/landing-zone/design-area/multi-tenant/considerations-recommendations" display="More info" xr:uid="{9BAA6881-2040-497C-9551-23EB31A5E9F2}"/>
    <hyperlink ref="L2320" r:id="rId1676" tooltip="https://learn.microsoft.com/azure/cloud-adoption-framework/ready/landing-zone/design-area/multi-tenant/considerations-recommendations" display="More info" xr:uid="{95F9EFA6-8B19-4666-812E-9EED60DBB64F}"/>
    <hyperlink ref="L2321" r:id="rId1677" tooltip="https://learn.microsoft.com/azure/cloud-adoption-framework/ready/landing-zone/design-area/multi-tenant/considerations-recommendations" display="More info" xr:uid="{5698D591-0A9B-4883-82CB-FD1D4E2AC9D5}"/>
    <hyperlink ref="L2322" r:id="rId1678" tooltip="https://learn.microsoft.com/azure/cloud-adoption-framework/ready/landing-zone/design-area/multi-tenant/considerations-recommendations" display="More info" xr:uid="{C9791359-73AF-4FCB-A212-DFA4E3B0945E}"/>
    <hyperlink ref="L2323" r:id="rId1679" tooltip="https://learn.microsoft.com/azure/cloud-adoption-framework/ready/landing-zone/design-area/multi-tenant/considerations-recommendations" display="More info" xr:uid="{8E77D15A-809A-4045-9211-FD362FFCECE5}"/>
    <hyperlink ref="L2324" r:id="rId1680" tooltip="https://learn.microsoft.com/azure/cloud-adoption-framework/ready/landing-zone/design-area/multi-tenant/considerations-recommendations" display="More info" xr:uid="{817D2CD3-4479-4BB7-A4C9-C2E5D1EE0C89}"/>
    <hyperlink ref="L2325" r:id="rId1681" tooltip="https://learn.microsoft.com/azure/cloud-adoption-framework/ready/landing-zone/design-area/multi-tenant/considerations-recommendations" display="More info" xr:uid="{06C12385-FD03-471A-84BA-8D31D264D2E1}"/>
    <hyperlink ref="L2326" r:id="rId1682" tooltip="https://learn.microsoft.com/azure/cloud-adoption-framework/ready/landing-zone/design-area/multi-tenant/considerations-recommendations" display="More info" xr:uid="{816E6007-DF22-41A8-9716-D0E7BDD2167D}"/>
    <hyperlink ref="L2327" r:id="rId1683" tooltip="https://learn.microsoft.com/azure/cloud-adoption-framework/ready/landing-zone/design-area/multi-tenant/considerations-recommendations" display="More info" xr:uid="{9D0EA67B-5A80-411A-90EF-162EE01DA4BD}"/>
    <hyperlink ref="L2328" r:id="rId1684" tooltip="https://learn.microsoft.com/azure/cloud-adoption-framework/ready/landing-zone/design-area/multi-tenant/considerations-recommendations" display="More info" xr:uid="{F03253BB-8D71-4326-ADE3-D6B516B5F985}"/>
    <hyperlink ref="L2329" r:id="rId1685" tooltip="https://learn.microsoft.com/azure/cloud-adoption-framework/ready/landing-zone/design-area/multi-tenant/considerations-recommendations" display="More info" xr:uid="{60C4CF4C-D201-43F4-8BAE-B21B71666276}"/>
    <hyperlink ref="L2330" r:id="rId1686" tooltip="https://learn.microsoft.com/azure/cloud-adoption-framework/ready/landing-zone/design-area/multi-tenant/considerations-recommendations" display="More info" xr:uid="{37109DDE-4B1C-4E8D-B551-916B51F0371D}"/>
    <hyperlink ref="L2331" r:id="rId1687" tooltip="https://learn.microsoft.com/azure/cloud-adoption-framework/ready/landing-zone/design-area/multi-tenant/considerations-recommendations" display="More info" xr:uid="{EFF18528-4A61-4C99-994B-AF47BB310587}"/>
    <hyperlink ref="L2332" r:id="rId1688" tooltip="https://learn.microsoft.com/azure/cloud-adoption-framework/ready/landing-zone/design-area/multi-tenant/considerations-recommendations" display="More info" xr:uid="{6373023D-121F-4324-8B0D-F6083C9D8221}"/>
    <hyperlink ref="L2333" r:id="rId1689" tooltip="https://learn.microsoft.com/azure/cloud-adoption-framework/ready/landing-zone/design-area/multi-tenant/considerations-recommendations" display="More info" xr:uid="{82CE4DC6-9EE7-4D77-8F9E-E157ADFD51B0}"/>
    <hyperlink ref="L2334" r:id="rId1690" tooltip="https://learn.microsoft.com/azure/cloud-adoption-framework/ready/landing-zone/design-area/multi-tenant/considerations-recommendations" display="More info" xr:uid="{F4D624E2-06C3-47D8-A11B-EF056ED654A3}"/>
    <hyperlink ref="L2335" r:id="rId1691" tooltip="https://learn.microsoft.com/azure/cloud-adoption-framework/ready/landing-zone/design-area/multi-tenant/considerations-recommendations" display="More info" xr:uid="{31F9C7A8-2028-43BA-980F-3CC9309538C4}"/>
    <hyperlink ref="L2336" r:id="rId1692" tooltip="https://learn.microsoft.com/azure/cloud-adoption-framework/ready/landing-zone/design-area/multi-tenant/considerations-recommendations" display="More info" xr:uid="{91E9DADC-4BBD-4162-B830-9584BE0633D9}"/>
    <hyperlink ref="L2337" r:id="rId1693" tooltip="https://learn.microsoft.com/azure/cloud-adoption-framework/ready/landing-zone/design-area/multi-tenant/considerations-recommendations" display="More info" xr:uid="{2AFF3DF2-5563-49E2-AFA4-EC60E02926FF}"/>
    <hyperlink ref="L2338" r:id="rId1694" tooltip="https://learn.microsoft.com/azure/cloud-adoption-framework/ready/landing-zone/design-area/multi-tenant/considerations-recommendations" display="More info" xr:uid="{DAC56525-12D3-4425-B804-9451CE383BCF}"/>
    <hyperlink ref="L2339" r:id="rId1695" tooltip="https://learn.microsoft.com/azure/cloud-adoption-framework/ready/landing-zone/design-area/multi-tenant/considerations-recommendations" display="More info" xr:uid="{FD2A3CE4-3DFE-4A70-BF7C-A57BD07C41C6}"/>
    <hyperlink ref="L2340" r:id="rId1696" tooltip="https://learn.microsoft.com/azure/cloud-adoption-framework/ready/landing-zone/design-area/multi-tenant/considerations-recommendations" display="More info" xr:uid="{2F75CF03-88EB-491B-9759-7BADD0AAAB12}"/>
    <hyperlink ref="L2341" r:id="rId1697" tooltip="https://learn.microsoft.com/azure/cloud-adoption-framework/ready/landing-zone/design-area/multi-tenant/considerations-recommendations" display="More info" xr:uid="{7F6EDC51-F21A-4570-8004-92D86FB943EF}"/>
    <hyperlink ref="L2342" r:id="rId1698" tooltip="https://learn.microsoft.com/azure/cloud-adoption-framework/ready/landing-zone/design-area/multi-tenant/considerations-recommendations" display="More info" xr:uid="{5C55A5A7-9979-4431-907A-573A6C537B6A}"/>
    <hyperlink ref="L2343" r:id="rId1699" tooltip="https://learn.microsoft.com/azure/cloud-adoption-framework/ready/landing-zone/design-area/multi-tenant/considerations-recommendations" display="More info" xr:uid="{558F0F75-456F-46C6-A080-968494C85C62}"/>
    <hyperlink ref="L2344" r:id="rId1700" tooltip="https://learn.microsoft.com/azure/cloud-adoption-framework/ready/landing-zone/design-area/multi-tenant/considerations-recommendations" display="More info" xr:uid="{CE1B9A83-6AE9-4654-916D-DD85A35CE909}"/>
    <hyperlink ref="L2345" r:id="rId1701" tooltip="https://learn.microsoft.com/azure/cloud-adoption-framework/ready/landing-zone/design-area/multi-tenant/considerations-recommendations" display="More info" xr:uid="{21E84689-3A9D-4E93-8478-EC7955695894}"/>
    <hyperlink ref="L2346" r:id="rId1702" tooltip="https://learn.microsoft.com/azure/cloud-adoption-framework/ready/landing-zone/design-area/multi-tenant/considerations-recommendations" display="More info" xr:uid="{033F9069-600B-4420-B069-B965A769442C}"/>
    <hyperlink ref="L2347" r:id="rId1703" tooltip="https://learn.microsoft.com/azure/cloud-adoption-framework/ready/landing-zone/design-area/multi-tenant/considerations-recommendations" display="More info" xr:uid="{D3EB0030-13C4-4153-AB67-162AAF3ECBE4}"/>
    <hyperlink ref="L2348" r:id="rId1704" tooltip="https://learn.microsoft.com/azure/cloud-adoption-framework/ready/landing-zone/design-area/multi-tenant/considerations-recommendations" display="More info" xr:uid="{127808BE-E01B-4A17-A7DB-E4694EAC34C0}"/>
    <hyperlink ref="L2349" r:id="rId1705" tooltip="https://learn.microsoft.com/azure/cloud-adoption-framework/ready/landing-zone/design-area/multi-tenant/considerations-recommendations" display="More info" xr:uid="{F655C626-F63D-4D2E-9759-6AF830D6A721}"/>
    <hyperlink ref="L2350" r:id="rId1706" tooltip="https://learn.microsoft.com/azure/cloud-adoption-framework/ready/landing-zone/design-area/multi-tenant/considerations-recommendations" display="More info" xr:uid="{F83C1F4F-5DAA-48CA-AEDD-E2BBF7638C8C}"/>
    <hyperlink ref="L2351" r:id="rId1707" tooltip="https://learn.microsoft.com/azure/cloud-adoption-framework/ready/landing-zone/design-area/multi-tenant/considerations-recommendations" display="More info" xr:uid="{94C8A052-7F85-4940-A86A-BB681A722246}"/>
    <hyperlink ref="L2352" r:id="rId1708" tooltip="https://learn.microsoft.com/azure/cloud-adoption-framework/ready/landing-zone/design-area/multi-tenant/considerations-recommendations" display="More info" xr:uid="{3C55C893-4BDE-46D2-9BAC-76DEC6DABFE6}"/>
    <hyperlink ref="L2353" r:id="rId1709" tooltip="https://learn.microsoft.com/azure/cloud-adoption-framework/ready/landing-zone/design-area/multi-tenant/considerations-recommendations" display="More info" xr:uid="{FEC7CA7E-3FE0-405E-A1AF-2947B80EBB2C}"/>
    <hyperlink ref="L2354" r:id="rId1710" tooltip="https://learn.microsoft.com/azure/cloud-adoption-framework/ready/landing-zone/design-area/multi-tenant/considerations-recommendations" display="More info" xr:uid="{20F3FAAE-5BEB-43D4-802A-7A75EE30D7A4}"/>
    <hyperlink ref="L2355" r:id="rId1711" tooltip="https://learn.microsoft.com/azure/cloud-adoption-framework/ready/landing-zone/design-area/multi-tenant/considerations-recommendations" display="More info" xr:uid="{60FA0400-90C1-4FBF-99D1-9DA16AF08D31}"/>
    <hyperlink ref="L2356" r:id="rId1712" tooltip="https://learn.microsoft.com/azure/cloud-adoption-framework/ready/landing-zone/design-area/multi-tenant/considerations-recommendations" display="More info" xr:uid="{8EF07D52-8108-4415-875B-AAF9F0F7D3CC}"/>
    <hyperlink ref="L2357" r:id="rId1713" tooltip="https://learn.microsoft.com/azure/cloud-adoption-framework/ready/landing-zone/design-area/multi-tenant/considerations-recommendations" display="More info" xr:uid="{36561879-0D17-42CF-9446-2FF89331BAEB}"/>
    <hyperlink ref="L2358" r:id="rId1714" tooltip="https://learn.microsoft.com/azure/cloud-adoption-framework/ready/landing-zone/design-area/multi-tenant/considerations-recommendations" display="More info" xr:uid="{4DAC00B1-4147-4739-AB22-EAB8B56702DB}"/>
    <hyperlink ref="L2359" r:id="rId1715" tooltip="https://learn.microsoft.com/azure/cloud-adoption-framework/ready/landing-zone/design-area/multi-tenant/considerations-recommendations" display="More info" xr:uid="{EC678F72-7269-4773-B908-4320849EBEE4}"/>
    <hyperlink ref="L2360" r:id="rId1716" tooltip="https://learn.microsoft.com/azure/cloud-adoption-framework/ready/landing-zone/design-area/multi-tenant/considerations-recommendations" display="More info" xr:uid="{377B2F2A-F0D6-4093-B524-F74CC7862956}"/>
    <hyperlink ref="L2361" r:id="rId1717" tooltip="https://learn.microsoft.com/azure/cloud-adoption-framework/ready/landing-zone/design-area/multi-tenant/considerations-recommendations" display="More info" xr:uid="{E713DFC5-76D5-423F-AEED-4DEB3F76B6A5}"/>
    <hyperlink ref="L2362" r:id="rId1718" tooltip="https://learn.microsoft.com/azure/cloud-adoption-framework/ready/landing-zone/design-area/multi-tenant/considerations-recommendations" display="More info" xr:uid="{B64523ED-3E56-4450-B347-4204316F8585}"/>
    <hyperlink ref="L2363" r:id="rId1719" tooltip="https://learn.microsoft.com/azure/cloud-adoption-framework/ready/landing-zone/design-area/multi-tenant/considerations-recommendations" display="More info" xr:uid="{D3DFDF99-B17D-45C5-8C22-00E96834EB4A}"/>
    <hyperlink ref="L2364" r:id="rId1720" tooltip="https://learn.microsoft.com/azure/cloud-adoption-framework/ready/landing-zone/design-area/multi-tenant/considerations-recommendations" display="More info" xr:uid="{9B6A8C44-96D3-452B-BE5B-A81F65142BF2}"/>
    <hyperlink ref="L2365" r:id="rId1721" tooltip="https://learn.microsoft.com/azure/cloud-adoption-framework/ready/landing-zone/design-area/multi-tenant/considerations-recommendations" display="More info" xr:uid="{1F093957-DDF5-49F3-8AC2-47FA0BA4DAB5}"/>
    <hyperlink ref="L2366" r:id="rId1722" tooltip="https://learn.microsoft.com/azure/cloud-adoption-framework/ready/landing-zone/design-area/multi-tenant/considerations-recommendations" display="More info" xr:uid="{9FB4D18F-A108-4FB5-9A9E-4E3C637DD0B0}"/>
    <hyperlink ref="L2367" r:id="rId1723" tooltip="https://learn.microsoft.com/azure/cloud-adoption-framework/ready/landing-zone/design-area/multi-tenant/considerations-recommendations" display="More info" xr:uid="{6CB7866C-B039-4D77-8953-002AF10A5C24}"/>
    <hyperlink ref="L2368" r:id="rId1724" tooltip="https://learn.microsoft.com/azure/cloud-adoption-framework/ready/landing-zone/design-area/multi-tenant/considerations-recommendations" display="More info" xr:uid="{22681816-17FB-44AD-AE50-B20C0B29BDA7}"/>
    <hyperlink ref="L2369" r:id="rId1725" tooltip="https://learn.microsoft.com/azure/cloud-adoption-framework/ready/landing-zone/design-area/multi-tenant/considerations-recommendations" display="More info" xr:uid="{DE5C2981-14C7-4BD8-B5D0-7A44E309D3B4}"/>
    <hyperlink ref="L2370" r:id="rId1726" tooltip="https://learn.microsoft.com/azure/cloud-adoption-framework/ready/landing-zone/design-area/multi-tenant/considerations-recommendations" display="More info" xr:uid="{FDD0B8E5-CB95-4065-B2B6-A3F29F3F60E6}"/>
    <hyperlink ref="L2371" r:id="rId1727" tooltip="https://learn.microsoft.com/azure/cloud-adoption-framework/ready/landing-zone/design-area/multi-tenant/considerations-recommendations" display="More info" xr:uid="{0030FAE3-2CFC-4CC1-B771-9FD0E95B410A}"/>
    <hyperlink ref="L2372" r:id="rId1728" tooltip="https://learn.microsoft.com/azure/cloud-adoption-framework/ready/landing-zone/design-area/multi-tenant/considerations-recommendations" display="More info" xr:uid="{8EA952F9-9AB0-4C43-8C18-8DA217BA09D0}"/>
    <hyperlink ref="L2373" r:id="rId1729" tooltip="https://learn.microsoft.com/azure/cloud-adoption-framework/ready/landing-zone/design-area/multi-tenant/considerations-recommendations" display="More info" xr:uid="{69149C8A-565B-4060-AE7F-925190673E72}"/>
    <hyperlink ref="L2374" r:id="rId1730" tooltip="https://learn.microsoft.com/azure/cloud-adoption-framework/ready/landing-zone/design-area/multi-tenant/considerations-recommendations" display="More info" xr:uid="{EA5E3274-F1E4-42DB-89ED-9A48764FD965}"/>
    <hyperlink ref="L2375" r:id="rId1731" tooltip="https://learn.microsoft.com/azure/cloud-adoption-framework/ready/landing-zone/design-area/multi-tenant/considerations-recommendations" display="More info" xr:uid="{7F139881-0623-4C13-8226-2998F760B1F8}"/>
    <hyperlink ref="L2376" r:id="rId1732" tooltip="https://learn.microsoft.com/azure/cloud-adoption-framework/ready/landing-zone/design-area/multi-tenant/considerations-recommendations" display="More info" xr:uid="{A944CA74-6297-424E-8E71-5C5B23EAC3FD}"/>
    <hyperlink ref="L2377" r:id="rId1733" tooltip="https://learn.microsoft.com/azure/cloud-adoption-framework/ready/landing-zone/design-area/multi-tenant/considerations-recommendations" display="More info" xr:uid="{9FBFE0A4-680A-471A-9BED-A6C8E40EF313}"/>
    <hyperlink ref="L2378" r:id="rId1734" tooltip="https://learn.microsoft.com/azure/cloud-adoption-framework/ready/landing-zone/design-area/multi-tenant/considerations-recommendations" display="More info" xr:uid="{888143B2-5F4F-4910-9808-D38019459C72}"/>
    <hyperlink ref="L2379" r:id="rId1735" tooltip="https://learn.microsoft.com/azure/cloud-adoption-framework/ready/landing-zone/design-area/multi-tenant/considerations-recommendations" display="More info" xr:uid="{DFFDD844-377D-4674-A67A-0CBE14EC69CF}"/>
    <hyperlink ref="L2380" r:id="rId1736" tooltip="https://learn.microsoft.com/azure/cloud-adoption-framework/ready/landing-zone/design-area/multi-tenant/considerations-recommendations" display="More info" xr:uid="{8D9ADB0E-3B7A-43E3-A0DD-4CF9EC5736A2}"/>
    <hyperlink ref="L2381" r:id="rId1737" tooltip="https://learn.microsoft.com/azure/cloud-adoption-framework/ready/landing-zone/design-area/multi-tenant/considerations-recommendations" display="More info" xr:uid="{E38023F9-4114-43B8-AF5D-815434592495}"/>
    <hyperlink ref="L2382" r:id="rId1738" tooltip="https://learn.microsoft.com/azure/cloud-adoption-framework/ready/landing-zone/design-area/multi-tenant/considerations-recommendations" display="More info" xr:uid="{26FC498F-6594-40DC-978F-C0EDACAA8095}"/>
    <hyperlink ref="L2383" r:id="rId1739" tooltip="https://learn.microsoft.com/azure/cloud-adoption-framework/ready/landing-zone/design-area/multi-tenant/considerations-recommendations" display="More info" xr:uid="{65A16535-83B6-4CCD-91FE-10AD2E2803FA}"/>
    <hyperlink ref="L2384" r:id="rId1740" tooltip="https://learn.microsoft.com/azure/cloud-adoption-framework/ready/landing-zone/design-area/multi-tenant/considerations-recommendations" display="More info" xr:uid="{BCEE445D-B9E6-4CFD-869A-EB8169AD328C}"/>
    <hyperlink ref="L2385" r:id="rId1741" tooltip="https://learn.microsoft.com/azure/cloud-adoption-framework/ready/landing-zone/design-area/multi-tenant/considerations-recommendations" display="More info" xr:uid="{51FAD295-195F-4451-9BCB-8B8380DF5408}"/>
    <hyperlink ref="L2386" r:id="rId1742" tooltip="https://learn.microsoft.com/azure/cloud-adoption-framework/ready/landing-zone/design-area/multi-tenant/considerations-recommendations" display="More info" xr:uid="{8B1C4603-ECD5-4612-A128-6C5D09D4EF7B}"/>
    <hyperlink ref="L2387" r:id="rId1743" tooltip="https://learn.microsoft.com/azure/cloud-adoption-framework/ready/landing-zone/design-area/multi-tenant/considerations-recommendations" display="More info" xr:uid="{CAEE9DA7-FD82-4058-B811-0B1C79726F12}"/>
    <hyperlink ref="L2388" r:id="rId1744" tooltip="https://learn.microsoft.com/azure/cloud-adoption-framework/ready/landing-zone/design-area/multi-tenant/considerations-recommendations" display="More info" xr:uid="{E0466CBB-E0FD-44BD-9609-77B9F18AD313}"/>
    <hyperlink ref="L2389" r:id="rId1745" tooltip="https://learn.microsoft.com/azure/cloud-adoption-framework/ready/landing-zone/design-area/multi-tenant/considerations-recommendations" display="More info" xr:uid="{1A19C0B4-25DC-43F4-AAC0-2D0E85F5E51E}"/>
    <hyperlink ref="L2390" r:id="rId1746" tooltip="https://learn.microsoft.com/azure/cloud-adoption-framework/ready/landing-zone/design-area/multi-tenant/considerations-recommendations" display="More info" xr:uid="{F637C421-1F80-43B2-9115-227B237B8389}"/>
    <hyperlink ref="L2391" r:id="rId1747" tooltip="https://learn.microsoft.com/azure/cloud-adoption-framework/ready/landing-zone/design-area/multi-tenant/considerations-recommendations" display="More info" xr:uid="{8A31E9FC-EA14-4F8D-9046-5EF70C25A4B9}"/>
    <hyperlink ref="L2392" r:id="rId1748" tooltip="https://learn.microsoft.com/azure/cloud-adoption-framework/ready/landing-zone/design-area/multi-tenant/considerations-recommendations" display="More info" xr:uid="{743705F2-ECFA-4B99-8C59-217451A60D9C}"/>
    <hyperlink ref="L2393" r:id="rId1749" tooltip="https://learn.microsoft.com/azure/cloud-adoption-framework/ready/landing-zone/design-area/multi-tenant/considerations-recommendations" display="More info" xr:uid="{541C4991-C681-4F9F-AA3A-EE962447BFDA}"/>
    <hyperlink ref="L2394" r:id="rId1750" tooltip="https://learn.microsoft.com/azure/cloud-adoption-framework/ready/landing-zone/design-area/multi-tenant/considerations-recommendations" display="More info" xr:uid="{B651B961-E8B9-4F35-8C1D-DD5360572950}"/>
    <hyperlink ref="L2395" r:id="rId1751" tooltip="https://learn.microsoft.com/azure/cloud-adoption-framework/ready/landing-zone/design-area/multi-tenant/considerations-recommendations" display="More info" xr:uid="{2D135ABB-30EF-416A-BBE3-26F63E3B61D6}"/>
    <hyperlink ref="L2396" r:id="rId1752" tooltip="https://learn.microsoft.com/azure/cloud-adoption-framework/ready/landing-zone/design-area/multi-tenant/considerations-recommendations" display="More info" xr:uid="{275BFCE6-7F87-4DAA-BDFC-7A963531CA3B}"/>
    <hyperlink ref="L2397" r:id="rId1753" tooltip="https://learn.microsoft.com/azure/cloud-adoption-framework/ready/landing-zone/design-area/multi-tenant/considerations-recommendations" display="More info" xr:uid="{D767929C-3BD3-4536-AE47-9F7F48FA510C}"/>
    <hyperlink ref="L2398" r:id="rId1754" tooltip="https://learn.microsoft.com/azure/cloud-adoption-framework/ready/landing-zone/design-area/multi-tenant/considerations-recommendations" display="More info" xr:uid="{A8126594-A815-4261-BA80-53BDA0892909}"/>
    <hyperlink ref="L2399" r:id="rId1755" tooltip="https://learn.microsoft.com/azure/cloud-adoption-framework/ready/landing-zone/design-area/multi-tenant/considerations-recommendations" display="More info" xr:uid="{9DB675E4-4A63-4DF6-BED6-9B2E0603ED29}"/>
    <hyperlink ref="L2400" r:id="rId1756" tooltip="https://learn.microsoft.com/azure/cloud-adoption-framework/ready/landing-zone/design-area/multi-tenant/considerations-recommendations" display="More info" xr:uid="{F9EE9C6D-445E-4C74-B3C7-BECE1C72DEF3}"/>
    <hyperlink ref="L2401" r:id="rId1757" tooltip="https://learn.microsoft.com/azure/cloud-adoption-framework/ready/landing-zone/design-area/multi-tenant/considerations-recommendations" display="More info" xr:uid="{96AA0F3C-58B2-483B-AAB9-356229CC8A38}"/>
    <hyperlink ref="L2402" r:id="rId1758" tooltip="https://learn.microsoft.com/azure/cloud-adoption-framework/ready/landing-zone/design-area/multi-tenant/considerations-recommendations" display="More info" xr:uid="{258774FD-89FA-4E75-8A33-092944E5550C}"/>
    <hyperlink ref="L2403" r:id="rId1759" tooltip="https://learn.microsoft.com/azure/cloud-adoption-framework/ready/landing-zone/design-area/multi-tenant/considerations-recommendations" display="More info" xr:uid="{221C9B2F-381D-40D7-BF6E-E912FA005C61}"/>
    <hyperlink ref="L2404" r:id="rId1760" tooltip="https://learn.microsoft.com/azure/cloud-adoption-framework/ready/landing-zone/design-area/multi-tenant/considerations-recommendations" display="More info" xr:uid="{3DDDFA13-1780-4EFF-B361-C92D16F5DC03}"/>
    <hyperlink ref="L2405" r:id="rId1761" tooltip="https://learn.microsoft.com/azure/cloud-adoption-framework/ready/landing-zone/design-area/multi-tenant/considerations-recommendations" display="More info" xr:uid="{CFE8A8E4-094E-478F-919F-B49D1251243A}"/>
    <hyperlink ref="L2406" r:id="rId1762" tooltip="https://learn.microsoft.com/azure/cloud-adoption-framework/ready/landing-zone/design-area/multi-tenant/considerations-recommendations" display="More info" xr:uid="{878D7301-58E0-4ACC-B53C-E57482DD4C54}"/>
    <hyperlink ref="L2407" r:id="rId1763" tooltip="https://learn.microsoft.com/azure/cloud-adoption-framework/ready/landing-zone/design-area/multi-tenant/considerations-recommendations" display="More info" xr:uid="{A8F0124A-76ED-40DC-8A29-0227B9F25149}"/>
    <hyperlink ref="L2408" r:id="rId1764" tooltip="https://learn.microsoft.com/azure/cloud-adoption-framework/ready/landing-zone/design-area/multi-tenant/considerations-recommendations" display="More info" xr:uid="{2B6E9F3B-E88E-477B-ADE4-6A9237AE116E}"/>
    <hyperlink ref="L2409" r:id="rId1765" tooltip="https://learn.microsoft.com/azure/cloud-adoption-framework/ready/landing-zone/design-area/multi-tenant/considerations-recommendations" display="More info" xr:uid="{109B03FA-2779-476B-AB52-F32EFAA055EB}"/>
    <hyperlink ref="L2410" r:id="rId1766" tooltip="https://learn.microsoft.com/azure/cloud-adoption-framework/ready/landing-zone/design-area/multi-tenant/considerations-recommendations" display="More info" xr:uid="{346E0747-DF3C-4B57-9DE5-516A12405C96}"/>
    <hyperlink ref="L2411" r:id="rId1767" tooltip="https://learn.microsoft.com/azure/cloud-adoption-framework/ready/landing-zone/design-area/multi-tenant/considerations-recommendations" display="More info" xr:uid="{0C17383C-1F68-4675-9F55-F8D67F15C345}"/>
    <hyperlink ref="L2412" r:id="rId1768" tooltip="https://learn.microsoft.com/azure/cloud-adoption-framework/ready/landing-zone/design-area/multi-tenant/considerations-recommendations" display="More info" xr:uid="{7E0F2EAE-607F-4CDD-897D-A2C1D8506DC5}"/>
    <hyperlink ref="L2413" r:id="rId1769" tooltip="https://learn.microsoft.com/azure/cloud-adoption-framework/ready/landing-zone/design-area/multi-tenant/considerations-recommendations" display="More info" xr:uid="{1DEDAD0C-E632-44BD-939D-E5B89FF3D92F}"/>
    <hyperlink ref="L2414" r:id="rId1770" tooltip="https://learn.microsoft.com/azure/cloud-adoption-framework/ready/landing-zone/design-area/multi-tenant/considerations-recommendations" display="More info" xr:uid="{B807461F-A4ED-4FB5-8E41-7400F62E9DFF}"/>
    <hyperlink ref="L2415" r:id="rId1771" tooltip="https://learn.microsoft.com/azure/cloud-adoption-framework/ready/landing-zone/design-area/multi-tenant/considerations-recommendations" display="More info" xr:uid="{42CF8CE9-0CD8-445A-814E-F1EF08EC1A03}"/>
    <hyperlink ref="L2416" r:id="rId1772" tooltip="https://learn.microsoft.com/azure/cloud-adoption-framework/ready/landing-zone/design-area/multi-tenant/considerations-recommendations" display="More info" xr:uid="{363AFBF5-67FF-4F03-BD67-365488760694}"/>
    <hyperlink ref="L2417" r:id="rId1773" tooltip="https://learn.microsoft.com/azure/cloud-adoption-framework/ready/landing-zone/design-area/multi-tenant/considerations-recommendations" display="More info" xr:uid="{EE01CA77-B93F-470A-8FD4-97040D08C3E5}"/>
    <hyperlink ref="L2418" r:id="rId1774" tooltip="https://learn.microsoft.com/azure/cloud-adoption-framework/ready/landing-zone/design-area/multi-tenant/considerations-recommendations" display="More info" xr:uid="{E1B0DE68-CD9A-4546-B22F-604B8EB357BB}"/>
    <hyperlink ref="L2419" r:id="rId1775" tooltip="https://learn.microsoft.com/azure/cloud-adoption-framework/ready/landing-zone/design-area/multi-tenant/considerations-recommendations" display="More info" xr:uid="{7F437C4A-C75C-4CB8-A5EE-23E26BF0D463}"/>
    <hyperlink ref="L2420" r:id="rId1776" tooltip="https://learn.microsoft.com/azure/cloud-adoption-framework/ready/landing-zone/design-area/multi-tenant/considerations-recommendations" display="More info" xr:uid="{57299022-8258-40B8-AC29-A8D1DAE6D07F}"/>
    <hyperlink ref="L2421" r:id="rId1777" tooltip="https://learn.microsoft.com/azure/cloud-adoption-framework/ready/landing-zone/design-area/multi-tenant/considerations-recommendations" display="More info" xr:uid="{DB71A09F-5233-4C9A-9581-2706E9655F49}"/>
    <hyperlink ref="L2422" r:id="rId1778" tooltip="https://learn.microsoft.com/azure/cloud-adoption-framework/ready/landing-zone/design-area/multi-tenant/considerations-recommendations" display="More info" xr:uid="{C5CDEC9D-5829-455A-8497-84A87D1A870E}"/>
    <hyperlink ref="L2423" r:id="rId1779" tooltip="https://learn.microsoft.com/azure/cloud-adoption-framework/ready/landing-zone/design-area/multi-tenant/considerations-recommendations" display="More info" xr:uid="{6EF00CCA-C8C4-4E6A-9B27-CC0A1AA7269D}"/>
    <hyperlink ref="L2424" r:id="rId1780" tooltip="https://learn.microsoft.com/azure/cloud-adoption-framework/ready/landing-zone/design-area/multi-tenant/considerations-recommendations" display="More info" xr:uid="{A3EC245F-01B0-4EC2-9B87-FD2605EA4EE3}"/>
    <hyperlink ref="L2425" r:id="rId1781" tooltip="https://learn.microsoft.com/azure/cloud-adoption-framework/ready/landing-zone/design-area/multi-tenant/considerations-recommendations" display="More info" xr:uid="{5F1BE379-E6ED-4EDE-AE86-9DBEA8DAF9D9}"/>
    <hyperlink ref="L2426" r:id="rId1782" tooltip="https://learn.microsoft.com/azure/cloud-adoption-framework/ready/landing-zone/design-area/multi-tenant/considerations-recommendations" display="More info" xr:uid="{44B77C5F-8551-4A86-BEDD-AFA496A71FEA}"/>
    <hyperlink ref="L2427" r:id="rId1783" tooltip="https://learn.microsoft.com/azure/cloud-adoption-framework/ready/landing-zone/design-area/multi-tenant/considerations-recommendations" display="More info" xr:uid="{3A7ED5AF-BFCA-455C-AAD7-A4428BE61E29}"/>
    <hyperlink ref="L2428" r:id="rId1784" tooltip="https://learn.microsoft.com/azure/cloud-adoption-framework/ready/landing-zone/design-area/multi-tenant/considerations-recommendations" display="More info" xr:uid="{81F46C1E-E149-4490-AC5C-32174CCE7480}"/>
    <hyperlink ref="L2429" r:id="rId1785" tooltip="https://learn.microsoft.com/azure/cloud-adoption-framework/ready/landing-zone/design-area/multi-tenant/considerations-recommendations" display="More info" xr:uid="{902493A8-06EB-4E8B-A24E-4E7B15A875A8}"/>
    <hyperlink ref="L2430" r:id="rId1786" tooltip="https://learn.microsoft.com/azure/cloud-adoption-framework/ready/landing-zone/design-area/multi-tenant/considerations-recommendations" display="More info" xr:uid="{C5BED3ED-BF87-47AB-9269-585F96243D3A}"/>
    <hyperlink ref="L2431" r:id="rId1787" tooltip="https://learn.microsoft.com/azure/cloud-adoption-framework/ready/landing-zone/design-area/multi-tenant/considerations-recommendations" display="More info" xr:uid="{E3D426B4-AE63-4308-A155-416DF931345F}"/>
    <hyperlink ref="L2432" r:id="rId1788" tooltip="https://learn.microsoft.com/azure/cloud-adoption-framework/ready/landing-zone/design-area/multi-tenant/considerations-recommendations" display="More info" xr:uid="{6CBFA34A-BD95-428E-8098-9B0CDEF40AED}"/>
    <hyperlink ref="L2433" r:id="rId1789" tooltip="https://learn.microsoft.com/azure/cloud-adoption-framework/ready/landing-zone/design-area/multi-tenant/considerations-recommendations" display="More info" xr:uid="{931DD54B-E7E0-4975-9A1E-021885E8A754}"/>
    <hyperlink ref="L2434" r:id="rId1790" tooltip="https://learn.microsoft.com/azure/cloud-adoption-framework/ready/landing-zone/design-area/multi-tenant/considerations-recommendations" display="More info" xr:uid="{E35C2017-635F-4D84-9563-918BE0553895}"/>
    <hyperlink ref="L2435" r:id="rId1791" tooltip="https://learn.microsoft.com/azure/cloud-adoption-framework/ready/landing-zone/design-area/multi-tenant/considerations-recommendations" display="More info" xr:uid="{30949D0D-4F8A-4622-B9C8-2B755E089EDF}"/>
    <hyperlink ref="L2436" r:id="rId1792" tooltip="https://learn.microsoft.com/azure/cloud-adoption-framework/ready/landing-zone/design-area/multi-tenant/considerations-recommendations" display="More info" xr:uid="{CB22DD8A-3591-4227-B221-F18C1E2E672A}"/>
    <hyperlink ref="L2437" r:id="rId1793" tooltip="https://learn.microsoft.com/azure/cloud-adoption-framework/ready/landing-zone/design-area/multi-tenant/considerations-recommendations" display="More info" xr:uid="{0B322444-A8B3-4340-BCCD-566F081CD8DD}"/>
    <hyperlink ref="L2438" r:id="rId1794" tooltip="https://learn.microsoft.com/azure/cloud-adoption-framework/ready/landing-zone/design-area/multi-tenant/considerations-recommendations" display="More info" xr:uid="{5CD8AA1C-8035-4915-9ACB-6687BB12D038}"/>
    <hyperlink ref="L2439" r:id="rId1795" tooltip="https://learn.microsoft.com/azure/cloud-adoption-framework/ready/landing-zone/design-area/multi-tenant/considerations-recommendations" display="More info" xr:uid="{83954EBE-2B22-4B93-88DB-035A36B02B35}"/>
    <hyperlink ref="L2440" r:id="rId1796" tooltip="https://learn.microsoft.com/azure/cloud-adoption-framework/ready/landing-zone/design-area/multi-tenant/considerations-recommendations" display="More info" xr:uid="{50C4F194-9440-4C7A-BD9A-964C26428529}"/>
    <hyperlink ref="L2441" r:id="rId1797" tooltip="https://learn.microsoft.com/azure/cloud-adoption-framework/ready/landing-zone/design-area/multi-tenant/considerations-recommendations" display="More info" xr:uid="{19B93A97-5338-43A7-B689-DC514B6896DC}"/>
    <hyperlink ref="L2442" r:id="rId1798" tooltip="https://learn.microsoft.com/azure/cloud-adoption-framework/ready/landing-zone/design-area/multi-tenant/considerations-recommendations" display="More info" xr:uid="{7AD75B4B-EE17-49FA-B769-0054B9D349A4}"/>
    <hyperlink ref="L2443" r:id="rId1799" tooltip="https://learn.microsoft.com/azure/cloud-adoption-framework/ready/landing-zone/design-area/multi-tenant/considerations-recommendations" display="More info" xr:uid="{F2C3208F-9168-447D-9E91-00696F4776DA}"/>
    <hyperlink ref="L2444" r:id="rId1800" tooltip="https://learn.microsoft.com/azure/cloud-adoption-framework/ready/landing-zone/design-area/multi-tenant/considerations-recommendations" display="More info" xr:uid="{E287D322-138B-4868-A31B-A4E296F426B2}"/>
    <hyperlink ref="L2445" r:id="rId1801" tooltip="https://learn.microsoft.com/azure/cloud-adoption-framework/ready/landing-zone/design-area/multi-tenant/considerations-recommendations" display="More info" xr:uid="{ED6C8E1B-09C5-45D1-B98E-B36A5D54575F}"/>
    <hyperlink ref="L2446" r:id="rId1802" tooltip="https://learn.microsoft.com/azure/cloud-adoption-framework/ready/landing-zone/design-area/multi-tenant/considerations-recommendations" display="More info" xr:uid="{E29BD3AF-3E91-4138-A79A-F57E39642A10}"/>
    <hyperlink ref="L2447" r:id="rId1803" tooltip="https://learn.microsoft.com/azure/cloud-adoption-framework/ready/landing-zone/design-area/multi-tenant/considerations-recommendations" display="More info" xr:uid="{611E3E8D-5301-47A1-A4A6-CA17E8A48A8B}"/>
    <hyperlink ref="L2448" r:id="rId1804" tooltip="https://learn.microsoft.com/azure/cloud-adoption-framework/ready/landing-zone/design-area/multi-tenant/considerations-recommendations" display="More info" xr:uid="{06386A90-721C-4C30-9209-E1E54C255767}"/>
    <hyperlink ref="L2449" r:id="rId1805" tooltip="https://learn.microsoft.com/azure/cloud-adoption-framework/ready/landing-zone/design-area/multi-tenant/considerations-recommendations" display="More info" xr:uid="{D9DA6C15-A1D9-466E-9360-64E9F24565AC}"/>
    <hyperlink ref="L2450" r:id="rId1806" tooltip="https://learn.microsoft.com/azure/cloud-adoption-framework/ready/landing-zone/design-area/multi-tenant/considerations-recommendations" display="More info" xr:uid="{336BCCA2-CE28-47E9-9546-AF6B10D98B80}"/>
    <hyperlink ref="L2451" r:id="rId1807" tooltip="https://learn.microsoft.com/azure/cloud-adoption-framework/ready/landing-zone/design-area/multi-tenant/considerations-recommendations" display="More info" xr:uid="{9C2A3867-288D-4A9B-B6F0-14EB8505DA18}"/>
    <hyperlink ref="L2452" r:id="rId1808" tooltip="https://learn.microsoft.com/azure/cloud-adoption-framework/ready/landing-zone/design-area/multi-tenant/considerations-recommendations" display="More info" xr:uid="{CEAB6A84-3EDC-478B-A87B-D7960F8DBD48}"/>
    <hyperlink ref="L2453" r:id="rId1809" tooltip="https://learn.microsoft.com/azure/cloud-adoption-framework/ready/landing-zone/design-area/multi-tenant/considerations-recommendations" display="More info" xr:uid="{8814C4B0-CF9B-4771-95A3-8CB765CD7D37}"/>
    <hyperlink ref="L2454" r:id="rId1810" tooltip="https://learn.microsoft.com/azure/cloud-adoption-framework/ready/landing-zone/design-area/multi-tenant/considerations-recommendations" display="More info" xr:uid="{B0762DD9-6C5B-4E14-A22D-8C6A411269F7}"/>
    <hyperlink ref="L2455" r:id="rId1811" tooltip="https://learn.microsoft.com/azure/cloud-adoption-framework/ready/landing-zone/design-area/multi-tenant/considerations-recommendations" display="More info" xr:uid="{11F0E7BA-30A3-414F-A8F7-627C9DE259D3}"/>
    <hyperlink ref="L2456" r:id="rId1812" tooltip="https://learn.microsoft.com/azure/cloud-adoption-framework/ready/landing-zone/design-area/multi-tenant/considerations-recommendations" display="More info" xr:uid="{B1054294-0F67-44E9-95F1-196A82803295}"/>
    <hyperlink ref="L2457" r:id="rId1813" tooltip="https://learn.microsoft.com/azure/cloud-adoption-framework/ready/landing-zone/design-area/multi-tenant/considerations-recommendations" display="More info" xr:uid="{C3DCBDF4-9E91-4ED6-AE50-E6C41E132BEB}"/>
    <hyperlink ref="L2458" r:id="rId1814" tooltip="https://learn.microsoft.com/azure/cloud-adoption-framework/ready/landing-zone/design-area/multi-tenant/considerations-recommendations" display="More info" xr:uid="{114F51E8-5242-4303-8255-51716164BF92}"/>
    <hyperlink ref="L2459" r:id="rId1815" tooltip="https://learn.microsoft.com/azure/cloud-adoption-framework/ready/landing-zone/design-area/multi-tenant/considerations-recommendations" display="More info" xr:uid="{153D0BDF-D0D9-42DE-86E4-83B4BDF6F6CD}"/>
    <hyperlink ref="L2460" r:id="rId1816" tooltip="https://learn.microsoft.com/azure/cloud-adoption-framework/ready/landing-zone/design-area/multi-tenant/considerations-recommendations" display="More info" xr:uid="{9DDD7134-B914-4CFF-85E9-4EC36A567BE8}"/>
    <hyperlink ref="L2461" r:id="rId1817" tooltip="https://learn.microsoft.com/azure/cloud-adoption-framework/ready/landing-zone/design-area/multi-tenant/considerations-recommendations" display="More info" xr:uid="{CE0DB02B-7A8F-44E6-9099-091375A94F83}"/>
    <hyperlink ref="L2462" r:id="rId1818" tooltip="https://learn.microsoft.com/azure/cloud-adoption-framework/ready/landing-zone/design-area/multi-tenant/considerations-recommendations" display="More info" xr:uid="{9434A334-60FF-4496-9C93-CFA852D576F5}"/>
    <hyperlink ref="L2463" r:id="rId1819" tooltip="https://learn.microsoft.com/azure/cloud-adoption-framework/ready/landing-zone/design-area/multi-tenant/considerations-recommendations" display="More info" xr:uid="{824B95CD-57C4-4B09-8D67-3E7CE9945BBB}"/>
    <hyperlink ref="L2464" r:id="rId1820" tooltip="https://learn.microsoft.com/azure/cloud-adoption-framework/ready/landing-zone/design-area/multi-tenant/considerations-recommendations" display="More info" xr:uid="{D3361326-9602-4B47-A511-18C41655BD4A}"/>
    <hyperlink ref="L2465" r:id="rId1821" tooltip="https://learn.microsoft.com/azure/cloud-adoption-framework/ready/landing-zone/design-area/multi-tenant/considerations-recommendations" display="More info" xr:uid="{3CBD8B5A-1735-4917-B0E0-7581A0CE819B}"/>
    <hyperlink ref="L2466" r:id="rId1822" tooltip="https://learn.microsoft.com/azure/cloud-adoption-framework/ready/landing-zone/design-area/multi-tenant/considerations-recommendations" display="More info" xr:uid="{A51136CE-EC65-4B17-B381-E975525E32D6}"/>
    <hyperlink ref="L2467" r:id="rId1823" tooltip="https://learn.microsoft.com/azure/cloud-adoption-framework/ready/landing-zone/design-area/multi-tenant/considerations-recommendations" display="More info" xr:uid="{AD4B2F56-FFA3-48CE-9BB5-2DDBB1C217B7}"/>
    <hyperlink ref="L2468" r:id="rId1824" tooltip="https://learn.microsoft.com/azure/cloud-adoption-framework/ready/landing-zone/design-area/multi-tenant/considerations-recommendations" display="More info" xr:uid="{7DFA1ABC-A5F2-48EF-A845-DBC22EDB86DE}"/>
    <hyperlink ref="L2469" r:id="rId1825" tooltip="https://learn.microsoft.com/azure/cloud-adoption-framework/ready/landing-zone/design-area/multi-tenant/considerations-recommendations" display="More info" xr:uid="{0504DC01-444B-4B91-9661-CAEC16332410}"/>
    <hyperlink ref="L2470" r:id="rId1826" tooltip="https://learn.microsoft.com/azure/cloud-adoption-framework/ready/landing-zone/design-area/multi-tenant/considerations-recommendations" display="More info" xr:uid="{1FEE23F2-8766-4736-AFC9-9233DBF360A6}"/>
    <hyperlink ref="L2471" r:id="rId1827" tooltip="https://learn.microsoft.com/azure/cloud-adoption-framework/ready/landing-zone/design-area/multi-tenant/considerations-recommendations" display="More info" xr:uid="{CBEF0F89-6F26-403A-B168-9A0A9BCC12F5}"/>
    <hyperlink ref="L2472" r:id="rId1828" tooltip="https://learn.microsoft.com/azure/cloud-adoption-framework/ready/landing-zone/design-area/multi-tenant/considerations-recommendations" display="More info" xr:uid="{782AD58D-E0B7-4942-A06E-EEEA73CA2698}"/>
    <hyperlink ref="L2473" r:id="rId1829" tooltip="https://learn.microsoft.com/azure/cloud-adoption-framework/ready/landing-zone/design-area/multi-tenant/considerations-recommendations" display="More info" xr:uid="{987073EA-AD64-4D6A-9119-292C8722BA18}"/>
    <hyperlink ref="L2474" r:id="rId1830" tooltip="https://learn.microsoft.com/azure/cloud-adoption-framework/ready/landing-zone/design-area/multi-tenant/considerations-recommendations" display="More info" xr:uid="{59A0E2A8-6785-44C8-A768-471F08EDCFC9}"/>
    <hyperlink ref="L2475" r:id="rId1831" tooltip="https://learn.microsoft.com/azure/cloud-adoption-framework/ready/landing-zone/design-area/multi-tenant/considerations-recommendations" display="More info" xr:uid="{8D6D1C92-63BC-4BC1-8BE6-A92F9EAD26A3}"/>
    <hyperlink ref="L2476" r:id="rId1832" tooltip="https://learn.microsoft.com/azure/cloud-adoption-framework/ready/landing-zone/design-area/multi-tenant/considerations-recommendations" display="More info" xr:uid="{AC361649-D6AA-45AB-B9E5-0615D7127C98}"/>
    <hyperlink ref="L2477" r:id="rId1833" tooltip="https://learn.microsoft.com/azure/cloud-adoption-framework/ready/landing-zone/design-area/multi-tenant/considerations-recommendations" display="More info" xr:uid="{C6566653-D2E7-4FE0-A5FE-1C2C7AB998E0}"/>
    <hyperlink ref="L2478" r:id="rId1834" tooltip="https://learn.microsoft.com/azure/cloud-adoption-framework/ready/landing-zone/design-area/multi-tenant/considerations-recommendations" display="More info" xr:uid="{1E51DE77-867E-4768-AE94-5187E8E3D192}"/>
    <hyperlink ref="L2479" r:id="rId1835" tooltip="https://learn.microsoft.com/azure/cloud-adoption-framework/ready/landing-zone/design-area/multi-tenant/considerations-recommendations" display="More info" xr:uid="{BCD19CD5-30AC-4BF0-BB31-3EBED499476C}"/>
    <hyperlink ref="L2480" r:id="rId1836" tooltip="https://learn.microsoft.com/azure/cloud-adoption-framework/ready/landing-zone/design-area/multi-tenant/considerations-recommendations" display="More info" xr:uid="{9EC30A82-226B-4377-9B4E-7C52BC5AC812}"/>
    <hyperlink ref="L2481" r:id="rId1837" tooltip="https://learn.microsoft.com/azure/cloud-adoption-framework/ready/landing-zone/design-area/multi-tenant/considerations-recommendations" display="More info" xr:uid="{CAD9D985-9C9A-4060-8AE3-84ED35AA8E46}"/>
    <hyperlink ref="L2482" r:id="rId1838" tooltip="https://learn.microsoft.com/azure/cloud-adoption-framework/ready/landing-zone/design-area/multi-tenant/considerations-recommendations" display="More info" xr:uid="{57724366-DA80-4B25-BA4E-089A2C03C5F1}"/>
    <hyperlink ref="L2483" r:id="rId1839" tooltip="https://learn.microsoft.com/azure/cloud-adoption-framework/ready/landing-zone/design-area/multi-tenant/considerations-recommendations" display="More info" xr:uid="{C5A04EAB-A690-4815-97BC-A7DCBAB65441}"/>
    <hyperlink ref="L2484" r:id="rId1840" tooltip="https://learn.microsoft.com/azure/cloud-adoption-framework/ready/landing-zone/design-area/multi-tenant/considerations-recommendations" display="More info" xr:uid="{C88F7E7C-8DB0-42C7-9C94-250BBAE64170}"/>
    <hyperlink ref="L2485" r:id="rId1841" tooltip="https://learn.microsoft.com/azure/cloud-adoption-framework/ready/landing-zone/design-area/multi-tenant/considerations-recommendations" display="More info" xr:uid="{CB4FC75D-120A-439E-9AEB-2B4A9D9C1D0A}"/>
    <hyperlink ref="L2486" r:id="rId1842" tooltip="https://learn.microsoft.com/azure/cloud-adoption-framework/ready/landing-zone/design-area/multi-tenant/considerations-recommendations" display="More info" xr:uid="{47ECEA48-CA8A-4EFA-B5B0-A3B9E78B3E83}"/>
    <hyperlink ref="L2487" r:id="rId1843" tooltip="https://learn.microsoft.com/azure/cloud-adoption-framework/ready/landing-zone/design-area/multi-tenant/considerations-recommendations" display="More info" xr:uid="{203501DD-D044-440A-A08E-FFE5748508DE}"/>
    <hyperlink ref="L2488" r:id="rId1844" tooltip="https://learn.microsoft.com/azure/cloud-adoption-framework/ready/landing-zone/design-area/multi-tenant/considerations-recommendations" display="More info" xr:uid="{99D11D46-51A2-4915-9A7A-77239303D9DE}"/>
    <hyperlink ref="L2489" r:id="rId1845" tooltip="https://learn.microsoft.com/azure/cloud-adoption-framework/ready/landing-zone/design-area/multi-tenant/considerations-recommendations" display="More info" xr:uid="{83C7F968-D4DE-4A71-9CFE-3CC5A3AED6E1}"/>
    <hyperlink ref="L2490" r:id="rId1846" tooltip="https://learn.microsoft.com/azure/cloud-adoption-framework/ready/landing-zone/design-area/multi-tenant/considerations-recommendations" display="More info" xr:uid="{526D96BB-21FC-424A-A494-18C7DDDE47B9}"/>
    <hyperlink ref="L2491" r:id="rId1847" tooltip="https://learn.microsoft.com/azure/cloud-adoption-framework/ready/landing-zone/design-area/multi-tenant/considerations-recommendations" display="More info" xr:uid="{02F6421D-4296-4055-9022-A807CDED80BE}"/>
    <hyperlink ref="L2492" r:id="rId1848" tooltip="https://learn.microsoft.com/azure/cloud-adoption-framework/ready/landing-zone/design-area/multi-tenant/considerations-recommendations" display="More info" xr:uid="{7C5B830B-2EC5-43D4-9CB1-BBEEA68F1573}"/>
    <hyperlink ref="L2493" r:id="rId1849" tooltip="https://learn.microsoft.com/azure/cloud-adoption-framework/ready/landing-zone/design-area/multi-tenant/considerations-recommendations" display="More info" xr:uid="{4E4AAAF4-93AF-479F-ADCA-E863C2B963DA}"/>
    <hyperlink ref="L2494" r:id="rId1850" tooltip="https://learn.microsoft.com/azure/cloud-adoption-framework/ready/landing-zone/design-area/multi-tenant/considerations-recommendations" display="More info" xr:uid="{89C21CF5-205C-4172-9A3B-0577246314C1}"/>
    <hyperlink ref="L2495" r:id="rId1851" tooltip="https://learn.microsoft.com/azure/cloud-adoption-framework/ready/landing-zone/design-area/multi-tenant/considerations-recommendations" display="More info" xr:uid="{6BFEA45E-A20A-4E08-B424-76982646C947}"/>
    <hyperlink ref="L2496" r:id="rId1852" tooltip="https://learn.microsoft.com/azure/cloud-adoption-framework/ready/landing-zone/design-area/multi-tenant/considerations-recommendations" display="More info" xr:uid="{A70A65EA-0178-4754-AD42-8F3EEB7F9C2F}"/>
    <hyperlink ref="L2497" r:id="rId1853" tooltip="https://learn.microsoft.com/azure/cloud-adoption-framework/ready/landing-zone/design-area/multi-tenant/considerations-recommendations" display="More info" xr:uid="{6131C8EC-A57E-4611-8F65-E58188C091FC}"/>
    <hyperlink ref="L2498" r:id="rId1854" tooltip="https://learn.microsoft.com/azure/cloud-adoption-framework/ready/landing-zone/design-area/multi-tenant/considerations-recommendations" display="More info" xr:uid="{DAF0749C-C6B8-40C5-B2CC-BABA14D39D6F}"/>
    <hyperlink ref="L2499" r:id="rId1855" tooltip="https://learn.microsoft.com/azure/cloud-adoption-framework/ready/landing-zone/design-area/multi-tenant/considerations-recommendations" display="More info" xr:uid="{D16ADF3B-0153-45DC-B4BE-36F8151CABA9}"/>
    <hyperlink ref="L2500" r:id="rId1856" tooltip="https://learn.microsoft.com/azure/cloud-adoption-framework/ready/landing-zone/design-area/multi-tenant/considerations-recommendations" display="More info" xr:uid="{1252CBBA-DAD0-43AF-942D-5A786ABA20FC}"/>
    <hyperlink ref="L2501" r:id="rId1857" tooltip="https://learn.microsoft.com/azure/cloud-adoption-framework/ready/landing-zone/design-area/multi-tenant/considerations-recommendations" display="More info" xr:uid="{AFB2CCD2-BEEB-4687-8D4D-43714C13FEF6}"/>
    <hyperlink ref="L2502" r:id="rId1858" tooltip="https://learn.microsoft.com/azure/cloud-adoption-framework/ready/landing-zone/design-area/multi-tenant/considerations-recommendations" display="More info" xr:uid="{CFF94313-346F-415C-A666-ACC1C226E1B2}"/>
    <hyperlink ref="L2503" r:id="rId1859" tooltip="https://learn.microsoft.com/azure/cloud-adoption-framework/ready/landing-zone/design-area/multi-tenant/considerations-recommendations" display="More info" xr:uid="{82F73E34-552F-4EB2-AEFC-2B130F15051B}"/>
    <hyperlink ref="L2504" r:id="rId1860" tooltip="https://learn.microsoft.com/azure/cloud-adoption-framework/ready/landing-zone/design-area/multi-tenant/considerations-recommendations" display="More info" xr:uid="{52293AE4-0700-4BCD-9B56-0C00D7B10F3F}"/>
    <hyperlink ref="L2505" r:id="rId1861" tooltip="https://learn.microsoft.com/azure/cloud-adoption-framework/ready/landing-zone/design-area/multi-tenant/considerations-recommendations" display="More info" xr:uid="{FC961FDD-4208-4CD2-9751-BC6AAFD9D517}"/>
    <hyperlink ref="L2506" r:id="rId1862" tooltip="https://learn.microsoft.com/azure/cloud-adoption-framework/ready/landing-zone/design-area/multi-tenant/considerations-recommendations" display="More info" xr:uid="{B4762240-E508-44A8-B64F-2E51A63BB96D}"/>
    <hyperlink ref="L2507" r:id="rId1863" tooltip="https://learn.microsoft.com/azure/cloud-adoption-framework/ready/landing-zone/design-area/multi-tenant/considerations-recommendations" display="More info" xr:uid="{AB5459EB-9791-4C9A-9FC7-D765EE483812}"/>
    <hyperlink ref="L2508" r:id="rId1864" tooltip="https://learn.microsoft.com/azure/cloud-adoption-framework/ready/landing-zone/design-area/multi-tenant/considerations-recommendations" display="More info" xr:uid="{F354E150-5700-4E73-B569-FCFDD5423CA0}"/>
    <hyperlink ref="L2509" r:id="rId1865" tooltip="https://learn.microsoft.com/azure/cloud-adoption-framework/ready/landing-zone/design-area/multi-tenant/considerations-recommendations" display="More info" xr:uid="{BD550834-4441-4AA8-BB59-02A0DACE4CCA}"/>
    <hyperlink ref="L2510" r:id="rId1866" tooltip="https://learn.microsoft.com/azure/cloud-adoption-framework/ready/landing-zone/design-area/multi-tenant/considerations-recommendations" display="More info" xr:uid="{DE82FDCD-BA18-4387-92B1-95803E3BE5EA}"/>
    <hyperlink ref="L2511" r:id="rId1867" tooltip="https://learn.microsoft.com/azure/cloud-adoption-framework/ready/landing-zone/design-area/multi-tenant/considerations-recommendations" display="More info" xr:uid="{3DC0D6F6-BCC5-484F-AA3D-4AEF5254FD2F}"/>
    <hyperlink ref="L2512" r:id="rId1868" tooltip="https://learn.microsoft.com/azure/cloud-adoption-framework/ready/landing-zone/design-area/multi-tenant/considerations-recommendations" display="More info" xr:uid="{C8BC3E27-E406-4A29-AA36-2AC8B6A184E2}"/>
    <hyperlink ref="L2513" r:id="rId1869" tooltip="https://learn.microsoft.com/azure/cloud-adoption-framework/ready/landing-zone/design-area/multi-tenant/considerations-recommendations" display="More info" xr:uid="{B793550C-EA64-4C43-88D5-02B852BDE3D1}"/>
    <hyperlink ref="L2514" r:id="rId1870" tooltip="https://learn.microsoft.com/azure/cloud-adoption-framework/ready/landing-zone/design-area/multi-tenant/considerations-recommendations" display="More info" xr:uid="{8C3D1FEE-902D-4BF2-8901-B2D0B0EC5DF9}"/>
    <hyperlink ref="L2515" r:id="rId1871" tooltip="https://learn.microsoft.com/azure/cloud-adoption-framework/ready/landing-zone/design-area/multi-tenant/considerations-recommendations" display="More info" xr:uid="{B9274C30-14BE-408F-8816-8E723D9E1F00}"/>
    <hyperlink ref="L2516" r:id="rId1872" tooltip="https://learn.microsoft.com/azure/cloud-adoption-framework/ready/landing-zone/design-area/multi-tenant/considerations-recommendations" display="More info" xr:uid="{E994509C-81DF-4404-A192-5ACDB7A87820}"/>
    <hyperlink ref="L2517" r:id="rId1873" tooltip="https://learn.microsoft.com/azure/cloud-adoption-framework/ready/landing-zone/design-area/multi-tenant/considerations-recommendations" display="More info" xr:uid="{79BDC730-C1EB-4722-A29C-2E7D6D1FA202}"/>
    <hyperlink ref="L2518" r:id="rId1874" tooltip="https://learn.microsoft.com/azure/cloud-adoption-framework/ready/landing-zone/design-area/multi-tenant/considerations-recommendations" display="More info" xr:uid="{9FFC03F4-BA29-4509-A386-0704B73FD05C}"/>
    <hyperlink ref="L2519" r:id="rId1875" tooltip="https://learn.microsoft.com/azure/cloud-adoption-framework/ready/landing-zone/design-area/multi-tenant/considerations-recommendations" display="More info" xr:uid="{28783C74-A7A0-4673-81DF-A19E22EAD867}"/>
    <hyperlink ref="L2520" r:id="rId1876" tooltip="https://learn.microsoft.com/azure/cloud-adoption-framework/ready/landing-zone/design-area/multi-tenant/considerations-recommendations" display="More info" xr:uid="{67250F44-1672-4572-938F-F50274760B02}"/>
    <hyperlink ref="L2521" r:id="rId1877" tooltip="https://learn.microsoft.com/azure/cloud-adoption-framework/ready/landing-zone/design-area/multi-tenant/considerations-recommendations" display="More info" xr:uid="{277D1853-1FD4-425B-B10B-FD016A9C0141}"/>
    <hyperlink ref="L2522" r:id="rId1878" tooltip="https://learn.microsoft.com/azure/cloud-adoption-framework/ready/landing-zone/design-area/multi-tenant/considerations-recommendations" display="More info" xr:uid="{C8EA5F07-D2B7-4D69-9DC5-E38AA16B4A85}"/>
    <hyperlink ref="L2523" r:id="rId1879" tooltip="https://learn.microsoft.com/azure/cloud-adoption-framework/ready/landing-zone/design-area/multi-tenant/considerations-recommendations" display="More info" xr:uid="{723E93E0-7007-4243-ACEE-218F1C141641}"/>
    <hyperlink ref="L2524" r:id="rId1880" tooltip="https://learn.microsoft.com/azure/cloud-adoption-framework/ready/landing-zone/design-area/multi-tenant/considerations-recommendations" display="More info" xr:uid="{96162D8C-77AC-40F8-8A17-1B19D32E7652}"/>
    <hyperlink ref="L2525" r:id="rId1881" tooltip="https://learn.microsoft.com/azure/cloud-adoption-framework/ready/landing-zone/design-area/multi-tenant/considerations-recommendations" display="More info" xr:uid="{3B1A4A19-4069-4373-A121-2DFF4B651F7C}"/>
    <hyperlink ref="L2526" r:id="rId1882" tooltip="https://learn.microsoft.com/azure/cloud-adoption-framework/ready/landing-zone/design-area/multi-tenant/considerations-recommendations" display="More info" xr:uid="{F244A057-8212-4739-B7D2-FDAFDF9BF4D7}"/>
    <hyperlink ref="L2527" r:id="rId1883" tooltip="https://learn.microsoft.com/azure/cloud-adoption-framework/ready/landing-zone/design-area/multi-tenant/considerations-recommendations" display="More info" xr:uid="{03364294-601E-4155-99CA-88EA16A3C63E}"/>
    <hyperlink ref="L2528" r:id="rId1884" tooltip="https://learn.microsoft.com/azure/cloud-adoption-framework/ready/landing-zone/design-area/multi-tenant/considerations-recommendations" display="More info" xr:uid="{B327A137-0D82-4426-B8E2-0DD6CBB208FB}"/>
    <hyperlink ref="L2529" r:id="rId1885" tooltip="https://learn.microsoft.com/azure/cloud-adoption-framework/ready/landing-zone/design-area/multi-tenant/considerations-recommendations" display="More info" xr:uid="{E21FC737-4943-43FF-9A24-15D7EE907CE0}"/>
    <hyperlink ref="L2530" r:id="rId1886" tooltip="https://learn.microsoft.com/azure/cloud-adoption-framework/ready/landing-zone/design-area/multi-tenant/considerations-recommendations" display="More info" xr:uid="{C0DAD630-524F-4DAD-8987-C96370E6D2E4}"/>
    <hyperlink ref="L2531" r:id="rId1887" tooltip="https://learn.microsoft.com/azure/cloud-adoption-framework/ready/landing-zone/design-area/multi-tenant/considerations-recommendations" display="More info" xr:uid="{C4BD9D9F-86B8-4613-BB38-41C505CDAA58}"/>
    <hyperlink ref="L2532" r:id="rId1888" tooltip="https://learn.microsoft.com/azure/cloud-adoption-framework/ready/landing-zone/design-area/multi-tenant/considerations-recommendations" display="More info" xr:uid="{3B1B4722-91A1-417D-A460-B4B2FB23DD84}"/>
    <hyperlink ref="L2533" r:id="rId1889" tooltip="https://learn.microsoft.com/azure/cloud-adoption-framework/ready/landing-zone/design-area/multi-tenant/considerations-recommendations" display="More info" xr:uid="{4CB4EDB4-7411-469B-A197-BF44C1F06ECF}"/>
    <hyperlink ref="L2534" r:id="rId1890" tooltip="https://learn.microsoft.com/azure/cloud-adoption-framework/ready/landing-zone/design-area/multi-tenant/considerations-recommendations" display="More info" xr:uid="{E753BE0F-A54C-4F6B-B14E-CE41991C81CB}"/>
    <hyperlink ref="L2535" r:id="rId1891" tooltip="https://learn.microsoft.com/azure/cloud-adoption-framework/ready/landing-zone/design-area/multi-tenant/considerations-recommendations" display="More info" xr:uid="{C8C4235E-65FE-4DD5-BBB1-58FF01E8E638}"/>
    <hyperlink ref="L2536" r:id="rId1892" tooltip="https://learn.microsoft.com/azure/cloud-adoption-framework/ready/landing-zone/design-area/multi-tenant/considerations-recommendations" display="More info" xr:uid="{5F891D2F-327E-4311-9E4F-BBCFFD813D80}"/>
    <hyperlink ref="L2537" r:id="rId1893" tooltip="https://learn.microsoft.com/azure/cloud-adoption-framework/ready/landing-zone/design-area/multi-tenant/considerations-recommendations" display="More info" xr:uid="{13E605FB-8CA1-40E2-BD25-2C37FDF21C1B}"/>
    <hyperlink ref="L2538" r:id="rId1894" tooltip="https://learn.microsoft.com/azure/cloud-adoption-framework/ready/landing-zone/design-area/multi-tenant/considerations-recommendations" display="More info" xr:uid="{E89FBBB7-5180-4FE2-8F37-36FCE2C80749}"/>
    <hyperlink ref="L2539" r:id="rId1895" tooltip="https://learn.microsoft.com/azure/cloud-adoption-framework/ready/landing-zone/design-area/multi-tenant/considerations-recommendations" display="More info" xr:uid="{8BE81FA4-8BEB-4540-AC2B-A75259C2E29E}"/>
    <hyperlink ref="L2540" r:id="rId1896" tooltip="https://learn.microsoft.com/azure/cloud-adoption-framework/ready/landing-zone/design-area/multi-tenant/considerations-recommendations" display="More info" xr:uid="{2C31A953-0DD2-44DF-B769-03A887A3EE78}"/>
    <hyperlink ref="L2541" r:id="rId1897" tooltip="https://learn.microsoft.com/azure/cloud-adoption-framework/ready/landing-zone/design-area/multi-tenant/considerations-recommendations" display="More info" xr:uid="{35DB3932-42B2-4AE8-847A-4CDD1D842ADD}"/>
    <hyperlink ref="L2542" r:id="rId1898" tooltip="https://learn.microsoft.com/azure/cloud-adoption-framework/ready/landing-zone/design-area/multi-tenant/considerations-recommendations" display="More info" xr:uid="{F0391616-A5E0-4B8F-A60A-013A4B33C36F}"/>
    <hyperlink ref="L2543" r:id="rId1899" tooltip="https://learn.microsoft.com/azure/cloud-adoption-framework/ready/landing-zone/design-area/multi-tenant/considerations-recommendations" display="More info" xr:uid="{EB99155C-E074-429D-8357-A3AF2F45293F}"/>
    <hyperlink ref="L2544" r:id="rId1900" tooltip="https://learn.microsoft.com/azure/cloud-adoption-framework/ready/landing-zone/design-area/multi-tenant/considerations-recommendations" display="More info" xr:uid="{716E2A90-A85D-4A29-BC25-3E93780FE735}"/>
    <hyperlink ref="L2545" r:id="rId1901" tooltip="https://learn.microsoft.com/azure/cloud-adoption-framework/ready/landing-zone/design-area/multi-tenant/considerations-recommendations" display="More info" xr:uid="{93670858-55EF-48F1-9BE4-60A0179DD26A}"/>
    <hyperlink ref="L2546" r:id="rId1902" tooltip="https://learn.microsoft.com/azure/cloud-adoption-framework/ready/landing-zone/design-area/multi-tenant/considerations-recommendations" display="More info" xr:uid="{6B8D179C-46D1-415B-8BC5-D98070FD2109}"/>
    <hyperlink ref="L2547" r:id="rId1903" tooltip="https://learn.microsoft.com/azure/cloud-adoption-framework/ready/landing-zone/design-area/multi-tenant/considerations-recommendations" display="More info" xr:uid="{633B3063-4769-401D-83D3-54D43C44A20D}"/>
    <hyperlink ref="L2548" r:id="rId1904" tooltip="https://learn.microsoft.com/azure/cloud-adoption-framework/ready/landing-zone/design-area/multi-tenant/considerations-recommendations" display="More info" xr:uid="{DC8780DD-2900-4637-9759-B39C8E1AD02E}"/>
    <hyperlink ref="L2549" r:id="rId1905" tooltip="https://learn.microsoft.com/azure/cloud-adoption-framework/ready/landing-zone/design-area/multi-tenant/considerations-recommendations" display="More info" xr:uid="{472365C6-9480-45FD-9DDD-0FED0B89DE66}"/>
    <hyperlink ref="L2550" r:id="rId1906" tooltip="https://learn.microsoft.com/azure/cloud-adoption-framework/ready/landing-zone/design-area/multi-tenant/considerations-recommendations" display="More info" xr:uid="{2D34B7F7-A3FB-4477-BE2D-C25413E8CE3E}"/>
    <hyperlink ref="L2551" r:id="rId1907" tooltip="https://learn.microsoft.com/azure/cloud-adoption-framework/ready/landing-zone/design-area/multi-tenant/considerations-recommendations" display="More info" xr:uid="{FBE8760E-D6C5-43D1-B390-ACF080B93E9D}"/>
    <hyperlink ref="L2552" r:id="rId1908" tooltip="https://learn.microsoft.com/azure/cloud-adoption-framework/ready/landing-zone/design-area/multi-tenant/considerations-recommendations" display="More info" xr:uid="{5C7EA28B-B1BA-427D-88DB-F824E3FB09D6}"/>
    <hyperlink ref="L2553" r:id="rId1909" tooltip="https://learn.microsoft.com/azure/cloud-adoption-framework/ready/landing-zone/design-area/multi-tenant/considerations-recommendations" display="More info" xr:uid="{ACA5BB77-1561-42B5-B707-583C05A07A1C}"/>
    <hyperlink ref="L2554" r:id="rId1910" tooltip="https://learn.microsoft.com/azure/cloud-adoption-framework/ready/landing-zone/design-area/multi-tenant/considerations-recommendations" display="More info" xr:uid="{11C59EA1-BE16-4B9F-AE6C-EC653BBD68B6}"/>
    <hyperlink ref="L2555" r:id="rId1911" tooltip="https://learn.microsoft.com/azure/cloud-adoption-framework/ready/landing-zone/design-area/multi-tenant/considerations-recommendations" display="More info" xr:uid="{A874F22B-CB45-45D2-BE21-69631B1C12A7}"/>
    <hyperlink ref="L2556" r:id="rId1912" tooltip="https://learn.microsoft.com/azure/cloud-adoption-framework/ready/landing-zone/design-area/multi-tenant/considerations-recommendations" display="More info" xr:uid="{581CF659-CB8A-4C88-85C3-530753C9C808}"/>
    <hyperlink ref="L2557" r:id="rId1913" tooltip="https://learn.microsoft.com/azure/cloud-adoption-framework/ready/landing-zone/design-area/multi-tenant/considerations-recommendations" display="More info" xr:uid="{C11D9C6B-936D-4C4D-ACF1-B231D983936B}"/>
    <hyperlink ref="L2558" r:id="rId1914" tooltip="https://learn.microsoft.com/azure/cloud-adoption-framework/ready/landing-zone/design-area/multi-tenant/considerations-recommendations" display="More info" xr:uid="{321AC55A-532F-4035-B28D-9713F14C2682}"/>
    <hyperlink ref="L2559" r:id="rId1915" tooltip="https://learn.microsoft.com/azure/cloud-adoption-framework/ready/landing-zone/design-area/multi-tenant/considerations-recommendations" display="More info" xr:uid="{590BDAF4-BDAB-4C42-9A63-12880E23BD2A}"/>
    <hyperlink ref="L2560" r:id="rId1916" tooltip="https://learn.microsoft.com/azure/cloud-adoption-framework/ready/landing-zone/design-area/multi-tenant/considerations-recommendations" display="More info" xr:uid="{B03D10F3-8BDF-46CE-868B-DF774071BC53}"/>
    <hyperlink ref="L2561" r:id="rId1917" tooltip="https://learn.microsoft.com/azure/cloud-adoption-framework/ready/landing-zone/design-area/multi-tenant/considerations-recommendations" display="More info" xr:uid="{56F75D78-060F-4545-9DAF-7B28869EA44D}"/>
    <hyperlink ref="L2562" r:id="rId1918" tooltip="https://learn.microsoft.com/azure/cloud-adoption-framework/ready/landing-zone/design-area/multi-tenant/considerations-recommendations" display="More info" xr:uid="{66F32ECF-3B86-41E9-A53B-304FD8330084}"/>
    <hyperlink ref="L2563" r:id="rId1919" tooltip="https://learn.microsoft.com/azure/cloud-adoption-framework/ready/landing-zone/design-area/multi-tenant/considerations-recommendations" display="More info" xr:uid="{CF3536DB-9931-424A-9A1A-D9D6289F332B}"/>
    <hyperlink ref="L2564" r:id="rId1920" tooltip="https://learn.microsoft.com/azure/cloud-adoption-framework/ready/landing-zone/design-area/multi-tenant/considerations-recommendations" display="More info" xr:uid="{B5AD5DC5-0614-428E-9A1D-EA1AD09CC3F7}"/>
    <hyperlink ref="L2565" r:id="rId1921" tooltip="https://learn.microsoft.com/azure/cloud-adoption-framework/ready/landing-zone/design-area/multi-tenant/considerations-recommendations" display="More info" xr:uid="{B21407F2-812A-4966-BA4C-56DA47B9C477}"/>
    <hyperlink ref="L2566" r:id="rId1922" tooltip="https://learn.microsoft.com/azure/cloud-adoption-framework/ready/landing-zone/design-area/multi-tenant/considerations-recommendations" display="More info" xr:uid="{246124F1-3B1A-4A7E-A528-AEECFC870376}"/>
    <hyperlink ref="L2567" r:id="rId1923" tooltip="https://learn.microsoft.com/azure/cloud-adoption-framework/ready/landing-zone/design-area/multi-tenant/considerations-recommendations" display="More info" xr:uid="{FC4197DB-80E1-447D-8BD3-777B01AF9F4D}"/>
    <hyperlink ref="L2568" r:id="rId1924" tooltip="https://learn.microsoft.com/azure/cloud-adoption-framework/ready/landing-zone/design-area/multi-tenant/considerations-recommendations" display="More info" xr:uid="{99410758-E5A6-4968-A447-3CF487D6C791}"/>
    <hyperlink ref="L2569" r:id="rId1925" tooltip="https://learn.microsoft.com/azure/cloud-adoption-framework/ready/landing-zone/design-area/multi-tenant/considerations-recommendations" display="More info" xr:uid="{EB44231E-B2E0-412F-8025-3F374993B98F}"/>
    <hyperlink ref="L2570" r:id="rId1926" tooltip="https://learn.microsoft.com/azure/cloud-adoption-framework/ready/landing-zone/design-area/multi-tenant/considerations-recommendations" display="More info" xr:uid="{A7ACA71D-6DA4-4BF4-A585-D773AC12D219}"/>
    <hyperlink ref="L2571" r:id="rId1927" tooltip="https://learn.microsoft.com/azure/cloud-adoption-framework/ready/landing-zone/design-area/multi-tenant/considerations-recommendations" display="More info" xr:uid="{6D4D170A-2000-47EF-B9CE-C7B7B88BC1BD}"/>
    <hyperlink ref="L2572" r:id="rId1928" tooltip="https://learn.microsoft.com/azure/cloud-adoption-framework/ready/landing-zone/design-area/multi-tenant/considerations-recommendations" display="More info" xr:uid="{7A55402E-42C7-422F-9C7A-FE800B808051}"/>
    <hyperlink ref="L2573" r:id="rId1929" tooltip="https://learn.microsoft.com/azure/cloud-adoption-framework/ready/landing-zone/design-area/multi-tenant/considerations-recommendations" display="More info" xr:uid="{AE1E15DA-75BB-487E-A148-FCD3B680D441}"/>
    <hyperlink ref="L2574" r:id="rId1930" tooltip="https://learn.microsoft.com/azure/cloud-adoption-framework/ready/landing-zone/design-area/multi-tenant/considerations-recommendations" display="More info" xr:uid="{7E3AD372-2FE4-4BB6-A6A5-C36D695B45E1}"/>
    <hyperlink ref="L2575" r:id="rId1931" tooltip="https://learn.microsoft.com/azure/cloud-adoption-framework/ready/landing-zone/design-area/multi-tenant/considerations-recommendations" display="More info" xr:uid="{67F822E9-2261-4EAE-9638-1B9AFA098D6A}"/>
    <hyperlink ref="L2576" r:id="rId1932" tooltip="https://learn.microsoft.com/azure/cloud-adoption-framework/ready/landing-zone/design-area/multi-tenant/considerations-recommendations" display="More info" xr:uid="{09647BAC-11DB-4ACF-A277-834075C54D3E}"/>
    <hyperlink ref="L2577" r:id="rId1933" tooltip="https://learn.microsoft.com/azure/cloud-adoption-framework/ready/landing-zone/design-area/multi-tenant/considerations-recommendations" display="More info" xr:uid="{86019012-AF42-462A-B9AD-B459D26C09DB}"/>
    <hyperlink ref="L2578" r:id="rId1934" tooltip="https://learn.microsoft.com/azure/cloud-adoption-framework/ready/landing-zone/design-area/multi-tenant/considerations-recommendations" display="More info" xr:uid="{E190551A-0376-435B-A99F-3AA08AEB739D}"/>
    <hyperlink ref="L2579" r:id="rId1935" tooltip="https://learn.microsoft.com/azure/cloud-adoption-framework/ready/landing-zone/design-area/multi-tenant/considerations-recommendations" display="More info" xr:uid="{01D09817-57F3-48C1-BE70-D35687F46DF4}"/>
    <hyperlink ref="L2580" r:id="rId1936" tooltip="https://learn.microsoft.com/azure/cloud-adoption-framework/ready/landing-zone/design-area/multi-tenant/considerations-recommendations" display="More info" xr:uid="{7F985921-0FCB-47DD-996B-BD6AD5156D22}"/>
    <hyperlink ref="L2581" r:id="rId1937" tooltip="https://learn.microsoft.com/azure/cloud-adoption-framework/ready/landing-zone/design-area/multi-tenant/considerations-recommendations" display="More info" xr:uid="{2E327B78-DA3D-4506-8FF8-BD13D2D4C989}"/>
    <hyperlink ref="L2582" r:id="rId1938" tooltip="https://learn.microsoft.com/azure/cloud-adoption-framework/ready/landing-zone/design-area/multi-tenant/considerations-recommendations" display="More info" xr:uid="{FE2564DC-605A-4848-8AF9-4D60E93F09D1}"/>
    <hyperlink ref="L2583" r:id="rId1939" tooltip="https://learn.microsoft.com/azure/cloud-adoption-framework/ready/landing-zone/design-area/multi-tenant/considerations-recommendations" display="More info" xr:uid="{E74E1E25-CD31-4037-B431-1DA36A0CA4C7}"/>
    <hyperlink ref="L2584" r:id="rId1940" tooltip="https://learn.microsoft.com/azure/cloud-adoption-framework/ready/landing-zone/design-area/multi-tenant/considerations-recommendations" display="More info" xr:uid="{879AD6D3-9C8E-4F87-8A69-80CD0E454CDD}"/>
    <hyperlink ref="L2585" r:id="rId1941" tooltip="https://learn.microsoft.com/azure/cloud-adoption-framework/ready/landing-zone/design-area/multi-tenant/considerations-recommendations" display="More info" xr:uid="{AF35E6D4-18F8-4C6E-BC80-5AF75E9E0EE3}"/>
    <hyperlink ref="L2586" r:id="rId1942" tooltip="https://learn.microsoft.com/azure/cloud-adoption-framework/ready/landing-zone/design-area/multi-tenant/considerations-recommendations" display="More info" xr:uid="{5B46B8FC-4E4F-4A4A-9BA8-9540333EB347}"/>
    <hyperlink ref="L2587" r:id="rId1943" tooltip="https://learn.microsoft.com/azure/cloud-adoption-framework/ready/landing-zone/design-area/multi-tenant/considerations-recommendations" display="More info" xr:uid="{A7858CB2-F5B1-4479-B0B6-314102376066}"/>
    <hyperlink ref="L2588" r:id="rId1944" tooltip="https://learn.microsoft.com/azure/cloud-adoption-framework/ready/landing-zone/design-area/multi-tenant/considerations-recommendations" display="More info" xr:uid="{D106A7B1-178B-4CB3-89F0-D9FB5B2E4F02}"/>
    <hyperlink ref="L2589" r:id="rId1945" tooltip="https://learn.microsoft.com/azure/cloud-adoption-framework/ready/landing-zone/design-area/multi-tenant/considerations-recommendations" display="More info" xr:uid="{8C1192D0-CE5A-4AB9-A4E2-A66A93EDB9D0}"/>
    <hyperlink ref="L2590" r:id="rId1946" tooltip="https://learn.microsoft.com/azure/cloud-adoption-framework/ready/landing-zone/design-area/multi-tenant/considerations-recommendations" display="More info" xr:uid="{71688266-64E7-4BB7-BFD7-DED76D0857B3}"/>
    <hyperlink ref="L2591" r:id="rId1947" tooltip="https://learn.microsoft.com/azure/cloud-adoption-framework/ready/landing-zone/design-area/multi-tenant/considerations-recommendations" display="More info" xr:uid="{0653C66F-B21F-438F-8E54-1BB64D969818}"/>
    <hyperlink ref="L2592" r:id="rId1948" tooltip="https://learn.microsoft.com/azure/cloud-adoption-framework/ready/landing-zone/design-area/multi-tenant/considerations-recommendations" display="More info" xr:uid="{D420DAB2-899B-4A0A-B95A-029FC248FC26}"/>
    <hyperlink ref="L2593" r:id="rId1949" tooltip="https://learn.microsoft.com/azure/cloud-adoption-framework/ready/landing-zone/design-area/multi-tenant/considerations-recommendations" display="More info" xr:uid="{322C1D9D-22AE-4E8F-9B02-A9A752091566}"/>
    <hyperlink ref="L2594" r:id="rId1950" tooltip="https://learn.microsoft.com/azure/cloud-adoption-framework/ready/landing-zone/design-area/multi-tenant/considerations-recommendations" display="More info" xr:uid="{56715BC8-90EB-4A35-BF0C-0E87C696AD26}"/>
    <hyperlink ref="L2595" r:id="rId1951" tooltip="https://learn.microsoft.com/azure/cloud-adoption-framework/ready/landing-zone/design-area/multi-tenant/considerations-recommendations" display="More info" xr:uid="{B3ED8F98-780B-48F4-ACFB-09705AE79F63}"/>
    <hyperlink ref="L2596" r:id="rId1952" tooltip="https://learn.microsoft.com/azure/cloud-adoption-framework/ready/landing-zone/design-area/multi-tenant/considerations-recommendations" display="More info" xr:uid="{8850BA12-82A1-4B6A-82A8-E7E51E00972B}"/>
    <hyperlink ref="L2597" r:id="rId1953" tooltip="https://learn.microsoft.com/azure/cloud-adoption-framework/ready/landing-zone/design-area/multi-tenant/considerations-recommendations" display="More info" xr:uid="{B4288757-13D8-4F91-A628-1173424298ED}"/>
    <hyperlink ref="L2598" r:id="rId1954" tooltip="https://learn.microsoft.com/azure/cloud-adoption-framework/ready/landing-zone/design-area/multi-tenant/considerations-recommendations" display="More info" xr:uid="{216787FB-6A60-4036-8FEE-3D5929D7646E}"/>
    <hyperlink ref="L2599" r:id="rId1955" tooltip="https://learn.microsoft.com/azure/cloud-adoption-framework/ready/landing-zone/design-area/multi-tenant/considerations-recommendations" display="More info" xr:uid="{3B27BB70-CE72-406F-9EDB-CDA46525FF39}"/>
    <hyperlink ref="L2600" r:id="rId1956" tooltip="https://learn.microsoft.com/azure/cloud-adoption-framework/ready/landing-zone/design-area/multi-tenant/considerations-recommendations" display="More info" xr:uid="{F24891FF-8AD5-48F2-B058-3ECDDBC33022}"/>
    <hyperlink ref="L2601" r:id="rId1957" tooltip="https://learn.microsoft.com/azure/cloud-adoption-framework/ready/landing-zone/design-area/multi-tenant/considerations-recommendations" display="More info" xr:uid="{42DA9529-E3D5-427D-973E-EAEFE5440FC8}"/>
    <hyperlink ref="L2602" r:id="rId1958" tooltip="https://learn.microsoft.com/azure/cloud-adoption-framework/ready/landing-zone/design-area/multi-tenant/considerations-recommendations" display="More info" xr:uid="{29314233-C6CF-4A22-A926-087805EFC19A}"/>
    <hyperlink ref="L2603" r:id="rId1959" tooltip="https://learn.microsoft.com/azure/cloud-adoption-framework/ready/landing-zone/design-area/multi-tenant/considerations-recommendations" display="More info" xr:uid="{FB640E1B-659E-4CFA-A727-FD89E5673DD6}"/>
    <hyperlink ref="L2604" r:id="rId1960" tooltip="https://learn.microsoft.com/azure/cloud-adoption-framework/ready/landing-zone/design-area/multi-tenant/considerations-recommendations" display="More info" xr:uid="{DF7D9E5B-3EF3-48FF-8577-1E877E6610AE}"/>
    <hyperlink ref="L2605" r:id="rId1961" tooltip="https://learn.microsoft.com/azure/cloud-adoption-framework/ready/landing-zone/design-area/multi-tenant/considerations-recommendations" display="More info" xr:uid="{F95A6A6C-2C94-4AD8-87B2-9E5A51B4537B}"/>
    <hyperlink ref="L2606" r:id="rId1962" tooltip="https://learn.microsoft.com/azure/cloud-adoption-framework/ready/landing-zone/design-area/multi-tenant/considerations-recommendations" display="More info" xr:uid="{973EC831-FA3A-4F4F-B007-D2C9983800C6}"/>
    <hyperlink ref="L2607" r:id="rId1963" tooltip="https://learn.microsoft.com/azure/cloud-adoption-framework/ready/landing-zone/design-area/multi-tenant/considerations-recommendations" display="More info" xr:uid="{F0EB7ABB-08C0-4185-BF4F-20F6F8770F11}"/>
    <hyperlink ref="L2608" r:id="rId1964" tooltip="https://learn.microsoft.com/azure/cloud-adoption-framework/ready/landing-zone/design-area/multi-tenant/considerations-recommendations" display="More info" xr:uid="{1816B34F-34E7-441A-BAED-63992989ACF0}"/>
    <hyperlink ref="L2609" r:id="rId1965" tooltip="https://learn.microsoft.com/azure/cloud-adoption-framework/ready/landing-zone/design-area/multi-tenant/considerations-recommendations" display="More info" xr:uid="{86E5DAD1-E435-442D-847C-E489C553B9AD}"/>
    <hyperlink ref="L2610" r:id="rId1966" tooltip="https://learn.microsoft.com/azure/cloud-adoption-framework/ready/landing-zone/design-area/multi-tenant/considerations-recommendations" display="More info" xr:uid="{411A95E5-8438-4A17-9EA5-5957B4199BDE}"/>
    <hyperlink ref="L2611" r:id="rId1967" tooltip="https://learn.microsoft.com/azure/cloud-adoption-framework/ready/landing-zone/design-area/multi-tenant/considerations-recommendations" display="More info" xr:uid="{745D86FE-A864-41FF-9764-6CB5D7DED922}"/>
    <hyperlink ref="L2612" r:id="rId1968" tooltip="https://learn.microsoft.com/azure/cloud-adoption-framework/ready/landing-zone/design-area/multi-tenant/considerations-recommendations" display="More info" xr:uid="{AAF23EB8-A185-462F-B393-B225E325CD5B}"/>
    <hyperlink ref="L2613" r:id="rId1969" tooltip="https://learn.microsoft.com/azure/cloud-adoption-framework/ready/landing-zone/design-area/multi-tenant/considerations-recommendations" display="More info" xr:uid="{2EEE8C4A-9025-4D0B-A1EA-9F359281ADE3}"/>
    <hyperlink ref="L2614" r:id="rId1970" tooltip="https://learn.microsoft.com/azure/cloud-adoption-framework/ready/landing-zone/design-area/multi-tenant/considerations-recommendations" display="More info" xr:uid="{E226EE28-779B-434D-86AD-3D5F1DA13808}"/>
    <hyperlink ref="L2615" r:id="rId1971" tooltip="https://learn.microsoft.com/azure/cloud-adoption-framework/ready/landing-zone/design-area/multi-tenant/considerations-recommendations" display="More info" xr:uid="{BCE189DA-9833-4ABA-AED3-1144E9AB2F44}"/>
    <hyperlink ref="L2616" r:id="rId1972" tooltip="https://learn.microsoft.com/azure/cloud-adoption-framework/ready/landing-zone/design-area/multi-tenant/considerations-recommendations" display="More info" xr:uid="{4EA03D3F-B8E7-493B-B2E4-263FF08BCF7B}"/>
    <hyperlink ref="L2617" r:id="rId1973" tooltip="https://learn.microsoft.com/azure/cloud-adoption-framework/ready/landing-zone/design-area/multi-tenant/considerations-recommendations" display="More info" xr:uid="{33AFE684-5209-4ADF-B791-87E3B1EC282D}"/>
    <hyperlink ref="L2618" r:id="rId1974" tooltip="https://learn.microsoft.com/azure/cloud-adoption-framework/ready/landing-zone/design-area/multi-tenant/considerations-recommendations" display="More info" xr:uid="{C432958C-852D-4F65-B347-22175DD7CFB3}"/>
    <hyperlink ref="L2619" r:id="rId1975" tooltip="https://learn.microsoft.com/azure/cloud-adoption-framework/ready/landing-zone/design-area/multi-tenant/considerations-recommendations" display="More info" xr:uid="{E209557D-270A-40DA-A5EA-91897A4D2037}"/>
    <hyperlink ref="L2620" r:id="rId1976" tooltip="https://learn.microsoft.com/azure/cloud-adoption-framework/ready/landing-zone/design-area/multi-tenant/considerations-recommendations" display="More info" xr:uid="{49DAF0FE-F7AF-49BE-A41A-59ECF4A5A653}"/>
    <hyperlink ref="L2621" r:id="rId1977" tooltip="https://learn.microsoft.com/azure/cloud-adoption-framework/ready/landing-zone/design-area/multi-tenant/considerations-recommendations" display="More info" xr:uid="{A08A3E19-3652-4573-A24F-006486365730}"/>
    <hyperlink ref="L2622" r:id="rId1978" tooltip="https://learn.microsoft.com/azure/cloud-adoption-framework/ready/landing-zone/design-area/multi-tenant/considerations-recommendations" display="More info" xr:uid="{3D5E441D-594F-4040-AECB-42DB7A2659F1}"/>
    <hyperlink ref="L2623" r:id="rId1979" tooltip="https://learn.microsoft.com/azure/cloud-adoption-framework/ready/landing-zone/design-area/multi-tenant/considerations-recommendations" display="More info" xr:uid="{2D0F8199-5B2F-48BD-AD1D-BEE964FEF594}"/>
    <hyperlink ref="L2624" r:id="rId1980" tooltip="https://learn.microsoft.com/azure/cloud-adoption-framework/ready/landing-zone/design-area/multi-tenant/considerations-recommendations" display="More info" xr:uid="{D4FA59EA-7C5A-4692-AA81-D8B5456CA209}"/>
    <hyperlink ref="L2625" r:id="rId1981" tooltip="https://learn.microsoft.com/azure/cloud-adoption-framework/ready/landing-zone/design-area/multi-tenant/considerations-recommendations" display="More info" xr:uid="{73314940-6BB8-4726-854A-B092E79C8B11}"/>
    <hyperlink ref="L2626" r:id="rId1982" tooltip="https://learn.microsoft.com/azure/cloud-adoption-framework/ready/landing-zone/design-area/multi-tenant/considerations-recommendations" display="More info" xr:uid="{0B246147-F93E-46F3-B9BE-44922F5D7845}"/>
    <hyperlink ref="L2627" r:id="rId1983" tooltip="https://learn.microsoft.com/azure/cloud-adoption-framework/ready/landing-zone/design-area/multi-tenant/considerations-recommendations" display="More info" xr:uid="{C16E6C6E-7C66-495D-AD49-321E408B3474}"/>
    <hyperlink ref="L2628" r:id="rId1984" tooltip="https://learn.microsoft.com/azure/cloud-adoption-framework/ready/landing-zone/design-area/multi-tenant/considerations-recommendations" display="More info" xr:uid="{9205BB21-9090-4D41-A23E-0172778AEB58}"/>
    <hyperlink ref="L2629" r:id="rId1985" tooltip="https://learn.microsoft.com/azure/cloud-adoption-framework/ready/landing-zone/design-area/multi-tenant/considerations-recommendations" display="More info" xr:uid="{09C9B5D9-5CDC-47A1-9563-13D008413DE6}"/>
    <hyperlink ref="L2630" r:id="rId1986" tooltip="https://learn.microsoft.com/azure/cloud-adoption-framework/ready/landing-zone/design-area/multi-tenant/considerations-recommendations" display="More info" xr:uid="{46D4D50E-815A-487E-9710-3AB95D69AC36}"/>
    <hyperlink ref="L2631" r:id="rId1987" tooltip="https://learn.microsoft.com/azure/cloud-adoption-framework/ready/landing-zone/design-area/multi-tenant/considerations-recommendations" display="More info" xr:uid="{473BE895-2360-4CEA-9779-C1D75E8A6229}"/>
    <hyperlink ref="L2632" r:id="rId1988" tooltip="https://learn.microsoft.com/azure/cloud-adoption-framework/ready/landing-zone/design-area/multi-tenant/considerations-recommendations" display="More info" xr:uid="{49EF2A52-A79A-4DCE-9185-23E1ECC47D7D}"/>
    <hyperlink ref="L2633" r:id="rId1989" tooltip="https://learn.microsoft.com/azure/cloud-adoption-framework/ready/landing-zone/design-area/multi-tenant/considerations-recommendations" display="More info" xr:uid="{B4CCC25D-C304-49EE-8580-358CEC2DDC0D}"/>
    <hyperlink ref="L2634" r:id="rId1990" tooltip="https://learn.microsoft.com/azure/cloud-adoption-framework/ready/landing-zone/design-area/multi-tenant/considerations-recommendations" display="More info" xr:uid="{E7DBAEC9-B4FA-4C63-9CF1-6B84EB7EF7CD}"/>
    <hyperlink ref="L2635" r:id="rId1991" tooltip="https://learn.microsoft.com/azure/cloud-adoption-framework/ready/landing-zone/design-area/multi-tenant/considerations-recommendations" display="More info" xr:uid="{FECFD5AE-6846-4C7D-BF85-7E49153FED39}"/>
    <hyperlink ref="L2636" r:id="rId1992" tooltip="https://learn.microsoft.com/azure/cloud-adoption-framework/ready/landing-zone/design-area/multi-tenant/considerations-recommendations" display="More info" xr:uid="{DE0EAFB0-9CDF-4BE0-90A4-096FB7EEC6A6}"/>
    <hyperlink ref="L2637" r:id="rId1993" tooltip="https://learn.microsoft.com/azure/cloud-adoption-framework/ready/landing-zone/design-area/multi-tenant/considerations-recommendations" display="More info" xr:uid="{3998F89D-320B-4E8D-9CA8-96ED8C3EFFD6}"/>
    <hyperlink ref="L2638" r:id="rId1994" tooltip="https://learn.microsoft.com/azure/cloud-adoption-framework/ready/landing-zone/design-area/multi-tenant/considerations-recommendations" display="More info" xr:uid="{E5B1C4A1-75E7-470A-842C-88B04AC8DA1D}"/>
    <hyperlink ref="L2639" r:id="rId1995" tooltip="https://learn.microsoft.com/azure/cloud-adoption-framework/ready/landing-zone/design-area/multi-tenant/considerations-recommendations" display="More info" xr:uid="{3B5CABE8-2A4E-481E-972C-DB5923AED045}"/>
    <hyperlink ref="L2640" r:id="rId1996" tooltip="https://learn.microsoft.com/azure/cloud-adoption-framework/ready/landing-zone/design-area/multi-tenant/considerations-recommendations" display="More info" xr:uid="{AD462A50-770C-4E61-9F4D-AA6286C1656B}"/>
    <hyperlink ref="L2641" r:id="rId1997" tooltip="https://learn.microsoft.com/azure/cloud-adoption-framework/ready/landing-zone/design-area/multi-tenant/considerations-recommendations" display="More info" xr:uid="{7A9F2930-05E3-433D-AEBE-63CF24D9582D}"/>
    <hyperlink ref="L2642" r:id="rId1998" tooltip="https://learn.microsoft.com/azure/cloud-adoption-framework/ready/landing-zone/design-area/multi-tenant/considerations-recommendations" display="More info" xr:uid="{54ADECB4-D865-4408-A6F3-93E15CACA202}"/>
    <hyperlink ref="L2643" r:id="rId1999" tooltip="https://learn.microsoft.com/azure/cloud-adoption-framework/ready/landing-zone/design-area/multi-tenant/considerations-recommendations" display="More info" xr:uid="{6873D39F-6F36-4197-B6D1-DCA25C2AAF66}"/>
    <hyperlink ref="L2644" r:id="rId2000" tooltip="https://learn.microsoft.com/azure/cloud-adoption-framework/ready/landing-zone/design-area/multi-tenant/considerations-recommendations" display="More info" xr:uid="{91BD0EAB-9F0F-4BA8-9C2D-2B4BDE23C41E}"/>
    <hyperlink ref="L2645" r:id="rId2001" tooltip="https://learn.microsoft.com/azure/cloud-adoption-framework/ready/landing-zone/design-area/multi-tenant/considerations-recommendations" display="More info" xr:uid="{0D3B695C-D9BC-412A-983A-AF86E69F3F40}"/>
    <hyperlink ref="L2646" r:id="rId2002" tooltip="https://learn.microsoft.com/azure/cloud-adoption-framework/ready/landing-zone/design-area/multi-tenant/considerations-recommendations" display="More info" xr:uid="{50EAFF65-1229-4A52-87FB-81B47FF52142}"/>
    <hyperlink ref="L2647" r:id="rId2003" tooltip="https://learn.microsoft.com/azure/cloud-adoption-framework/ready/landing-zone/design-area/multi-tenant/considerations-recommendations" display="More info" xr:uid="{688AD00A-44B2-4155-97AF-BCA02A05758F}"/>
    <hyperlink ref="L2648" r:id="rId2004" tooltip="https://learn.microsoft.com/azure/cloud-adoption-framework/ready/landing-zone/design-area/multi-tenant/considerations-recommendations" display="More info" xr:uid="{7C5F28B0-000A-423A-BEA4-17D40AC4EB7C}"/>
    <hyperlink ref="L2649" r:id="rId2005" tooltip="https://learn.microsoft.com/azure/cloud-adoption-framework/ready/landing-zone/design-area/multi-tenant/considerations-recommendations" display="More info" xr:uid="{48FCE288-39F0-4611-A232-E92597FBADC2}"/>
    <hyperlink ref="L2650" r:id="rId2006" tooltip="https://learn.microsoft.com/azure/cloud-adoption-framework/ready/landing-zone/design-area/multi-tenant/considerations-recommendations" display="More info" xr:uid="{ED721ECF-1209-4A2F-8949-AB94780A84EA}"/>
    <hyperlink ref="L2651" r:id="rId2007" tooltip="https://learn.microsoft.com/azure/cloud-adoption-framework/ready/landing-zone/design-area/multi-tenant/considerations-recommendations" display="More info" xr:uid="{1DF29EBF-B6FD-4D88-9C42-79C3E91CD533}"/>
    <hyperlink ref="L2652" r:id="rId2008" tooltip="https://learn.microsoft.com/azure/cloud-adoption-framework/ready/landing-zone/design-area/multi-tenant/considerations-recommendations" display="More info" xr:uid="{EDD054D0-DD92-43C5-8567-A7B4E4343722}"/>
    <hyperlink ref="L2653" r:id="rId2009" tooltip="https://learn.microsoft.com/azure/cloud-adoption-framework/ready/landing-zone/design-area/multi-tenant/considerations-recommendations" display="More info" xr:uid="{B6CEF388-46E6-4B05-BD52-43EA051B7E52}"/>
    <hyperlink ref="L2654" r:id="rId2010" tooltip="https://learn.microsoft.com/azure/cloud-adoption-framework/ready/landing-zone/design-area/multi-tenant/considerations-recommendations" display="More info" xr:uid="{314C5F22-47F4-4470-B5D2-38E39A074135}"/>
    <hyperlink ref="L2655" r:id="rId2011" tooltip="https://learn.microsoft.com/azure/cloud-adoption-framework/ready/landing-zone/design-area/multi-tenant/considerations-recommendations" display="More info" xr:uid="{8850FDED-D985-4451-99D2-55AAD7D39B62}"/>
    <hyperlink ref="L2656" r:id="rId2012" tooltip="https://learn.microsoft.com/azure/cloud-adoption-framework/ready/landing-zone/design-area/multi-tenant/considerations-recommendations" display="More info" xr:uid="{CA1C64BA-8C5D-4692-A869-966DE437426F}"/>
    <hyperlink ref="L2657" r:id="rId2013" tooltip="https://learn.microsoft.com/azure/cloud-adoption-framework/ready/landing-zone/design-area/multi-tenant/considerations-recommendations" display="More info" xr:uid="{9E5BE256-90D7-4DE7-8F26-8D0DC770B4D1}"/>
    <hyperlink ref="L2658" r:id="rId2014" tooltip="https://learn.microsoft.com/azure/cloud-adoption-framework/ready/landing-zone/design-area/multi-tenant/considerations-recommendations" display="More info" xr:uid="{1EFBB3CF-B1C2-4B53-A73E-6D11360F9D8E}"/>
    <hyperlink ref="L2659" r:id="rId2015" tooltip="https://learn.microsoft.com/azure/cloud-adoption-framework/ready/landing-zone/design-area/multi-tenant/considerations-recommendations" display="More info" xr:uid="{7E02884C-2A72-4690-8D37-87F8887155B0}"/>
    <hyperlink ref="L2660" r:id="rId2016" tooltip="https://learn.microsoft.com/azure/cloud-adoption-framework/ready/landing-zone/design-area/multi-tenant/considerations-recommendations" display="More info" xr:uid="{6007E3AE-A7F4-498A-9D78-80E0F73201F3}"/>
    <hyperlink ref="L2661" r:id="rId2017" tooltip="https://learn.microsoft.com/azure/cloud-adoption-framework/ready/landing-zone/design-area/multi-tenant/considerations-recommendations" display="More info" xr:uid="{D3683199-9BB1-4E53-B59A-75B9CFBB2D3F}"/>
    <hyperlink ref="L2662" r:id="rId2018" tooltip="https://learn.microsoft.com/azure/cloud-adoption-framework/ready/landing-zone/design-area/multi-tenant/considerations-recommendations" display="More info" xr:uid="{00EFA6AD-FF86-4650-AA47-4EB7CA4DE28D}"/>
    <hyperlink ref="L2663" r:id="rId2019" tooltip="https://learn.microsoft.com/azure/cloud-adoption-framework/ready/landing-zone/design-area/multi-tenant/considerations-recommendations" display="More info" xr:uid="{9A3A798C-465F-413C-B337-B75A14BC48CE}"/>
    <hyperlink ref="L2664" r:id="rId2020" tooltip="https://learn.microsoft.com/azure/cloud-adoption-framework/ready/landing-zone/design-area/multi-tenant/considerations-recommendations" display="More info" xr:uid="{3D93BF70-6B91-45DA-B8B0-EB1FD82E3005}"/>
    <hyperlink ref="L2665" r:id="rId2021" tooltip="https://learn.microsoft.com/azure/cloud-adoption-framework/ready/landing-zone/design-area/multi-tenant/considerations-recommendations" display="More info" xr:uid="{B52B6CD6-61DE-4D57-A24D-B205C6211DB4}"/>
    <hyperlink ref="L2666" r:id="rId2022" tooltip="https://learn.microsoft.com/azure/cloud-adoption-framework/ready/landing-zone/design-area/multi-tenant/considerations-recommendations" display="More info" xr:uid="{B6EEE31F-178C-424B-BA9E-99719D0B8836}"/>
    <hyperlink ref="L2667" r:id="rId2023" tooltip="https://learn.microsoft.com/azure/cloud-adoption-framework/ready/landing-zone/design-area/multi-tenant/considerations-recommendations" display="More info" xr:uid="{632559E2-D1D1-4122-AE29-BD30A8FAC5D7}"/>
    <hyperlink ref="L2668" r:id="rId2024" tooltip="https://learn.microsoft.com/azure/cloud-adoption-framework/ready/landing-zone/design-area/multi-tenant/considerations-recommendations" display="More info" xr:uid="{FA6AC796-322B-432D-99B3-2435BB50A84B}"/>
    <hyperlink ref="L2669" r:id="rId2025" tooltip="https://learn.microsoft.com/azure/cloud-adoption-framework/ready/landing-zone/design-area/multi-tenant/considerations-recommendations" display="More info" xr:uid="{5D87FD19-6262-4D11-82F6-12D3DD8340DA}"/>
    <hyperlink ref="L2670" r:id="rId2026" tooltip="https://learn.microsoft.com/azure/cloud-adoption-framework/ready/landing-zone/design-area/multi-tenant/considerations-recommendations" display="More info" xr:uid="{27C3E0BE-8942-4EE2-9EE3-884FC05F1A14}"/>
    <hyperlink ref="L2671" r:id="rId2027" tooltip="https://learn.microsoft.com/azure/cloud-adoption-framework/ready/landing-zone/design-area/multi-tenant/considerations-recommendations" display="More info" xr:uid="{CB22C62E-2272-4416-9DC8-69928607E605}"/>
    <hyperlink ref="L2672" r:id="rId2028" tooltip="https://learn.microsoft.com/azure/cloud-adoption-framework/ready/landing-zone/design-area/multi-tenant/considerations-recommendations" display="More info" xr:uid="{204DF723-B472-4219-9C2F-E575BE1B882B}"/>
    <hyperlink ref="L2673" r:id="rId2029" tooltip="https://learn.microsoft.com/azure/cloud-adoption-framework/ready/landing-zone/design-area/multi-tenant/considerations-recommendations" display="More info" xr:uid="{A5F7C418-149E-48DC-9840-DD7573C5F3A3}"/>
    <hyperlink ref="L2674" r:id="rId2030" tooltip="https://learn.microsoft.com/azure/cloud-adoption-framework/ready/landing-zone/design-area/multi-tenant/considerations-recommendations" display="More info" xr:uid="{7EC9D4E8-5DB4-4459-BCE4-0F5B3B1AEC07}"/>
    <hyperlink ref="L2675" r:id="rId2031" tooltip="https://learn.microsoft.com/azure/cloud-adoption-framework/ready/landing-zone/design-area/multi-tenant/considerations-recommendations" display="More info" xr:uid="{155E4E65-0588-4F9F-A0B8-5465C62B7579}"/>
    <hyperlink ref="L2676" r:id="rId2032" tooltip="https://learn.microsoft.com/azure/cloud-adoption-framework/ready/landing-zone/design-area/multi-tenant/considerations-recommendations" display="More info" xr:uid="{D4715043-44E7-4881-B77B-C5DCE71EA8AA}"/>
    <hyperlink ref="L2677" r:id="rId2033" tooltip="https://learn.microsoft.com/azure/cloud-adoption-framework/ready/landing-zone/design-area/multi-tenant/considerations-recommendations" display="More info" xr:uid="{0ECA4CD5-2483-4691-8427-F16DCC506048}"/>
    <hyperlink ref="L2678" r:id="rId2034" tooltip="https://learn.microsoft.com/azure/cloud-adoption-framework/ready/landing-zone/design-area/multi-tenant/considerations-recommendations" display="More info" xr:uid="{116360FC-23D7-418B-B0B1-5D2B83C7EDA8}"/>
    <hyperlink ref="L2679" r:id="rId2035" tooltip="https://learn.microsoft.com/azure/cloud-adoption-framework/ready/landing-zone/design-area/multi-tenant/considerations-recommendations" display="More info" xr:uid="{4A7B5C5A-B0E3-43E7-85A7-8BEAB1B417A3}"/>
    <hyperlink ref="L2680" r:id="rId2036" tooltip="https://learn.microsoft.com/azure/cloud-adoption-framework/ready/landing-zone/design-area/multi-tenant/considerations-recommendations" display="More info" xr:uid="{D131605C-52D0-4267-9556-7C46FF4C3DC8}"/>
    <hyperlink ref="L2681" r:id="rId2037" tooltip="https://learn.microsoft.com/azure/cloud-adoption-framework/ready/landing-zone/design-area/multi-tenant/considerations-recommendations" display="More info" xr:uid="{A853B292-04A3-4670-9CC0-F0D1C59205B6}"/>
    <hyperlink ref="L2682" r:id="rId2038" tooltip="https://learn.microsoft.com/azure/cloud-adoption-framework/ready/landing-zone/design-area/multi-tenant/considerations-recommendations" display="More info" xr:uid="{24037E20-29EB-4ABC-A5E8-1C7787F0F69A}"/>
    <hyperlink ref="L2683" r:id="rId2039" tooltip="https://learn.microsoft.com/azure/cloud-adoption-framework/ready/landing-zone/design-area/multi-tenant/considerations-recommendations" display="More info" xr:uid="{A0E8D6DB-6E7F-4676-9167-C7F9A9DEDDAD}"/>
    <hyperlink ref="L2684" r:id="rId2040" tooltip="https://learn.microsoft.com/azure/cloud-adoption-framework/ready/landing-zone/design-area/multi-tenant/considerations-recommendations" display="More info" xr:uid="{876E7D2B-B98C-420E-B270-A27732624CBC}"/>
    <hyperlink ref="L2685" r:id="rId2041" tooltip="https://learn.microsoft.com/azure/cloud-adoption-framework/ready/landing-zone/design-area/multi-tenant/considerations-recommendations" display="More info" xr:uid="{71F64677-C8D8-4B46-9DAC-1F603D9F3020}"/>
    <hyperlink ref="L2686" r:id="rId2042" tooltip="https://learn.microsoft.com/azure/cloud-adoption-framework/ready/landing-zone/design-area/multi-tenant/considerations-recommendations" display="More info" xr:uid="{971EBB72-B531-40CE-A0F0-30C46311EAC6}"/>
    <hyperlink ref="L2687" r:id="rId2043" tooltip="https://learn.microsoft.com/azure/cloud-adoption-framework/ready/landing-zone/design-area/multi-tenant/considerations-recommendations" display="More info" xr:uid="{1B1AF7D9-5953-4E49-9888-2CA4326C8E84}"/>
    <hyperlink ref="L2688" r:id="rId2044" tooltip="https://learn.microsoft.com/azure/cloud-adoption-framework/ready/landing-zone/design-area/multi-tenant/considerations-recommendations" display="More info" xr:uid="{DE750620-799A-4342-BAC9-A023065A95C8}"/>
    <hyperlink ref="L2689" r:id="rId2045" tooltip="https://learn.microsoft.com/azure/cloud-adoption-framework/ready/landing-zone/design-area/multi-tenant/considerations-recommendations" display="More info" xr:uid="{C2678F8C-915E-4058-9C49-4FC4BA2D26FA}"/>
    <hyperlink ref="L2690" r:id="rId2046" tooltip="https://learn.microsoft.com/azure/cloud-adoption-framework/ready/landing-zone/design-area/multi-tenant/considerations-recommendations" display="More info" xr:uid="{F1E7FB14-AC1C-4B0B-A4AA-A5029D7DE263}"/>
    <hyperlink ref="L2691" r:id="rId2047" tooltip="https://learn.microsoft.com/azure/cloud-adoption-framework/ready/landing-zone/design-area/multi-tenant/considerations-recommendations" display="More info" xr:uid="{09AB0E5E-CE9B-4EE5-B069-BA18818B4C12}"/>
    <hyperlink ref="L2692" r:id="rId2048" tooltip="https://learn.microsoft.com/azure/cloud-adoption-framework/ready/landing-zone/design-area/multi-tenant/considerations-recommendations" display="More info" xr:uid="{9DAA9565-B3B7-4AFF-A420-97DBB777022A}"/>
    <hyperlink ref="L2693" r:id="rId2049" tooltip="https://learn.microsoft.com/azure/cloud-adoption-framework/ready/landing-zone/design-area/multi-tenant/considerations-recommendations" display="More info" xr:uid="{9DFD10AB-B0D2-487E-990A-9846460A5532}"/>
    <hyperlink ref="L2694" r:id="rId2050" tooltip="https://learn.microsoft.com/azure/cloud-adoption-framework/ready/landing-zone/design-area/multi-tenant/considerations-recommendations" display="More info" xr:uid="{40BC40A9-4A96-41E6-9FA8-59CF732AA65A}"/>
    <hyperlink ref="L2695" r:id="rId2051" tooltip="https://learn.microsoft.com/azure/cloud-adoption-framework/ready/landing-zone/design-area/multi-tenant/considerations-recommendations" display="More info" xr:uid="{4CA066CB-232D-4199-B4A2-3A132528B84A}"/>
    <hyperlink ref="L2696" r:id="rId2052" tooltip="https://learn.microsoft.com/azure/cloud-adoption-framework/ready/landing-zone/design-area/multi-tenant/considerations-recommendations" display="More info" xr:uid="{6E58D550-EBD1-40E8-A635-63D436475398}"/>
    <hyperlink ref="L2697" r:id="rId2053" tooltip="https://learn.microsoft.com/azure/cloud-adoption-framework/ready/landing-zone/design-area/multi-tenant/considerations-recommendations" display="More info" xr:uid="{24825F77-3857-49B5-94B1-672641318A00}"/>
    <hyperlink ref="L2698" r:id="rId2054" tooltip="https://learn.microsoft.com/azure/cloud-adoption-framework/ready/landing-zone/design-area/multi-tenant/considerations-recommendations" display="More info" xr:uid="{58C49E2B-14E4-4341-A708-1E28CB98F1A7}"/>
    <hyperlink ref="L2699" r:id="rId2055" tooltip="https://learn.microsoft.com/azure/cloud-adoption-framework/ready/landing-zone/design-area/multi-tenant/considerations-recommendations" display="More info" xr:uid="{F8510815-8983-4F89-A4AA-C284CE5775EB}"/>
    <hyperlink ref="L2700" r:id="rId2056" tooltip="https://learn.microsoft.com/azure/cloud-adoption-framework/ready/landing-zone/design-area/multi-tenant/considerations-recommendations" display="More info" xr:uid="{EA8B469F-C15F-4F98-AC31-2AA4A6054287}"/>
    <hyperlink ref="L2701" r:id="rId2057" tooltip="https://learn.microsoft.com/azure/cloud-adoption-framework/ready/landing-zone/design-area/multi-tenant/considerations-recommendations" display="More info" xr:uid="{7CC6F1B7-ABDB-4D40-8EA9-82312A50E116}"/>
    <hyperlink ref="L2702" r:id="rId2058" tooltip="https://learn.microsoft.com/azure/cloud-adoption-framework/ready/landing-zone/design-area/multi-tenant/considerations-recommendations" display="More info" xr:uid="{7706DCC5-B9F3-4E00-9F14-7A69DFEFB6A5}"/>
    <hyperlink ref="L2703" r:id="rId2059" tooltip="https://learn.microsoft.com/azure/cloud-adoption-framework/ready/landing-zone/design-area/multi-tenant/considerations-recommendations" display="More info" xr:uid="{2807F5A8-02E6-4892-81FF-861F1BD6AAA5}"/>
    <hyperlink ref="L2704" r:id="rId2060" tooltip="https://learn.microsoft.com/azure/cloud-adoption-framework/ready/landing-zone/design-area/multi-tenant/considerations-recommendations" display="More info" xr:uid="{DB2FF3B9-D543-4C63-ABAB-93460CC7BE6E}"/>
    <hyperlink ref="L2705" r:id="rId2061" tooltip="https://learn.microsoft.com/azure/cloud-adoption-framework/ready/landing-zone/design-area/multi-tenant/considerations-recommendations" display="More info" xr:uid="{500D50A4-C4F9-44DC-B027-63363FCCD21D}"/>
    <hyperlink ref="L2706" r:id="rId2062" tooltip="https://learn.microsoft.com/azure/cloud-adoption-framework/ready/landing-zone/design-area/multi-tenant/considerations-recommendations" display="More info" xr:uid="{42753952-929F-4523-9E74-32C456A7A3BE}"/>
    <hyperlink ref="L2707" r:id="rId2063" tooltip="https://learn.microsoft.com/azure/cloud-adoption-framework/ready/landing-zone/design-area/multi-tenant/considerations-recommendations" display="More info" xr:uid="{7AD143DB-E1C9-41B3-ABDD-56C9DADA5919}"/>
    <hyperlink ref="L2708" r:id="rId2064" tooltip="https://learn.microsoft.com/azure/cloud-adoption-framework/ready/landing-zone/design-area/multi-tenant/considerations-recommendations" display="More info" xr:uid="{D9D7ED8F-E81A-4886-B0CE-AEED4E80A6BB}"/>
    <hyperlink ref="L2709" r:id="rId2065" tooltip="https://learn.microsoft.com/azure/cloud-adoption-framework/ready/landing-zone/design-area/multi-tenant/considerations-recommendations" display="More info" xr:uid="{9C0B62F4-CA1B-4209-997F-7D3ACDF75846}"/>
    <hyperlink ref="L2710" r:id="rId2066" tooltip="https://learn.microsoft.com/azure/cloud-adoption-framework/ready/landing-zone/design-area/multi-tenant/considerations-recommendations" display="More info" xr:uid="{A5F3A3A9-38E9-41B6-A8A6-95ABBE5BFA6C}"/>
    <hyperlink ref="L2711" r:id="rId2067" tooltip="https://learn.microsoft.com/azure/cloud-adoption-framework/ready/landing-zone/design-area/multi-tenant/considerations-recommendations" display="More info" xr:uid="{18C6FD5F-404C-4CE0-8922-2F685AF2E6F4}"/>
    <hyperlink ref="L2712" r:id="rId2068" tooltip="https://learn.microsoft.com/azure/cloud-adoption-framework/ready/landing-zone/design-area/multi-tenant/considerations-recommendations" display="More info" xr:uid="{28B809C0-7B3B-44A1-8BA9-A4BA343EB61F}"/>
    <hyperlink ref="L2713" r:id="rId2069" tooltip="https://learn.microsoft.com/azure/cloud-adoption-framework/ready/landing-zone/design-area/multi-tenant/considerations-recommendations" display="More info" xr:uid="{8CD35212-3AB6-4E09-8C34-1D2A7E9F5004}"/>
    <hyperlink ref="L2714" r:id="rId2070" tooltip="https://learn.microsoft.com/azure/cloud-adoption-framework/ready/landing-zone/design-area/multi-tenant/considerations-recommendations" display="More info" xr:uid="{CE06E5A2-2ED7-4F26-AC0C-50BE679ED316}"/>
    <hyperlink ref="L2715" r:id="rId2071" tooltip="https://learn.microsoft.com/azure/cloud-adoption-framework/ready/landing-zone/design-area/multi-tenant/considerations-recommendations" display="More info" xr:uid="{EF838475-B3B4-4D84-931D-6B9D25408B16}"/>
    <hyperlink ref="L2716" r:id="rId2072" tooltip="https://learn.microsoft.com/azure/cloud-adoption-framework/ready/landing-zone/design-area/multi-tenant/considerations-recommendations" display="More info" xr:uid="{23F027C0-1A10-4E95-A020-0CC5D067C2E7}"/>
    <hyperlink ref="L2717" r:id="rId2073" tooltip="https://learn.microsoft.com/azure/cloud-adoption-framework/ready/landing-zone/design-area/multi-tenant/considerations-recommendations" display="More info" xr:uid="{75659D34-7DDA-4ADA-96B2-20C9B1008DD0}"/>
    <hyperlink ref="L2718" r:id="rId2074" tooltip="https://learn.microsoft.com/azure/cloud-adoption-framework/ready/landing-zone/design-area/multi-tenant/considerations-recommendations" display="More info" xr:uid="{80517BAF-E23B-4B83-B73E-061659901FC5}"/>
    <hyperlink ref="L2719" r:id="rId2075" tooltip="https://learn.microsoft.com/azure/cloud-adoption-framework/ready/landing-zone/design-area/multi-tenant/considerations-recommendations" display="More info" xr:uid="{C0F237F2-CF54-472E-A7D1-B133520EFBEA}"/>
    <hyperlink ref="L2720" r:id="rId2076" tooltip="https://learn.microsoft.com/azure/cloud-adoption-framework/ready/landing-zone/design-area/multi-tenant/considerations-recommendations" display="More info" xr:uid="{30D08E11-7DE9-424E-8575-2653BED9BFB5}"/>
    <hyperlink ref="L2721" r:id="rId2077" tooltip="https://learn.microsoft.com/azure/cloud-adoption-framework/ready/landing-zone/design-area/multi-tenant/considerations-recommendations" display="More info" xr:uid="{A30344D5-B268-4524-B88E-EF6121FB56E9}"/>
    <hyperlink ref="L2722" r:id="rId2078" tooltip="https://learn.microsoft.com/azure/cloud-adoption-framework/ready/landing-zone/design-area/multi-tenant/considerations-recommendations" display="More info" xr:uid="{59B77B5D-A08D-4C8C-89B6-D85803A870C1}"/>
    <hyperlink ref="L2723" r:id="rId2079" tooltip="https://learn.microsoft.com/azure/cloud-adoption-framework/ready/landing-zone/design-area/multi-tenant/considerations-recommendations" display="More info" xr:uid="{A5D1290B-FD7F-4A0C-AF20-8B348BDF4D31}"/>
    <hyperlink ref="L2724" r:id="rId2080" tooltip="https://learn.microsoft.com/azure/cloud-adoption-framework/ready/landing-zone/design-area/multi-tenant/considerations-recommendations" display="More info" xr:uid="{CA89CD93-0673-4B77-A2E9-0CAE98095D04}"/>
    <hyperlink ref="L2725" r:id="rId2081" tooltip="https://learn.microsoft.com/azure/cloud-adoption-framework/ready/landing-zone/design-area/multi-tenant/considerations-recommendations" display="More info" xr:uid="{FFD52736-E539-4269-A3C2-FCFA40218B6A}"/>
    <hyperlink ref="L2726" r:id="rId2082" tooltip="https://learn.microsoft.com/azure/cloud-adoption-framework/ready/landing-zone/design-area/multi-tenant/considerations-recommendations" display="More info" xr:uid="{BE8E8E9D-CB62-45B7-AA57-055304CFBF66}"/>
    <hyperlink ref="L2727" r:id="rId2083" tooltip="https://learn.microsoft.com/azure/cloud-adoption-framework/ready/landing-zone/design-area/multi-tenant/considerations-recommendations" display="More info" xr:uid="{BF49448C-2B9A-403E-9494-C4A2FCA97C77}"/>
    <hyperlink ref="L2728" r:id="rId2084" tooltip="https://learn.microsoft.com/azure/cloud-adoption-framework/ready/landing-zone/design-area/multi-tenant/considerations-recommendations" display="More info" xr:uid="{7084309D-A407-4048-9257-24B5C10C8209}"/>
    <hyperlink ref="L2729" r:id="rId2085" tooltip="https://learn.microsoft.com/azure/cloud-adoption-framework/ready/landing-zone/design-area/multi-tenant/considerations-recommendations" display="More info" xr:uid="{1F56E5D9-D1FA-4D38-9F72-64D4F4CC3E3C}"/>
    <hyperlink ref="L2730" r:id="rId2086" tooltip="https://learn.microsoft.com/azure/cloud-adoption-framework/ready/landing-zone/design-area/multi-tenant/considerations-recommendations" display="More info" xr:uid="{4EF7FE93-BEEA-46D2-A193-F5B4EB369176}"/>
    <hyperlink ref="L2731" r:id="rId2087" tooltip="https://learn.microsoft.com/azure/cloud-adoption-framework/ready/landing-zone/design-area/multi-tenant/considerations-recommendations" display="More info" xr:uid="{F56C9FBD-BAFA-412E-9E87-08A2AB6CF423}"/>
    <hyperlink ref="L2732" r:id="rId2088" tooltip="https://learn.microsoft.com/azure/cloud-adoption-framework/ready/landing-zone/design-area/multi-tenant/considerations-recommendations" display="More info" xr:uid="{F1408035-E6BA-40C4-93CB-2CCAC319F1AB}"/>
    <hyperlink ref="L2733" r:id="rId2089" tooltip="https://learn.microsoft.com/azure/cloud-adoption-framework/ready/landing-zone/design-area/multi-tenant/considerations-recommendations" display="More info" xr:uid="{0EE3628D-75D1-4776-955A-7FE8EE41B96F}"/>
    <hyperlink ref="L2734" r:id="rId2090" tooltip="https://learn.microsoft.com/azure/cloud-adoption-framework/ready/landing-zone/design-area/multi-tenant/considerations-recommendations" display="More info" xr:uid="{9D429E75-5229-4C79-897C-192A7FE4FEE4}"/>
    <hyperlink ref="L2735" r:id="rId2091" tooltip="https://learn.microsoft.com/azure/cloud-adoption-framework/ready/landing-zone/design-area/multi-tenant/considerations-recommendations" display="More info" xr:uid="{CF3CD28B-033E-4CFC-94ED-8979E7B52660}"/>
    <hyperlink ref="L2736" r:id="rId2092" tooltip="https://learn.microsoft.com/azure/cloud-adoption-framework/ready/landing-zone/design-area/multi-tenant/considerations-recommendations" display="More info" xr:uid="{50102D68-DA54-402B-BE17-F28DEEB699AD}"/>
    <hyperlink ref="L2737" r:id="rId2093" tooltip="https://learn.microsoft.com/azure/cloud-adoption-framework/ready/landing-zone/design-area/multi-tenant/considerations-recommendations" display="More info" xr:uid="{15782423-BB07-4B37-9BB3-045844F38B7A}"/>
    <hyperlink ref="L2738" r:id="rId2094" tooltip="https://learn.microsoft.com/azure/cloud-adoption-framework/ready/landing-zone/design-area/multi-tenant/considerations-recommendations" display="More info" xr:uid="{A360938D-6598-4A12-87D2-23A4A80A01A3}"/>
    <hyperlink ref="L2739" r:id="rId2095" tooltip="https://learn.microsoft.com/azure/cloud-adoption-framework/ready/landing-zone/design-area/multi-tenant/considerations-recommendations" display="More info" xr:uid="{D5A07BB6-0C28-4C13-B691-A21AC40AE61B}"/>
    <hyperlink ref="L2740" r:id="rId2096" tooltip="https://learn.microsoft.com/azure/cloud-adoption-framework/ready/landing-zone/design-area/multi-tenant/considerations-recommendations" display="More info" xr:uid="{F02A09B2-DA3E-4815-AE22-C1A9BE8AC323}"/>
    <hyperlink ref="L2741" r:id="rId2097" tooltip="https://learn.microsoft.com/azure/cloud-adoption-framework/ready/landing-zone/design-area/multi-tenant/considerations-recommendations" display="More info" xr:uid="{89A94585-A67C-4602-973F-228E7606BD38}"/>
    <hyperlink ref="L2742" r:id="rId2098" tooltip="https://learn.microsoft.com/azure/cloud-adoption-framework/ready/landing-zone/design-area/multi-tenant/considerations-recommendations" display="More info" xr:uid="{D6828BB1-8B78-46ED-883E-CF69387A54C2}"/>
    <hyperlink ref="L2743" r:id="rId2099" tooltip="https://learn.microsoft.com/azure/cloud-adoption-framework/ready/landing-zone/design-area/multi-tenant/considerations-recommendations" display="More info" xr:uid="{29C7DFFC-C2AB-4EFA-89A9-6E038D636223}"/>
    <hyperlink ref="L2744" r:id="rId2100" tooltip="https://learn.microsoft.com/azure/cloud-adoption-framework/ready/landing-zone/design-area/multi-tenant/considerations-recommendations" display="More info" xr:uid="{8B0D1ECA-3921-409B-8E77-0E84E3DEFDCE}"/>
    <hyperlink ref="L2745" r:id="rId2101" tooltip="https://learn.microsoft.com/azure/cloud-adoption-framework/ready/landing-zone/design-area/multi-tenant/considerations-recommendations" display="More info" xr:uid="{ED3BA9D1-70D3-4C4A-89AA-89B53EABF556}"/>
    <hyperlink ref="L2746" r:id="rId2102" tooltip="https://learn.microsoft.com/azure/cloud-adoption-framework/ready/landing-zone/design-area/multi-tenant/considerations-recommendations" display="More info" xr:uid="{5A9C68F9-484C-442B-9E23-875AD4E0BD85}"/>
    <hyperlink ref="L2747" r:id="rId2103" tooltip="https://learn.microsoft.com/azure/cloud-adoption-framework/ready/landing-zone/design-area/multi-tenant/considerations-recommendations" display="More info" xr:uid="{5D58973A-3896-4581-969E-0021CC8C1199}"/>
    <hyperlink ref="L2748" r:id="rId2104" tooltip="https://learn.microsoft.com/azure/cloud-adoption-framework/ready/landing-zone/design-area/multi-tenant/considerations-recommendations" display="More info" xr:uid="{1A9F6A2F-B747-4B4F-8B11-38423F3A2429}"/>
    <hyperlink ref="L2749" r:id="rId2105" tooltip="https://learn.microsoft.com/azure/cloud-adoption-framework/ready/landing-zone/design-area/multi-tenant/considerations-recommendations" display="More info" xr:uid="{A2A49FE6-0503-4571-BD44-EE192ED62B54}"/>
    <hyperlink ref="L2750" r:id="rId2106" tooltip="https://learn.microsoft.com/azure/cloud-adoption-framework/ready/landing-zone/design-area/multi-tenant/considerations-recommendations" display="More info" xr:uid="{8B10DCCB-57CD-45E0-AD00-C70E777C8FC9}"/>
    <hyperlink ref="L2751" r:id="rId2107" tooltip="https://learn.microsoft.com/azure/cloud-adoption-framework/ready/landing-zone/design-area/multi-tenant/considerations-recommendations" display="More info" xr:uid="{89492238-AA8F-434F-BC63-2FF13A8F9125}"/>
    <hyperlink ref="L2752" r:id="rId2108" tooltip="https://learn.microsoft.com/azure/cloud-adoption-framework/ready/landing-zone/design-area/multi-tenant/considerations-recommendations" display="More info" xr:uid="{3B729D67-1CB7-4355-99F2-B6EE59394703}"/>
    <hyperlink ref="L2753" r:id="rId2109" tooltip="https://learn.microsoft.com/azure/cloud-adoption-framework/ready/landing-zone/design-area/multi-tenant/considerations-recommendations" display="More info" xr:uid="{F254CF9E-1CC6-4173-8A83-1AC3A98233DC}"/>
    <hyperlink ref="L2754" r:id="rId2110" tooltip="https://learn.microsoft.com/azure/cloud-adoption-framework/ready/landing-zone/design-area/multi-tenant/considerations-recommendations" display="More info" xr:uid="{FD8E9911-7885-4C0B-992F-D36544FBFCAA}"/>
    <hyperlink ref="L2755" r:id="rId2111" tooltip="https://learn.microsoft.com/azure/cloud-adoption-framework/ready/landing-zone/design-area/multi-tenant/considerations-recommendations" display="More info" xr:uid="{C0DC4828-A162-4BC7-81A1-5A615595031B}"/>
    <hyperlink ref="L2756" r:id="rId2112" tooltip="https://learn.microsoft.com/azure/cloud-adoption-framework/ready/landing-zone/design-area/multi-tenant/considerations-recommendations" display="More info" xr:uid="{C0870D89-1C3C-4DF0-B127-6C1645BEDFC0}"/>
    <hyperlink ref="L2757" r:id="rId2113" tooltip="https://learn.microsoft.com/azure/cloud-adoption-framework/ready/landing-zone/design-area/multi-tenant/considerations-recommendations" display="More info" xr:uid="{868EF04A-600A-4FD0-B2AF-24C7C3A1A97E}"/>
    <hyperlink ref="L2758" r:id="rId2114" tooltip="https://learn.microsoft.com/azure/cloud-adoption-framework/ready/landing-zone/design-area/multi-tenant/considerations-recommendations" display="More info" xr:uid="{ADEC965A-840D-4460-A59A-58C7667C0768}"/>
    <hyperlink ref="L2759" r:id="rId2115" tooltip="https://learn.microsoft.com/azure/cloud-adoption-framework/ready/landing-zone/design-area/multi-tenant/considerations-recommendations" display="More info" xr:uid="{9C38EB1E-2D8D-4CB1-9F1D-E61EF2565994}"/>
    <hyperlink ref="L2760" r:id="rId2116" tooltip="https://learn.microsoft.com/azure/cloud-adoption-framework/ready/landing-zone/design-area/multi-tenant/considerations-recommendations" display="More info" xr:uid="{27C3FB31-D547-46B3-A22A-8556386D4B99}"/>
    <hyperlink ref="L2761" r:id="rId2117" tooltip="https://learn.microsoft.com/azure/cloud-adoption-framework/ready/landing-zone/design-area/multi-tenant/considerations-recommendations" display="More info" xr:uid="{4DE13E46-D71D-4FB4-9353-065647402EDA}"/>
    <hyperlink ref="L2762" r:id="rId2118" tooltip="https://learn.microsoft.com/azure/cloud-adoption-framework/ready/landing-zone/design-area/multi-tenant/considerations-recommendations" display="More info" xr:uid="{6D3F26B6-6195-4692-9B4D-6B3F8BFF750D}"/>
    <hyperlink ref="L2763" r:id="rId2119" tooltip="https://learn.microsoft.com/azure/cloud-adoption-framework/ready/landing-zone/design-area/multi-tenant/considerations-recommendations" display="More info" xr:uid="{015B2DDD-34B6-4A6D-B33E-49B806898A38}"/>
    <hyperlink ref="L2764" r:id="rId2120" tooltip="https://learn.microsoft.com/azure/cloud-adoption-framework/ready/landing-zone/design-area/multi-tenant/considerations-recommendations" display="More info" xr:uid="{F53B7FDD-A762-4378-9B6C-251DBE1EE412}"/>
    <hyperlink ref="L2765" r:id="rId2121" tooltip="https://learn.microsoft.com/azure/cloud-adoption-framework/ready/landing-zone/design-area/multi-tenant/considerations-recommendations" display="More info" xr:uid="{37BA1FC1-5363-4E8E-B199-E428E7E41A8A}"/>
    <hyperlink ref="L2766" r:id="rId2122" tooltip="https://learn.microsoft.com/azure/cloud-adoption-framework/ready/landing-zone/design-area/multi-tenant/considerations-recommendations" display="More info" xr:uid="{584D17D1-3BB7-4A9D-AE81-FD8403BEFAE0}"/>
    <hyperlink ref="L2767" r:id="rId2123" tooltip="https://learn.microsoft.com/azure/cloud-adoption-framework/ready/landing-zone/design-area/multi-tenant/considerations-recommendations" display="More info" xr:uid="{329D7116-8D84-41BE-8F0E-A139FF3C59FD}"/>
    <hyperlink ref="L2768" r:id="rId2124" tooltip="https://learn.microsoft.com/azure/cloud-adoption-framework/ready/landing-zone/design-area/multi-tenant/considerations-recommendations" display="More info" xr:uid="{F70247DD-67D1-490B-AFEF-F97A199F7712}"/>
    <hyperlink ref="L2769" r:id="rId2125" tooltip="https://learn.microsoft.com/azure/cloud-adoption-framework/ready/landing-zone/design-area/multi-tenant/considerations-recommendations" display="More info" xr:uid="{4F62ADCB-E200-4EF5-934A-8270EA88117E}"/>
    <hyperlink ref="L2770" r:id="rId2126" tooltip="https://learn.microsoft.com/azure/cloud-adoption-framework/ready/landing-zone/design-area/multi-tenant/considerations-recommendations" display="More info" xr:uid="{556FC557-11FC-4AD5-A424-FEA0815A0C79}"/>
    <hyperlink ref="L2771" r:id="rId2127" tooltip="https://learn.microsoft.com/azure/cloud-adoption-framework/ready/landing-zone/design-area/multi-tenant/considerations-recommendations" display="More info" xr:uid="{6017D8CD-6365-40A4-AF5B-27F14B4A6203}"/>
    <hyperlink ref="L2772" r:id="rId2128" tooltip="https://learn.microsoft.com/azure/cloud-adoption-framework/ready/landing-zone/design-area/multi-tenant/considerations-recommendations" display="More info" xr:uid="{E827DCC8-52F9-4F92-BEEA-AB9232166ED0}"/>
    <hyperlink ref="L2773" r:id="rId2129" tooltip="https://learn.microsoft.com/azure/cloud-adoption-framework/ready/landing-zone/design-area/multi-tenant/considerations-recommendations" display="More info" xr:uid="{2A934AFC-4A86-412E-B662-975FBE34332C}"/>
    <hyperlink ref="L2774" r:id="rId2130" tooltip="https://learn.microsoft.com/azure/cloud-adoption-framework/ready/landing-zone/design-area/multi-tenant/considerations-recommendations" display="More info" xr:uid="{5E70F98A-7358-466A-BD92-E353D4A8ED3E}"/>
    <hyperlink ref="L2775" r:id="rId2131" tooltip="https://learn.microsoft.com/azure/cloud-adoption-framework/ready/landing-zone/design-area/multi-tenant/considerations-recommendations" display="More info" xr:uid="{62895C6C-D026-4ABF-AE10-01A94ADCCB25}"/>
    <hyperlink ref="L2776" r:id="rId2132" tooltip="https://learn.microsoft.com/azure/cloud-adoption-framework/ready/landing-zone/design-area/multi-tenant/considerations-recommendations" display="More info" xr:uid="{251EBCFF-0C2D-40FB-81D3-D10F4996C22C}"/>
    <hyperlink ref="L2777" r:id="rId2133" tooltip="https://learn.microsoft.com/azure/cloud-adoption-framework/ready/landing-zone/design-area/multi-tenant/considerations-recommendations" display="More info" xr:uid="{1682642D-1F3C-492C-BBB4-6B29A640299D}"/>
    <hyperlink ref="L2778" r:id="rId2134" tooltip="https://learn.microsoft.com/azure/cloud-adoption-framework/ready/landing-zone/design-area/multi-tenant/considerations-recommendations" display="More info" xr:uid="{2B48F4BE-BF3E-4A24-B711-47AF4A369A31}"/>
    <hyperlink ref="L2779" r:id="rId2135" tooltip="https://learn.microsoft.com/azure/cloud-adoption-framework/ready/landing-zone/design-area/multi-tenant/considerations-recommendations" display="More info" xr:uid="{106896E1-E4DD-45C0-BFFD-93B261359800}"/>
    <hyperlink ref="L2780" r:id="rId2136" tooltip="https://learn.microsoft.com/azure/cloud-adoption-framework/ready/landing-zone/design-area/multi-tenant/considerations-recommendations" display="More info" xr:uid="{0FBC1758-2F62-43AD-8B38-81E1D75377D9}"/>
    <hyperlink ref="L2781" r:id="rId2137" tooltip="https://learn.microsoft.com/azure/cloud-adoption-framework/ready/landing-zone/design-area/multi-tenant/considerations-recommendations" display="More info" xr:uid="{10D79EBC-280E-4887-AF52-491CB31D8006}"/>
    <hyperlink ref="L2782" r:id="rId2138" tooltip="https://learn.microsoft.com/azure/cloud-adoption-framework/ready/landing-zone/design-area/multi-tenant/considerations-recommendations" display="More info" xr:uid="{D75E7597-5090-4A2E-9A08-009EFDF031E4}"/>
    <hyperlink ref="L2783" r:id="rId2139" tooltip="https://learn.microsoft.com/azure/cloud-adoption-framework/ready/landing-zone/design-area/multi-tenant/considerations-recommendations" display="More info" xr:uid="{1966443D-760A-4A98-B9A8-0F7AEACD5C0C}"/>
    <hyperlink ref="L2784" r:id="rId2140" tooltip="https://learn.microsoft.com/azure/cloud-adoption-framework/ready/landing-zone/design-area/multi-tenant/considerations-recommendations" display="More info" xr:uid="{FFAEEE1D-9EF3-4040-B306-EB6D8D488036}"/>
    <hyperlink ref="L2785" r:id="rId2141" tooltip="https://learn.microsoft.com/azure/cloud-adoption-framework/ready/landing-zone/design-area/multi-tenant/considerations-recommendations" display="More info" xr:uid="{C21A0C11-C743-49CF-A628-DFA445E0AD56}"/>
    <hyperlink ref="L2786" r:id="rId2142" tooltip="https://learn.microsoft.com/azure/cloud-adoption-framework/ready/landing-zone/design-area/multi-tenant/considerations-recommendations" display="More info" xr:uid="{FEA517DF-0C08-4B69-A21D-611BB306E355}"/>
    <hyperlink ref="L2787" r:id="rId2143" tooltip="https://learn.microsoft.com/azure/cloud-adoption-framework/ready/landing-zone/design-area/multi-tenant/considerations-recommendations" display="More info" xr:uid="{FB444350-9EF4-42EB-9B7F-8D11EC1DDA79}"/>
    <hyperlink ref="L2788" r:id="rId2144" tooltip="https://learn.microsoft.com/azure/cloud-adoption-framework/ready/landing-zone/design-area/multi-tenant/considerations-recommendations" display="More info" xr:uid="{D42A4720-DD91-453E-A123-C8364657627C}"/>
    <hyperlink ref="L2789" r:id="rId2145" tooltip="https://learn.microsoft.com/azure/cloud-adoption-framework/ready/landing-zone/design-area/multi-tenant/considerations-recommendations" display="More info" xr:uid="{CEA47BD6-BC7E-4CC6-93AB-42B9A7DBB341}"/>
    <hyperlink ref="L2790" r:id="rId2146" tooltip="https://learn.microsoft.com/azure/cloud-adoption-framework/ready/landing-zone/design-area/multi-tenant/considerations-recommendations" display="More info" xr:uid="{A4C73C42-41A0-4F51-8FFE-18367C2B3CB9}"/>
    <hyperlink ref="L2791" r:id="rId2147" tooltip="https://learn.microsoft.com/azure/cloud-adoption-framework/ready/landing-zone/design-area/multi-tenant/considerations-recommendations" display="More info" xr:uid="{B601A832-6B53-4490-87FF-0E8B087352A9}"/>
    <hyperlink ref="L2792" r:id="rId2148" tooltip="https://learn.microsoft.com/azure/cloud-adoption-framework/ready/landing-zone/design-area/multi-tenant/considerations-recommendations" display="More info" xr:uid="{00E6C33E-0EA6-4525-B3D1-7C66B2978E3D}"/>
    <hyperlink ref="L2793" r:id="rId2149" tooltip="https://learn.microsoft.com/azure/cloud-adoption-framework/ready/landing-zone/design-area/multi-tenant/considerations-recommendations" display="More info" xr:uid="{7125D35E-0BCE-4054-A87D-690254AF6328}"/>
    <hyperlink ref="L2794" r:id="rId2150" tooltip="https://learn.microsoft.com/azure/cloud-adoption-framework/ready/landing-zone/design-area/multi-tenant/considerations-recommendations" display="More info" xr:uid="{2116D7CC-6E58-47BB-A5B6-70246DAD4767}"/>
    <hyperlink ref="L2795" r:id="rId2151" tooltip="https://learn.microsoft.com/azure/cloud-adoption-framework/ready/landing-zone/design-area/multi-tenant/considerations-recommendations" display="More info" xr:uid="{862227F8-6A1B-4A1B-AD13-21BEF69285D1}"/>
    <hyperlink ref="L2796" r:id="rId2152" tooltip="https://learn.microsoft.com/azure/cloud-adoption-framework/ready/landing-zone/design-area/multi-tenant/considerations-recommendations" display="More info" xr:uid="{2156137F-F014-4DE2-AECB-248C1EFB2999}"/>
    <hyperlink ref="L2797" r:id="rId2153" tooltip="https://learn.microsoft.com/azure/cloud-adoption-framework/ready/landing-zone/design-area/multi-tenant/considerations-recommendations" display="More info" xr:uid="{18536DD7-ECFC-4C2E-862A-72032FF41811}"/>
    <hyperlink ref="L2798" r:id="rId2154" tooltip="https://learn.microsoft.com/azure/cloud-adoption-framework/ready/landing-zone/design-area/multi-tenant/considerations-recommendations" display="More info" xr:uid="{0D49C1B8-9DED-4FB8-B336-8201D8DAF1CD}"/>
    <hyperlink ref="L2799" r:id="rId2155" tooltip="https://learn.microsoft.com/azure/cloud-adoption-framework/ready/landing-zone/design-area/multi-tenant/considerations-recommendations" display="More info" xr:uid="{707FB120-BEC9-4631-9C9F-2101338FF108}"/>
    <hyperlink ref="L2800" r:id="rId2156" tooltip="https://learn.microsoft.com/azure/cloud-adoption-framework/ready/landing-zone/design-area/multi-tenant/considerations-recommendations" display="More info" xr:uid="{BAE94F8A-6811-446D-B637-F570A75D2E88}"/>
    <hyperlink ref="L2801" r:id="rId2157" tooltip="https://learn.microsoft.com/azure/cloud-adoption-framework/ready/landing-zone/design-area/multi-tenant/considerations-recommendations" display="More info" xr:uid="{150E1F4D-8C31-4948-8816-07910EC31C28}"/>
    <hyperlink ref="L2802" r:id="rId2158" tooltip="https://learn.microsoft.com/azure/cloud-adoption-framework/ready/landing-zone/design-area/multi-tenant/considerations-recommendations" display="More info" xr:uid="{CAA9F4F9-02C7-4280-A9BD-CAD13B96186A}"/>
    <hyperlink ref="L2803" r:id="rId2159" tooltip="https://learn.microsoft.com/azure/cloud-adoption-framework/ready/landing-zone/design-area/multi-tenant/considerations-recommendations" display="More info" xr:uid="{F8AC20E8-0D01-4E82-BB22-740A8E8F2AE9}"/>
    <hyperlink ref="L2804" r:id="rId2160" tooltip="https://learn.microsoft.com/azure/cloud-adoption-framework/ready/landing-zone/design-area/multi-tenant/considerations-recommendations" display="More info" xr:uid="{46F2B7BF-C337-4FE6-B471-FC4C796F81ED}"/>
    <hyperlink ref="L2805" r:id="rId2161" tooltip="https://learn.microsoft.com/azure/cloud-adoption-framework/ready/landing-zone/design-area/multi-tenant/considerations-recommendations" display="More info" xr:uid="{B35AFF23-68D8-44E0-8E12-212457F53DBA}"/>
    <hyperlink ref="L2806" r:id="rId2162" tooltip="https://learn.microsoft.com/azure/cloud-adoption-framework/ready/landing-zone/design-area/multi-tenant/considerations-recommendations" display="More info" xr:uid="{29BA99B8-736E-4607-B931-FB50F336B769}"/>
    <hyperlink ref="L2807" r:id="rId2163" tooltip="https://learn.microsoft.com/azure/cloud-adoption-framework/ready/landing-zone/design-area/multi-tenant/considerations-recommendations" display="More info" xr:uid="{E8D4B9AB-6144-4FE9-98A7-FA038D238D2E}"/>
    <hyperlink ref="L2808" r:id="rId2164" tooltip="https://learn.microsoft.com/azure/cloud-adoption-framework/ready/landing-zone/design-area/multi-tenant/considerations-recommendations" display="More info" xr:uid="{F64CC41D-CD09-4386-BB93-24781A61E965}"/>
    <hyperlink ref="L2809" r:id="rId2165" tooltip="https://learn.microsoft.com/azure/cloud-adoption-framework/ready/landing-zone/design-area/multi-tenant/considerations-recommendations" display="More info" xr:uid="{DBDC0D84-2D1F-41A5-A66D-B7027C70EFFD}"/>
    <hyperlink ref="L2810" r:id="rId2166" tooltip="https://learn.microsoft.com/azure/cloud-adoption-framework/ready/landing-zone/design-area/multi-tenant/considerations-recommendations" display="More info" xr:uid="{763193E5-D085-4809-B2B5-D942939E619E}"/>
    <hyperlink ref="L2811" r:id="rId2167" tooltip="https://learn.microsoft.com/azure/cloud-adoption-framework/ready/landing-zone/design-area/multi-tenant/considerations-recommendations" display="More info" xr:uid="{623ACF0A-0589-4598-912B-68C33FD7AFD4}"/>
    <hyperlink ref="L2812" r:id="rId2168" tooltip="https://learn.microsoft.com/azure/cloud-adoption-framework/ready/landing-zone/design-area/multi-tenant/considerations-recommendations" display="More info" xr:uid="{08A05693-5D54-4F20-8811-8B359860D76D}"/>
    <hyperlink ref="L2813" r:id="rId2169" tooltip="https://learn.microsoft.com/azure/cloud-adoption-framework/ready/landing-zone/design-area/multi-tenant/considerations-recommendations" display="More info" xr:uid="{08B50250-B16E-4370-A452-6986C9B2E7B7}"/>
    <hyperlink ref="L2814" r:id="rId2170" tooltip="https://learn.microsoft.com/azure/cloud-adoption-framework/ready/landing-zone/design-area/multi-tenant/considerations-recommendations" display="More info" xr:uid="{51969242-C366-4E42-9287-9610ACF7B2E4}"/>
    <hyperlink ref="L2815" r:id="rId2171" tooltip="https://learn.microsoft.com/azure/cloud-adoption-framework/ready/landing-zone/design-area/multi-tenant/considerations-recommendations" display="More info" xr:uid="{1FCD83CC-268E-41EA-808F-78E774191D9E}"/>
    <hyperlink ref="L2816" r:id="rId2172" tooltip="https://learn.microsoft.com/azure/cloud-adoption-framework/ready/landing-zone/design-area/multi-tenant/considerations-recommendations" display="More info" xr:uid="{EB713186-E133-4413-8E47-CA525EA5AF2D}"/>
    <hyperlink ref="L2817" r:id="rId2173" tooltip="https://learn.microsoft.com/azure/cloud-adoption-framework/ready/landing-zone/design-area/multi-tenant/considerations-recommendations" display="More info" xr:uid="{E5B31730-D56D-4D9A-959F-E75B1A62A658}"/>
    <hyperlink ref="L2818" r:id="rId2174" tooltip="https://learn.microsoft.com/azure/cloud-adoption-framework/ready/landing-zone/design-area/multi-tenant/considerations-recommendations" display="More info" xr:uid="{6E203ABD-3576-4643-BB78-55AA6F88FCB7}"/>
    <hyperlink ref="L2819" r:id="rId2175" tooltip="https://learn.microsoft.com/azure/cloud-adoption-framework/ready/landing-zone/design-area/multi-tenant/considerations-recommendations" display="More info" xr:uid="{2052B647-D2A1-451C-9221-A766854849DC}"/>
    <hyperlink ref="L2820" r:id="rId2176" tooltip="https://learn.microsoft.com/azure/cloud-adoption-framework/ready/landing-zone/design-area/multi-tenant/considerations-recommendations" display="More info" xr:uid="{4E35BE79-D7FB-4146-8424-5199CDF2D324}"/>
    <hyperlink ref="L2821" r:id="rId2177" tooltip="https://learn.microsoft.com/azure/cloud-adoption-framework/ready/landing-zone/design-area/multi-tenant/considerations-recommendations" display="More info" xr:uid="{6D5C3FD5-8A2E-41CA-BC52-0915D027B2A0}"/>
    <hyperlink ref="L2822" r:id="rId2178" tooltip="https://learn.microsoft.com/azure/cloud-adoption-framework/ready/landing-zone/design-area/multi-tenant/considerations-recommendations" display="More info" xr:uid="{D815E47E-E879-43DA-B38D-A971810BE8D5}"/>
    <hyperlink ref="L2823" r:id="rId2179" tooltip="https://learn.microsoft.com/azure/cloud-adoption-framework/ready/landing-zone/design-area/multi-tenant/considerations-recommendations" display="More info" xr:uid="{CCDCE0A2-6C6B-448B-B9E8-B24652D7B9F1}"/>
    <hyperlink ref="L2824" r:id="rId2180" tooltip="https://learn.microsoft.com/azure/cloud-adoption-framework/ready/landing-zone/design-area/multi-tenant/considerations-recommendations" display="More info" xr:uid="{8F2F9D04-2339-491C-8CDC-EC4E0145A8BD}"/>
    <hyperlink ref="L2825" r:id="rId2181" tooltip="https://learn.microsoft.com/azure/cloud-adoption-framework/ready/landing-zone/design-area/multi-tenant/considerations-recommendations" display="More info" xr:uid="{F34FC0BC-2CA7-4A61-9BB1-9DF4580F62EA}"/>
    <hyperlink ref="L2826" r:id="rId2182" tooltip="https://learn.microsoft.com/azure/cloud-adoption-framework/ready/landing-zone/design-area/multi-tenant/considerations-recommendations" display="More info" xr:uid="{D57D91E2-C86E-40A9-B315-C01DA2344601}"/>
    <hyperlink ref="L2827" r:id="rId2183" tooltip="https://learn.microsoft.com/azure/cloud-adoption-framework/ready/landing-zone/design-area/multi-tenant/considerations-recommendations" display="More info" xr:uid="{9324D66A-C4DB-45FC-A5E7-31C7FB73143E}"/>
    <hyperlink ref="L2828" r:id="rId2184" tooltip="https://learn.microsoft.com/azure/cloud-adoption-framework/ready/landing-zone/design-area/multi-tenant/considerations-recommendations" display="More info" xr:uid="{7FDAE2B9-77A3-40D5-BDD6-18141FB3CEEB}"/>
    <hyperlink ref="L2829" r:id="rId2185" tooltip="https://learn.microsoft.com/azure/cloud-adoption-framework/ready/landing-zone/design-area/multi-tenant/considerations-recommendations" display="More info" xr:uid="{061D589A-4324-412F-BA2E-E59A39CD02B1}"/>
    <hyperlink ref="L2830" r:id="rId2186" tooltip="https://learn.microsoft.com/azure/cloud-adoption-framework/ready/landing-zone/design-area/multi-tenant/considerations-recommendations" display="More info" xr:uid="{484B1DAB-65B7-47C6-804B-45806B1C449F}"/>
    <hyperlink ref="L2831" r:id="rId2187" tooltip="https://learn.microsoft.com/azure/cloud-adoption-framework/ready/landing-zone/design-area/multi-tenant/considerations-recommendations" display="More info" xr:uid="{771F5059-F9C7-432A-84D3-922BF3F9FC9B}"/>
    <hyperlink ref="L2832" r:id="rId2188" tooltip="https://learn.microsoft.com/azure/cloud-adoption-framework/ready/landing-zone/design-area/multi-tenant/considerations-recommendations" display="More info" xr:uid="{EE02932C-C80B-4DA7-A522-AAC50B2DB3D4}"/>
    <hyperlink ref="L2833" r:id="rId2189" tooltip="https://learn.microsoft.com/azure/cloud-adoption-framework/ready/landing-zone/design-area/multi-tenant/considerations-recommendations" display="More info" xr:uid="{FBB2BF77-D4F6-4A71-A4F9-CD7EB3A4BA24}"/>
    <hyperlink ref="L2834" r:id="rId2190" tooltip="https://learn.microsoft.com/azure/cloud-adoption-framework/ready/landing-zone/design-area/multi-tenant/considerations-recommendations" display="More info" xr:uid="{4F37BAB8-6A66-4385-B08A-8E730B57BCFB}"/>
    <hyperlink ref="L2835" r:id="rId2191" tooltip="https://learn.microsoft.com/azure/cloud-adoption-framework/ready/landing-zone/design-area/multi-tenant/considerations-recommendations" display="More info" xr:uid="{0B65C872-60EE-4D2E-BE6E-CC40DED1E924}"/>
    <hyperlink ref="L2836" r:id="rId2192" tooltip="https://learn.microsoft.com/azure/cloud-adoption-framework/ready/landing-zone/design-area/multi-tenant/considerations-recommendations" display="More info" xr:uid="{FA0E03C0-82FB-4155-9724-BD95D4611ACF}"/>
    <hyperlink ref="L2837" r:id="rId2193" tooltip="https://learn.microsoft.com/azure/cloud-adoption-framework/ready/landing-zone/design-area/multi-tenant/considerations-recommendations" display="More info" xr:uid="{B8282EB3-9353-48D0-B02B-BBFB931A4334}"/>
    <hyperlink ref="L2838" r:id="rId2194" tooltip="https://learn.microsoft.com/azure/cloud-adoption-framework/ready/landing-zone/design-area/multi-tenant/considerations-recommendations" display="More info" xr:uid="{83D77789-656F-4116-9729-9E52946A57CA}"/>
    <hyperlink ref="L2839" r:id="rId2195" tooltip="https://learn.microsoft.com/azure/cloud-adoption-framework/ready/landing-zone/design-area/multi-tenant/considerations-recommendations" display="More info" xr:uid="{46F796A4-E88E-417C-8654-9E1A7A741A5F}"/>
    <hyperlink ref="L2840" r:id="rId2196" tooltip="https://learn.microsoft.com/azure/cloud-adoption-framework/ready/landing-zone/design-area/multi-tenant/considerations-recommendations" display="More info" xr:uid="{8908A68C-28F6-4E47-AFC8-ACDBA7B7C221}"/>
    <hyperlink ref="L2841" r:id="rId2197" tooltip="https://learn.microsoft.com/azure/cloud-adoption-framework/ready/landing-zone/design-area/multi-tenant/considerations-recommendations" display="More info" xr:uid="{8C1EA874-9CED-40BB-A862-DDD43A6B38B1}"/>
    <hyperlink ref="L2842" r:id="rId2198" tooltip="https://learn.microsoft.com/azure/cloud-adoption-framework/ready/landing-zone/design-area/multi-tenant/considerations-recommendations" display="More info" xr:uid="{DCA6A410-2D34-4AF0-8817-D1D679BCD9CC}"/>
    <hyperlink ref="L2843" r:id="rId2199" tooltip="https://learn.microsoft.com/azure/cloud-adoption-framework/ready/landing-zone/design-area/multi-tenant/considerations-recommendations" display="More info" xr:uid="{737B56F3-B002-4AFC-9471-B44A80098976}"/>
    <hyperlink ref="L2844" r:id="rId2200" tooltip="https://learn.microsoft.com/azure/cloud-adoption-framework/ready/landing-zone/design-area/multi-tenant/considerations-recommendations" display="More info" xr:uid="{2B679BD3-275E-49BC-8975-D467C57D224A}"/>
    <hyperlink ref="L2845" r:id="rId2201" tooltip="https://learn.microsoft.com/azure/cloud-adoption-framework/ready/landing-zone/design-area/multi-tenant/considerations-recommendations" display="More info" xr:uid="{BC79BB51-609E-4F00-89AE-A0E008C1D1B2}"/>
    <hyperlink ref="L2846" r:id="rId2202" tooltip="https://learn.microsoft.com/azure/cloud-adoption-framework/ready/landing-zone/design-area/multi-tenant/considerations-recommendations" display="More info" xr:uid="{C62EE7B4-195B-4B19-A1C5-1461B7931AE4}"/>
    <hyperlink ref="L2847" r:id="rId2203" tooltip="https://learn.microsoft.com/azure/cloud-adoption-framework/ready/landing-zone/design-area/multi-tenant/considerations-recommendations" display="More info" xr:uid="{6381B293-5A84-400A-92D1-5652D66272E2}"/>
    <hyperlink ref="L2848" r:id="rId2204" tooltip="https://learn.microsoft.com/azure/cloud-adoption-framework/ready/landing-zone/design-area/multi-tenant/considerations-recommendations" display="More info" xr:uid="{FA285266-FF70-47C0-8263-3CBC7DE5469D}"/>
    <hyperlink ref="L2849" r:id="rId2205" tooltip="https://learn.microsoft.com/azure/cloud-adoption-framework/ready/landing-zone/design-area/multi-tenant/considerations-recommendations" display="More info" xr:uid="{BEE2E63E-66AE-44D0-9AC2-E640DB449A89}"/>
    <hyperlink ref="L2850" r:id="rId2206" tooltip="https://learn.microsoft.com/azure/cloud-adoption-framework/ready/landing-zone/design-area/multi-tenant/considerations-recommendations" display="More info" xr:uid="{34D4659F-5905-4700-A3D0-9BC525D915AC}"/>
    <hyperlink ref="L2851" r:id="rId2207" tooltip="https://learn.microsoft.com/azure/cloud-adoption-framework/ready/landing-zone/design-area/multi-tenant/considerations-recommendations" display="More info" xr:uid="{932F325A-4FB1-4F77-BF06-CB7CE8E0ED23}"/>
    <hyperlink ref="L2852" r:id="rId2208" tooltip="https://learn.microsoft.com/azure/cloud-adoption-framework/ready/landing-zone/design-area/multi-tenant/considerations-recommendations" display="More info" xr:uid="{3CB11447-19E2-43A9-B21E-1294D0966565}"/>
    <hyperlink ref="L2853" r:id="rId2209" tooltip="https://learn.microsoft.com/azure/cloud-adoption-framework/ready/landing-zone/design-area/multi-tenant/considerations-recommendations" display="More info" xr:uid="{EE7B651C-E177-402C-89CE-C216F19699C7}"/>
    <hyperlink ref="L2854" r:id="rId2210" tooltip="https://learn.microsoft.com/azure/cloud-adoption-framework/ready/landing-zone/design-area/multi-tenant/considerations-recommendations" display="More info" xr:uid="{0F5073B3-6A9F-44F0-9D7A-4CCDA0B567FC}"/>
    <hyperlink ref="L2855" r:id="rId2211" tooltip="https://learn.microsoft.com/azure/cloud-adoption-framework/ready/landing-zone/design-area/multi-tenant/considerations-recommendations" display="More info" xr:uid="{410267AB-A7E8-4020-905B-24AA113996C7}"/>
    <hyperlink ref="L2856" r:id="rId2212" tooltip="https://learn.microsoft.com/azure/cloud-adoption-framework/ready/landing-zone/design-area/multi-tenant/considerations-recommendations" display="More info" xr:uid="{98D2DACD-44CA-4654-812C-5B54019A5196}"/>
    <hyperlink ref="L2857" r:id="rId2213" tooltip="https://learn.microsoft.com/azure/cloud-adoption-framework/ready/landing-zone/design-area/multi-tenant/considerations-recommendations" display="More info" xr:uid="{4BC33BBD-9E87-4A48-B2C6-8060B2E219CA}"/>
    <hyperlink ref="L2858" r:id="rId2214" tooltip="https://learn.microsoft.com/azure/cloud-adoption-framework/ready/landing-zone/design-area/multi-tenant/considerations-recommendations" display="More info" xr:uid="{A38EAA76-02BE-4844-B9BC-5811C6330787}"/>
    <hyperlink ref="L2859" r:id="rId2215" tooltip="https://learn.microsoft.com/azure/cloud-adoption-framework/ready/landing-zone/design-area/multi-tenant/considerations-recommendations" display="More info" xr:uid="{B1BE2262-DAA5-4153-A018-C7326C454A51}"/>
    <hyperlink ref="L2860" r:id="rId2216" tooltip="https://learn.microsoft.com/azure/cloud-adoption-framework/ready/landing-zone/design-area/multi-tenant/considerations-recommendations" display="More info" xr:uid="{E03204C1-04C8-48FB-A373-12EABF76D46C}"/>
    <hyperlink ref="L2861" r:id="rId2217" tooltip="https://learn.microsoft.com/azure/cloud-adoption-framework/ready/landing-zone/design-area/multi-tenant/considerations-recommendations" display="More info" xr:uid="{FCFF07BB-0050-4366-83C9-E749C9447D2C}"/>
    <hyperlink ref="L2862" r:id="rId2218" tooltip="https://learn.microsoft.com/azure/cloud-adoption-framework/ready/landing-zone/design-area/multi-tenant/considerations-recommendations" display="More info" xr:uid="{D05D1B61-B5E9-4A4F-BA34-26988BB126DB}"/>
    <hyperlink ref="L2863" r:id="rId2219" tooltip="https://learn.microsoft.com/azure/cloud-adoption-framework/ready/landing-zone/design-area/multi-tenant/considerations-recommendations" display="More info" xr:uid="{246EE57B-0D51-4C4C-9DEE-D7F5B5182282}"/>
    <hyperlink ref="L2864" r:id="rId2220" tooltip="https://learn.microsoft.com/azure/cloud-adoption-framework/ready/landing-zone/design-area/multi-tenant/considerations-recommendations" display="More info" xr:uid="{9E65EE94-9471-4FD8-8488-5B3B93322C3F}"/>
    <hyperlink ref="L2865" r:id="rId2221" tooltip="https://learn.microsoft.com/azure/cloud-adoption-framework/ready/landing-zone/design-area/multi-tenant/considerations-recommendations" display="More info" xr:uid="{9B1F8EA9-9B97-43EF-8344-87DB5B52DEA5}"/>
    <hyperlink ref="L2866" r:id="rId2222" tooltip="https://learn.microsoft.com/azure/cloud-adoption-framework/ready/landing-zone/design-area/multi-tenant/considerations-recommendations" display="More info" xr:uid="{BEBCB317-F5FD-4AAF-9F94-3356093272F9}"/>
    <hyperlink ref="L2867" r:id="rId2223" tooltip="https://learn.microsoft.com/azure/cloud-adoption-framework/ready/landing-zone/design-area/multi-tenant/considerations-recommendations" display="More info" xr:uid="{EE084AB3-0AF9-4B75-9D15-BC67A5FE5C7B}"/>
    <hyperlink ref="L2868" r:id="rId2224" tooltip="https://learn.microsoft.com/azure/cloud-adoption-framework/ready/landing-zone/design-area/multi-tenant/considerations-recommendations" display="More info" xr:uid="{87C1727C-E068-4BCF-BA31-F243AD2D1D96}"/>
    <hyperlink ref="L2869" r:id="rId2225" tooltip="https://learn.microsoft.com/azure/cloud-adoption-framework/ready/landing-zone/design-area/multi-tenant/considerations-recommendations" display="More info" xr:uid="{30CA93E7-3563-481B-B53C-9247BF1318E7}"/>
    <hyperlink ref="L2870" r:id="rId2226" tooltip="https://learn.microsoft.com/azure/cloud-adoption-framework/ready/landing-zone/design-area/multi-tenant/considerations-recommendations" display="More info" xr:uid="{75BF6FEE-1FED-4412-940E-475EAFDEDED8}"/>
    <hyperlink ref="L2871" r:id="rId2227" tooltip="https://learn.microsoft.com/azure/cloud-adoption-framework/ready/landing-zone/design-area/multi-tenant/considerations-recommendations" display="More info" xr:uid="{97D0DA9D-B3E4-4A5A-B47A-4191C0A38811}"/>
    <hyperlink ref="L2872" r:id="rId2228" tooltip="https://learn.microsoft.com/azure/cloud-adoption-framework/ready/landing-zone/design-area/multi-tenant/considerations-recommendations" display="More info" xr:uid="{614FC5DE-F46E-4F05-AD7C-B61D2EE343FE}"/>
    <hyperlink ref="L2873" r:id="rId2229" tooltip="https://learn.microsoft.com/azure/cloud-adoption-framework/ready/landing-zone/design-area/multi-tenant/considerations-recommendations" display="More info" xr:uid="{B4142F0C-A335-41F9-8662-B4AD492D2636}"/>
    <hyperlink ref="L2874" r:id="rId2230" tooltip="https://learn.microsoft.com/azure/cloud-adoption-framework/ready/landing-zone/design-area/multi-tenant/considerations-recommendations" display="More info" xr:uid="{81F27AD6-BB10-4D33-98E8-ABF3765A0083}"/>
    <hyperlink ref="L2875" r:id="rId2231" tooltip="https://learn.microsoft.com/azure/cloud-adoption-framework/ready/landing-zone/design-area/multi-tenant/considerations-recommendations" display="More info" xr:uid="{34B5A357-2DAC-4E96-9B68-3B741DC7BDD9}"/>
    <hyperlink ref="L2876" r:id="rId2232" tooltip="https://learn.microsoft.com/azure/cloud-adoption-framework/ready/landing-zone/design-area/multi-tenant/considerations-recommendations" display="More info" xr:uid="{12DB9506-2DDC-4DC7-B8ED-32B50F38E92C}"/>
    <hyperlink ref="L2877" r:id="rId2233" tooltip="https://learn.microsoft.com/azure/cloud-adoption-framework/ready/landing-zone/design-area/multi-tenant/considerations-recommendations" display="More info" xr:uid="{3282742D-C64A-48E4-9C65-D5655C5ADAE6}"/>
    <hyperlink ref="L2878" r:id="rId2234" tooltip="https://learn.microsoft.com/azure/cloud-adoption-framework/ready/landing-zone/design-area/multi-tenant/considerations-recommendations" display="More info" xr:uid="{F617FC61-3BA0-491D-A646-B0A6BB5837BE}"/>
    <hyperlink ref="L2879" r:id="rId2235" tooltip="https://learn.microsoft.com/azure/cloud-adoption-framework/ready/landing-zone/design-area/multi-tenant/considerations-recommendations" display="More info" xr:uid="{88E21E7E-AEF1-4285-9F9E-ADE6A509A6CF}"/>
    <hyperlink ref="L2880" r:id="rId2236" tooltip="https://learn.microsoft.com/azure/cloud-adoption-framework/ready/landing-zone/design-area/multi-tenant/considerations-recommendations" display="More info" xr:uid="{997ED479-7C37-46FB-BBD7-471B40E4EDF5}"/>
    <hyperlink ref="L2881" r:id="rId2237" tooltip="https://learn.microsoft.com/azure/cloud-adoption-framework/ready/landing-zone/design-area/multi-tenant/considerations-recommendations" display="More info" xr:uid="{CC5AFC01-01DC-4158-BEB2-9590ED94D387}"/>
    <hyperlink ref="L2882" r:id="rId2238" tooltip="https://learn.microsoft.com/azure/cloud-adoption-framework/ready/landing-zone/design-area/multi-tenant/considerations-recommendations" display="More info" xr:uid="{15E76D85-2445-4F22-82A2-3ADC8E069A59}"/>
    <hyperlink ref="L2883" r:id="rId2239" tooltip="https://learn.microsoft.com/azure/cloud-adoption-framework/ready/landing-zone/design-area/multi-tenant/considerations-recommendations" display="More info" xr:uid="{B5861459-765D-46F9-B864-105C11EE4611}"/>
    <hyperlink ref="L2884" r:id="rId2240" tooltip="https://learn.microsoft.com/azure/cloud-adoption-framework/ready/landing-zone/design-area/multi-tenant/considerations-recommendations" display="More info" xr:uid="{5BEE29FF-B294-482A-93E2-F4AF1F2647EF}"/>
    <hyperlink ref="L2885" r:id="rId2241" tooltip="https://learn.microsoft.com/azure/cloud-adoption-framework/ready/landing-zone/design-area/multi-tenant/considerations-recommendations" display="More info" xr:uid="{3F357515-2943-48BA-B4F2-D0340BB0E676}"/>
    <hyperlink ref="L2886" r:id="rId2242" tooltip="https://learn.microsoft.com/azure/cloud-adoption-framework/ready/landing-zone/design-area/multi-tenant/considerations-recommendations" display="More info" xr:uid="{BCFAE532-0CC2-4542-BC90-46EC642047DE}"/>
    <hyperlink ref="L2887" r:id="rId2243" tooltip="https://learn.microsoft.com/azure/cloud-adoption-framework/ready/landing-zone/design-area/multi-tenant/considerations-recommendations" display="More info" xr:uid="{91AA7CE7-AE07-4509-9DE6-D18402873BF0}"/>
    <hyperlink ref="L2888" r:id="rId2244" tooltip="https://learn.microsoft.com/azure/cloud-adoption-framework/ready/landing-zone/design-area/multi-tenant/considerations-recommendations" display="More info" xr:uid="{D50D3769-5C72-48AA-9E98-36F58738848E}"/>
    <hyperlink ref="L2889" r:id="rId2245" tooltip="https://learn.microsoft.com/azure/cloud-adoption-framework/ready/landing-zone/design-area/multi-tenant/considerations-recommendations" display="More info" xr:uid="{F4577806-5418-4A8B-B2C4-9F9097CEC59C}"/>
    <hyperlink ref="L2890" r:id="rId2246" tooltip="https://learn.microsoft.com/azure/cloud-adoption-framework/ready/landing-zone/design-area/multi-tenant/considerations-recommendations" display="More info" xr:uid="{9A8744A3-F45F-420E-8210-7BC2C8262A28}"/>
    <hyperlink ref="L2891" r:id="rId2247" tooltip="https://learn.microsoft.com/azure/cloud-adoption-framework/ready/landing-zone/design-area/multi-tenant/considerations-recommendations" display="More info" xr:uid="{FCC8E115-EDDB-4114-ABA4-253F2D9EDF20}"/>
    <hyperlink ref="L2892" r:id="rId2248" tooltip="https://learn.microsoft.com/azure/cloud-adoption-framework/ready/landing-zone/design-area/multi-tenant/considerations-recommendations" display="More info" xr:uid="{FAAE29FC-D1E1-4784-AC4E-7332D3AA62B8}"/>
    <hyperlink ref="L2893" r:id="rId2249" tooltip="https://learn.microsoft.com/azure/cloud-adoption-framework/ready/landing-zone/design-area/multi-tenant/considerations-recommendations" display="More info" xr:uid="{C9F3E190-A2CF-4A9D-A9F2-0524AB0FEC26}"/>
    <hyperlink ref="L2894" r:id="rId2250" tooltip="https://learn.microsoft.com/azure/cloud-adoption-framework/ready/landing-zone/design-area/multi-tenant/considerations-recommendations" display="More info" xr:uid="{16BB97F9-F4C4-4EEE-BF8D-488C7DB64D6D}"/>
    <hyperlink ref="L2895" r:id="rId2251" tooltip="https://learn.microsoft.com/azure/cloud-adoption-framework/ready/landing-zone/design-area/multi-tenant/considerations-recommendations" display="More info" xr:uid="{65DE9680-A4E3-4A3C-996E-11F7292031C9}"/>
    <hyperlink ref="L2896" r:id="rId2252" tooltip="https://learn.microsoft.com/azure/cloud-adoption-framework/ready/landing-zone/design-area/multi-tenant/considerations-recommendations" display="More info" xr:uid="{539203D8-1C83-44E0-842F-D75D92846B92}"/>
    <hyperlink ref="L2897" r:id="rId2253" tooltip="https://learn.microsoft.com/azure/cloud-adoption-framework/ready/landing-zone/design-area/multi-tenant/considerations-recommendations" display="More info" xr:uid="{83B68026-5DF3-4D90-8236-1858C0F06ECF}"/>
    <hyperlink ref="L2898" r:id="rId2254" tooltip="https://learn.microsoft.com/azure/cloud-adoption-framework/ready/landing-zone/design-area/multi-tenant/considerations-recommendations" display="More info" xr:uid="{E9B10259-CFE9-4EA1-A189-BBA061910D23}"/>
    <hyperlink ref="L2899" r:id="rId2255" tooltip="https://learn.microsoft.com/azure/cloud-adoption-framework/ready/landing-zone/design-area/multi-tenant/considerations-recommendations" display="More info" xr:uid="{D9A0969D-BCB8-4562-AC90-2B78F6F06861}"/>
    <hyperlink ref="L2900" r:id="rId2256" tooltip="https://learn.microsoft.com/azure/cloud-adoption-framework/ready/landing-zone/design-area/multi-tenant/considerations-recommendations" display="More info" xr:uid="{0D9D5C2A-70E0-4CB6-8262-07A24AA73595}"/>
    <hyperlink ref="L2901" r:id="rId2257" tooltip="https://learn.microsoft.com/azure/cloud-adoption-framework/ready/landing-zone/design-area/multi-tenant/considerations-recommendations" display="More info" xr:uid="{4F1A11E0-9D09-442C-AB3B-8292A8FC17F7}"/>
    <hyperlink ref="L2902" r:id="rId2258" tooltip="https://learn.microsoft.com/azure/cloud-adoption-framework/ready/landing-zone/design-area/multi-tenant/considerations-recommendations" display="More info" xr:uid="{09D7A378-696F-4EFE-B32C-C2155D8D085B}"/>
    <hyperlink ref="L2903" r:id="rId2259" tooltip="https://learn.microsoft.com/azure/cloud-adoption-framework/ready/landing-zone/design-area/multi-tenant/considerations-recommendations" display="More info" xr:uid="{C8D7E601-C12E-4E89-919A-4E951DD08346}"/>
    <hyperlink ref="L2904" r:id="rId2260" tooltip="https://learn.microsoft.com/azure/cloud-adoption-framework/ready/landing-zone/design-area/multi-tenant/considerations-recommendations" display="More info" xr:uid="{DBD9AAD5-B275-4C8C-B091-FD87A9B119CA}"/>
    <hyperlink ref="L2905" r:id="rId2261" tooltip="https://learn.microsoft.com/azure/cloud-adoption-framework/ready/landing-zone/design-area/multi-tenant/considerations-recommendations" display="More info" xr:uid="{B75E11D2-4AB8-40CB-87BA-3AB1E8F87A34}"/>
    <hyperlink ref="L2906" r:id="rId2262" tooltip="https://learn.microsoft.com/azure/cloud-adoption-framework/ready/landing-zone/design-area/multi-tenant/considerations-recommendations" display="More info" xr:uid="{4A0100EA-BF3E-43AB-819B-B0CCD2D6E5DB}"/>
    <hyperlink ref="L2907" r:id="rId2263" tooltip="https://learn.microsoft.com/azure/cloud-adoption-framework/ready/landing-zone/design-area/multi-tenant/considerations-recommendations" display="More info" xr:uid="{1DA0AFAA-E98B-4419-B60D-AD564BF98114}"/>
    <hyperlink ref="L2908" r:id="rId2264" tooltip="https://learn.microsoft.com/azure/cloud-adoption-framework/ready/landing-zone/design-area/multi-tenant/considerations-recommendations" display="More info" xr:uid="{49D986F0-2648-4619-89DF-64BB20B506E1}"/>
    <hyperlink ref="L2909" r:id="rId2265" tooltip="https://learn.microsoft.com/azure/cloud-adoption-framework/ready/landing-zone/design-area/multi-tenant/considerations-recommendations" display="More info" xr:uid="{3D27D173-03FF-4CA7-B6A8-CF7238450F40}"/>
    <hyperlink ref="L2910" r:id="rId2266" tooltip="https://learn.microsoft.com/azure/cloud-adoption-framework/ready/landing-zone/design-area/multi-tenant/considerations-recommendations" display="More info" xr:uid="{675A5EB6-4F93-46CE-9114-A28DFD4F1CEC}"/>
    <hyperlink ref="L2911" r:id="rId2267" tooltip="https://learn.microsoft.com/azure/cloud-adoption-framework/ready/landing-zone/design-area/multi-tenant/considerations-recommendations" display="More info" xr:uid="{7DD285F3-0C6F-4A67-9880-8CD528A9AA32}"/>
    <hyperlink ref="L2912" r:id="rId2268" tooltip="https://learn.microsoft.com/azure/cloud-adoption-framework/ready/landing-zone/design-area/multi-tenant/considerations-recommendations" display="More info" xr:uid="{CBC96ED8-D137-4132-93DD-D7995CFB94E7}"/>
    <hyperlink ref="L2913" r:id="rId2269" tooltip="https://learn.microsoft.com/azure/cloud-adoption-framework/ready/landing-zone/design-area/multi-tenant/considerations-recommendations" display="More info" xr:uid="{9915CB5F-3CD0-4F10-BBB2-66DD46D7BEAF}"/>
    <hyperlink ref="L2914" r:id="rId2270" tooltip="https://learn.microsoft.com/azure/cloud-adoption-framework/ready/landing-zone/design-area/multi-tenant/considerations-recommendations" display="More info" xr:uid="{F77A73AB-F18C-4EDD-8C56-0264A207F5CF}"/>
    <hyperlink ref="L2915" r:id="rId2271" tooltip="https://learn.microsoft.com/azure/cloud-adoption-framework/ready/landing-zone/design-area/multi-tenant/considerations-recommendations" display="More info" xr:uid="{44B8B108-2E76-4DC0-8C75-0AEC43452F19}"/>
    <hyperlink ref="L2916" r:id="rId2272" tooltip="https://learn.microsoft.com/azure/cloud-adoption-framework/ready/landing-zone/design-area/multi-tenant/considerations-recommendations" display="More info" xr:uid="{4A24C95C-0C67-4B2F-8586-AD4B2E3C86C9}"/>
    <hyperlink ref="L2917" r:id="rId2273" tooltip="https://learn.microsoft.com/azure/cloud-adoption-framework/ready/landing-zone/design-area/multi-tenant/considerations-recommendations" display="More info" xr:uid="{D778CED5-4A0E-4C95-9552-AE3D138A7D92}"/>
    <hyperlink ref="L2918" r:id="rId2274" tooltip="https://learn.microsoft.com/azure/cloud-adoption-framework/ready/landing-zone/design-area/multi-tenant/considerations-recommendations" display="More info" xr:uid="{15CAD04B-C316-4BDA-8001-F008A5F3DCE5}"/>
    <hyperlink ref="L2919" r:id="rId2275" tooltip="https://learn.microsoft.com/azure/cloud-adoption-framework/ready/landing-zone/design-area/multi-tenant/considerations-recommendations" display="More info" xr:uid="{E33A5DA8-2AE1-4E7A-B8BD-4A51CA9B08C5}"/>
    <hyperlink ref="L2920" r:id="rId2276" tooltip="https://learn.microsoft.com/azure/cloud-adoption-framework/ready/landing-zone/design-area/multi-tenant/considerations-recommendations" display="More info" xr:uid="{6B0078E7-BE8E-4514-8246-3F2256B9CA87}"/>
    <hyperlink ref="L2921" r:id="rId2277" tooltip="https://learn.microsoft.com/azure/cloud-adoption-framework/ready/landing-zone/design-area/multi-tenant/considerations-recommendations" display="More info" xr:uid="{75431692-F62B-46C2-9417-DC1550D2A1D4}"/>
    <hyperlink ref="L2922" r:id="rId2278" tooltip="https://learn.microsoft.com/azure/cloud-adoption-framework/ready/landing-zone/design-area/multi-tenant/considerations-recommendations" display="More info" xr:uid="{25501623-FFA3-4476-BBED-014B38990643}"/>
    <hyperlink ref="L2923" r:id="rId2279" tooltip="https://learn.microsoft.com/azure/cloud-adoption-framework/ready/landing-zone/design-area/multi-tenant/considerations-recommendations" display="More info" xr:uid="{AD5C471E-A0F3-4E7C-8570-B6C54D7E31AA}"/>
    <hyperlink ref="L2924" r:id="rId2280" tooltip="https://learn.microsoft.com/azure/cloud-adoption-framework/ready/landing-zone/design-area/multi-tenant/considerations-recommendations" display="More info" xr:uid="{ABD31C04-81A6-4AF0-978B-87405E3B2E77}"/>
    <hyperlink ref="L2925" r:id="rId2281" tooltip="https://learn.microsoft.com/azure/cloud-adoption-framework/ready/landing-zone/design-area/multi-tenant/considerations-recommendations" display="More info" xr:uid="{0498A419-B9C5-4AB6-B316-C924EF957EA4}"/>
    <hyperlink ref="L2926" r:id="rId2282" tooltip="https://learn.microsoft.com/azure/cloud-adoption-framework/ready/landing-zone/design-area/multi-tenant/considerations-recommendations" display="More info" xr:uid="{675CB28D-BC26-48A3-AC30-C517273FB36F}"/>
    <hyperlink ref="L2927" r:id="rId2283" tooltip="https://learn.microsoft.com/azure/cloud-adoption-framework/ready/landing-zone/design-area/multi-tenant/considerations-recommendations" display="More info" xr:uid="{32FBB19B-303A-4503-A508-75D0404A5D16}"/>
    <hyperlink ref="L2928" r:id="rId2284" tooltip="https://learn.microsoft.com/azure/cloud-adoption-framework/ready/landing-zone/design-area/multi-tenant/considerations-recommendations" display="More info" xr:uid="{53DC2402-7490-4EF0-A3AB-165763E2627B}"/>
    <hyperlink ref="L2929" r:id="rId2285" tooltip="https://learn.microsoft.com/azure/cloud-adoption-framework/ready/landing-zone/design-area/multi-tenant/considerations-recommendations" display="More info" xr:uid="{660D7201-EE79-4942-84B7-244FAFC06F65}"/>
    <hyperlink ref="L2930" r:id="rId2286" tooltip="https://learn.microsoft.com/azure/cloud-adoption-framework/ready/landing-zone/design-area/multi-tenant/considerations-recommendations" display="More info" xr:uid="{2A89A473-518C-4F9E-A701-718F6A622F37}"/>
    <hyperlink ref="L2931" r:id="rId2287" tooltip="https://learn.microsoft.com/azure/cloud-adoption-framework/ready/landing-zone/design-area/multi-tenant/considerations-recommendations" display="More info" xr:uid="{018AE111-3BA6-46EB-9861-6BF0C5B66B07}"/>
    <hyperlink ref="L2932" r:id="rId2288" tooltip="https://learn.microsoft.com/azure/cloud-adoption-framework/ready/landing-zone/design-area/multi-tenant/considerations-recommendations" display="More info" xr:uid="{EDF7058E-B5CC-4894-8584-39455756D044}"/>
    <hyperlink ref="L2933" r:id="rId2289" tooltip="https://learn.microsoft.com/azure/cloud-adoption-framework/ready/landing-zone/design-area/multi-tenant/considerations-recommendations" display="More info" xr:uid="{1E17C25B-3242-4BFF-A937-BE58AE245C5D}"/>
    <hyperlink ref="L2934" r:id="rId2290" tooltip="https://learn.microsoft.com/azure/cloud-adoption-framework/ready/landing-zone/design-area/multi-tenant/considerations-recommendations" display="More info" xr:uid="{EDA25408-029E-4A4B-B8E8-C300EDC62699}"/>
    <hyperlink ref="L2935" r:id="rId2291" tooltip="https://learn.microsoft.com/azure/cloud-adoption-framework/ready/landing-zone/design-area/multi-tenant/considerations-recommendations" display="More info" xr:uid="{A254EB4F-AEDE-4E03-9597-A87485AB7DE5}"/>
    <hyperlink ref="L2936" r:id="rId2292" tooltip="https://learn.microsoft.com/azure/cloud-adoption-framework/ready/landing-zone/design-area/multi-tenant/considerations-recommendations" display="More info" xr:uid="{82D1FA53-6CFA-4DB4-BD7C-B5E22D4BB9F3}"/>
    <hyperlink ref="L2937" r:id="rId2293" tooltip="https://learn.microsoft.com/azure/cloud-adoption-framework/ready/landing-zone/design-area/multi-tenant/considerations-recommendations" display="More info" xr:uid="{D19EB418-1371-4BBE-9EA7-396D955A9012}"/>
    <hyperlink ref="L2938" r:id="rId2294" tooltip="https://learn.microsoft.com/azure/cloud-adoption-framework/ready/landing-zone/design-area/multi-tenant/considerations-recommendations" display="More info" xr:uid="{9660506B-BBC5-4BBC-BD6E-DFA20F4AC78E}"/>
    <hyperlink ref="L2939" r:id="rId2295" tooltip="https://learn.microsoft.com/azure/cloud-adoption-framework/ready/landing-zone/design-area/multi-tenant/considerations-recommendations" display="More info" xr:uid="{FDB2477B-D02E-48D1-B284-224D70F9EEFB}"/>
    <hyperlink ref="L2940" r:id="rId2296" tooltip="https://learn.microsoft.com/azure/cloud-adoption-framework/ready/landing-zone/design-area/multi-tenant/considerations-recommendations" display="More info" xr:uid="{B035707A-156B-4035-93D3-EF03C495913E}"/>
    <hyperlink ref="L2941" r:id="rId2297" tooltip="https://learn.microsoft.com/azure/cloud-adoption-framework/ready/landing-zone/design-area/multi-tenant/considerations-recommendations" display="More info" xr:uid="{F2A4C398-8A35-42CC-9162-465144167E49}"/>
    <hyperlink ref="L2942" r:id="rId2298" tooltip="https://learn.microsoft.com/azure/cloud-adoption-framework/ready/landing-zone/design-area/multi-tenant/considerations-recommendations" display="More info" xr:uid="{C24113DB-A366-43EC-97C8-FDFC8495F7B2}"/>
    <hyperlink ref="L2943" r:id="rId2299" tooltip="https://learn.microsoft.com/azure/cloud-adoption-framework/ready/landing-zone/design-area/multi-tenant/considerations-recommendations" display="More info" xr:uid="{206CA825-5BC1-4E3A-9B6D-89706BC2669A}"/>
    <hyperlink ref="L2944" r:id="rId2300" tooltip="https://learn.microsoft.com/azure/cloud-adoption-framework/ready/landing-zone/design-area/multi-tenant/considerations-recommendations" display="More info" xr:uid="{77D955D5-E89C-4F5B-BC73-61291FB531FF}"/>
    <hyperlink ref="L2945" r:id="rId2301" tooltip="https://learn.microsoft.com/azure/cloud-adoption-framework/ready/landing-zone/design-area/multi-tenant/considerations-recommendations" display="More info" xr:uid="{52344306-E121-4429-A1CA-970D08FA1CB0}"/>
    <hyperlink ref="L2946" r:id="rId2302" tooltip="https://learn.microsoft.com/azure/cloud-adoption-framework/ready/landing-zone/design-area/multi-tenant/considerations-recommendations" display="More info" xr:uid="{BC7370C0-07CE-4A96-B932-8EBBFEA9E50B}"/>
    <hyperlink ref="L2947" r:id="rId2303" tooltip="https://learn.microsoft.com/azure/cloud-adoption-framework/ready/landing-zone/design-area/multi-tenant/considerations-recommendations" display="More info" xr:uid="{F1A119CD-62D7-4848-A5FA-B3708E52240C}"/>
    <hyperlink ref="L2948" r:id="rId2304" tooltip="https://learn.microsoft.com/azure/cloud-adoption-framework/ready/landing-zone/design-area/multi-tenant/considerations-recommendations" display="More info" xr:uid="{35EC5656-0ACB-4090-97A0-678A14E2A30E}"/>
    <hyperlink ref="L2949" r:id="rId2305" tooltip="https://learn.microsoft.com/azure/cloud-adoption-framework/ready/landing-zone/design-area/multi-tenant/considerations-recommendations" display="More info" xr:uid="{2670B7E6-6B1D-4F11-8001-10200D32C503}"/>
    <hyperlink ref="L2950" r:id="rId2306" tooltip="https://learn.microsoft.com/azure/cloud-adoption-framework/ready/landing-zone/design-area/multi-tenant/considerations-recommendations" display="More info" xr:uid="{2C82A930-A38E-4E71-A271-1BF4DCF24C92}"/>
    <hyperlink ref="L2951" r:id="rId2307" tooltip="https://learn.microsoft.com/azure/cloud-adoption-framework/ready/landing-zone/design-area/multi-tenant/considerations-recommendations" display="More info" xr:uid="{8674F49C-4DDF-4CD8-B388-F9FD6A25C657}"/>
    <hyperlink ref="L2952" r:id="rId2308" tooltip="https://learn.microsoft.com/azure/cloud-adoption-framework/ready/landing-zone/design-area/multi-tenant/considerations-recommendations" display="More info" xr:uid="{E46B87FD-26C5-496D-9709-942DE5C3999C}"/>
    <hyperlink ref="L2953" r:id="rId2309" tooltip="https://learn.microsoft.com/azure/cloud-adoption-framework/ready/landing-zone/design-area/multi-tenant/considerations-recommendations" display="More info" xr:uid="{F40F5312-5E3F-45B3-94D7-8D22655ACB86}"/>
    <hyperlink ref="L2954" r:id="rId2310" tooltip="https://learn.microsoft.com/azure/cloud-adoption-framework/ready/landing-zone/design-area/multi-tenant/considerations-recommendations" display="More info" xr:uid="{53CDA30C-0D62-4DA4-859F-5E6A38D3D6A2}"/>
    <hyperlink ref="L2955" r:id="rId2311" tooltip="https://learn.microsoft.com/azure/cloud-adoption-framework/ready/landing-zone/design-area/multi-tenant/considerations-recommendations" display="More info" xr:uid="{F6D1567B-B671-4925-A0A2-6C6DC262A8FC}"/>
    <hyperlink ref="L2956" r:id="rId2312" tooltip="https://learn.microsoft.com/azure/cloud-adoption-framework/ready/landing-zone/design-area/multi-tenant/considerations-recommendations" display="More info" xr:uid="{62659F8A-044C-4127-9D54-F24776E48C9F}"/>
    <hyperlink ref="L2957" r:id="rId2313" tooltip="https://learn.microsoft.com/azure/cloud-adoption-framework/ready/landing-zone/design-area/multi-tenant/considerations-recommendations" display="More info" xr:uid="{F266B12A-0457-4DC4-BD55-7079F96FFD34}"/>
    <hyperlink ref="L2958" r:id="rId2314" tooltip="https://learn.microsoft.com/azure/cloud-adoption-framework/ready/landing-zone/design-area/multi-tenant/considerations-recommendations" display="More info" xr:uid="{AF8EA50E-5016-4DBC-9B28-78F30BC9B28F}"/>
    <hyperlink ref="L2959" r:id="rId2315" tooltip="https://learn.microsoft.com/azure/cloud-adoption-framework/ready/landing-zone/design-area/multi-tenant/considerations-recommendations" display="More info" xr:uid="{10563606-5BBD-4065-A83D-2290EB484056}"/>
    <hyperlink ref="L2960" r:id="rId2316" tooltip="https://learn.microsoft.com/azure/cloud-adoption-framework/ready/landing-zone/design-area/multi-tenant/considerations-recommendations" display="More info" xr:uid="{8FF88794-402F-4257-9000-5D01B7C71187}"/>
    <hyperlink ref="L2961" r:id="rId2317" tooltip="https://learn.microsoft.com/azure/cloud-adoption-framework/ready/landing-zone/design-area/multi-tenant/considerations-recommendations" display="More info" xr:uid="{ED52B39C-E42D-4E69-8068-257D40E73876}"/>
    <hyperlink ref="L2962" r:id="rId2318" tooltip="https://learn.microsoft.com/azure/cloud-adoption-framework/ready/landing-zone/design-area/multi-tenant/considerations-recommendations" display="More info" xr:uid="{985570BD-B1A4-466A-B1CA-0393FF6B8FFC}"/>
    <hyperlink ref="L2963" r:id="rId2319" tooltip="https://learn.microsoft.com/azure/cloud-adoption-framework/ready/landing-zone/design-area/multi-tenant/considerations-recommendations" display="More info" xr:uid="{C98733A2-D7BB-45D1-9085-602A6ADDE03F}"/>
    <hyperlink ref="L2964" r:id="rId2320" tooltip="https://learn.microsoft.com/azure/cloud-adoption-framework/ready/landing-zone/design-area/multi-tenant/considerations-recommendations" display="More info" xr:uid="{9AF74EAA-2E83-490E-8057-B188E809A9D8}"/>
    <hyperlink ref="L2965" r:id="rId2321" tooltip="https://learn.microsoft.com/azure/cloud-adoption-framework/ready/landing-zone/design-area/multi-tenant/considerations-recommendations" display="More info" xr:uid="{9BC50607-E00D-4DFD-A1A3-4624515B4901}"/>
    <hyperlink ref="L2966" r:id="rId2322" tooltip="https://learn.microsoft.com/azure/cloud-adoption-framework/ready/landing-zone/design-area/multi-tenant/considerations-recommendations" display="More info" xr:uid="{D6E24A11-16E5-4F86-8875-31D37B95BDB6}"/>
    <hyperlink ref="L2967" r:id="rId2323" tooltip="https://learn.microsoft.com/azure/cloud-adoption-framework/ready/landing-zone/design-area/multi-tenant/considerations-recommendations" display="More info" xr:uid="{1E4FD007-F0A3-40E5-9FA4-234FDB95078D}"/>
    <hyperlink ref="L2968" r:id="rId2324" tooltip="https://learn.microsoft.com/azure/cloud-adoption-framework/ready/landing-zone/design-area/multi-tenant/considerations-recommendations" display="More info" xr:uid="{1FA89BA7-178C-4FD3-AFB0-55D5FB7C80CD}"/>
    <hyperlink ref="L2969" r:id="rId2325" tooltip="https://learn.microsoft.com/azure/cloud-adoption-framework/ready/landing-zone/design-area/multi-tenant/considerations-recommendations" display="More info" xr:uid="{93BFD9B2-A637-4642-B39B-1DB4E40CA45A}"/>
    <hyperlink ref="L2970" r:id="rId2326" tooltip="https://learn.microsoft.com/azure/cloud-adoption-framework/ready/landing-zone/design-area/multi-tenant/considerations-recommendations" display="More info" xr:uid="{B3BEB6C9-FA4D-4E1B-BA30-85D2E05BD8E5}"/>
    <hyperlink ref="L2971" r:id="rId2327" tooltip="https://learn.microsoft.com/azure/cloud-adoption-framework/ready/landing-zone/design-area/multi-tenant/considerations-recommendations" display="More info" xr:uid="{57CF4B39-9DFB-47D3-A112-0B2CF966C1A7}"/>
    <hyperlink ref="L2972" r:id="rId2328" tooltip="https://learn.microsoft.com/azure/cloud-adoption-framework/ready/landing-zone/design-area/multi-tenant/considerations-recommendations" display="More info" xr:uid="{ED925614-532C-4C8A-B6DE-7AEA944D6565}"/>
    <hyperlink ref="L2973" r:id="rId2329" tooltip="https://learn.microsoft.com/azure/cloud-adoption-framework/ready/landing-zone/design-area/multi-tenant/considerations-recommendations" display="More info" xr:uid="{CA7B4BDC-D6AB-4184-81D0-257283642ADB}"/>
    <hyperlink ref="L2974" r:id="rId2330" tooltip="https://learn.microsoft.com/azure/cloud-adoption-framework/ready/landing-zone/design-area/multi-tenant/considerations-recommendations" display="More info" xr:uid="{2B87A5D4-2C31-492F-98D0-DA2368D943C7}"/>
    <hyperlink ref="L2975" r:id="rId2331" tooltip="https://learn.microsoft.com/azure/cloud-adoption-framework/ready/landing-zone/design-area/multi-tenant/considerations-recommendations" display="More info" xr:uid="{59C8AD64-615A-40F3-921D-F293B6A65630}"/>
    <hyperlink ref="L2976" r:id="rId2332" tooltip="https://learn.microsoft.com/azure/cloud-adoption-framework/ready/landing-zone/design-area/multi-tenant/considerations-recommendations" display="More info" xr:uid="{854BD9E6-26D5-423D-A4BB-25D3BE651CD5}"/>
    <hyperlink ref="L2977" r:id="rId2333" tooltip="https://learn.microsoft.com/azure/cloud-adoption-framework/ready/landing-zone/design-area/multi-tenant/considerations-recommendations" display="More info" xr:uid="{093BFC47-E55E-457C-B837-98C03EA8E52D}"/>
    <hyperlink ref="L2978" r:id="rId2334" tooltip="https://learn.microsoft.com/azure/cloud-adoption-framework/ready/landing-zone/design-area/multi-tenant/considerations-recommendations" display="More info" xr:uid="{3BEA11BA-4D35-4633-B05C-FC38BB7BE759}"/>
    <hyperlink ref="L2979" r:id="rId2335" tooltip="https://learn.microsoft.com/azure/cloud-adoption-framework/ready/landing-zone/design-area/multi-tenant/considerations-recommendations" display="More info" xr:uid="{2B35E97A-ADA6-43B6-9934-6E622D7708D1}"/>
    <hyperlink ref="L2980" r:id="rId2336" tooltip="https://learn.microsoft.com/azure/cloud-adoption-framework/ready/landing-zone/design-area/multi-tenant/considerations-recommendations" display="More info" xr:uid="{587C2CF5-8B20-48CE-951C-1AC98F0CD2E9}"/>
    <hyperlink ref="L2981" r:id="rId2337" tooltip="https://learn.microsoft.com/azure/cloud-adoption-framework/ready/landing-zone/design-area/multi-tenant/considerations-recommendations" display="More info" xr:uid="{07652241-0374-4780-85E4-A2B88F48039B}"/>
    <hyperlink ref="L2982" r:id="rId2338" tooltip="https://learn.microsoft.com/azure/cloud-adoption-framework/ready/landing-zone/design-area/multi-tenant/considerations-recommendations" display="More info" xr:uid="{A09B6690-4EC0-43A6-AD57-F3D482F0B3DD}"/>
    <hyperlink ref="L2983" r:id="rId2339" tooltip="https://learn.microsoft.com/azure/cloud-adoption-framework/ready/landing-zone/design-area/multi-tenant/considerations-recommendations" display="More info" xr:uid="{CEF76B13-138A-4C77-9145-486AEB53FDDA}"/>
    <hyperlink ref="L2984" r:id="rId2340" tooltip="https://learn.microsoft.com/azure/cloud-adoption-framework/ready/landing-zone/design-area/multi-tenant/considerations-recommendations" display="More info" xr:uid="{98356D2D-E0C2-4323-8519-CF9EC2BB58E9}"/>
    <hyperlink ref="L2985" r:id="rId2341" tooltip="https://learn.microsoft.com/azure/cloud-adoption-framework/ready/landing-zone/design-area/multi-tenant/considerations-recommendations" display="More info" xr:uid="{F4D1A8AA-B314-46FD-8A66-896D9CFD6AEF}"/>
    <hyperlink ref="L2986" r:id="rId2342" tooltip="https://learn.microsoft.com/azure/cloud-adoption-framework/ready/landing-zone/design-area/multi-tenant/considerations-recommendations" display="More info" xr:uid="{9B5E79BE-3EB6-4EBC-95F5-71115F47085C}"/>
    <hyperlink ref="L2987" r:id="rId2343" tooltip="https://learn.microsoft.com/azure/cloud-adoption-framework/ready/landing-zone/design-area/multi-tenant/considerations-recommendations" display="More info" xr:uid="{B4D10F0B-908D-4305-9DF2-79360F036B31}"/>
    <hyperlink ref="L2988" r:id="rId2344" tooltip="https://learn.microsoft.com/azure/cloud-adoption-framework/ready/landing-zone/design-area/multi-tenant/considerations-recommendations" display="More info" xr:uid="{5ED0368D-7229-4A04-B27E-178F62DB0ED6}"/>
    <hyperlink ref="L2989" r:id="rId2345" tooltip="https://learn.microsoft.com/azure/cloud-adoption-framework/ready/landing-zone/design-area/multi-tenant/considerations-recommendations" display="More info" xr:uid="{B0D50CF4-2285-44FA-9442-AB526DCD600A}"/>
    <hyperlink ref="L2990" r:id="rId2346" tooltip="https://learn.microsoft.com/azure/cloud-adoption-framework/ready/landing-zone/design-area/multi-tenant/considerations-recommendations" display="More info" xr:uid="{9865E5AF-E39A-4A44-8DDC-60B6FDCC67A8}"/>
    <hyperlink ref="L2991" r:id="rId2347" tooltip="https://learn.microsoft.com/azure/cloud-adoption-framework/ready/landing-zone/design-area/multi-tenant/considerations-recommendations" display="More info" xr:uid="{6B8EDB19-35DB-4985-AF4A-DA063A1D352C}"/>
    <hyperlink ref="L2992" r:id="rId2348" tooltip="https://learn.microsoft.com/azure/cloud-adoption-framework/ready/landing-zone/design-area/multi-tenant/considerations-recommendations" display="More info" xr:uid="{BFE41F75-5BD7-4E15-957F-271BE0989943}"/>
    <hyperlink ref="L2993" r:id="rId2349" tooltip="https://learn.microsoft.com/azure/cloud-adoption-framework/ready/landing-zone/design-area/multi-tenant/considerations-recommendations" display="More info" xr:uid="{EB689569-301F-410A-8C48-9B1B0852E183}"/>
    <hyperlink ref="L2994" r:id="rId2350" tooltip="https://learn.microsoft.com/azure/cloud-adoption-framework/ready/landing-zone/design-area/multi-tenant/considerations-recommendations" display="More info" xr:uid="{D019B7C1-50C1-414E-BB22-6BDD2D9BD8EF}"/>
    <hyperlink ref="L2995" r:id="rId2351" tooltip="https://learn.microsoft.com/azure/cloud-adoption-framework/ready/landing-zone/design-area/multi-tenant/considerations-recommendations" display="More info" xr:uid="{C3850B72-52E2-4EE2-875C-D1FDC1895628}"/>
    <hyperlink ref="L2996" r:id="rId2352" tooltip="https://learn.microsoft.com/azure/cloud-adoption-framework/ready/landing-zone/design-area/multi-tenant/considerations-recommendations" display="More info" xr:uid="{DF260A61-A491-4458-A947-172DC26AD44B}"/>
    <hyperlink ref="L2997" r:id="rId2353" tooltip="https://learn.microsoft.com/azure/cloud-adoption-framework/ready/landing-zone/design-area/multi-tenant/considerations-recommendations" display="More info" xr:uid="{73D8BCFF-CCDC-4099-AD92-269128CE3ABE}"/>
    <hyperlink ref="L2998" r:id="rId2354" tooltip="https://learn.microsoft.com/azure/cloud-adoption-framework/ready/landing-zone/design-area/multi-tenant/considerations-recommendations" display="More info" xr:uid="{6DA84DA2-24EA-4447-916B-04E9F3BCC645}"/>
    <hyperlink ref="L2999" r:id="rId2355" tooltip="https://learn.microsoft.com/azure/cloud-adoption-framework/ready/landing-zone/design-area/multi-tenant/considerations-recommendations" display="More info" xr:uid="{090E815D-D178-4FCE-B7D8-2A9B1FF24462}"/>
    <hyperlink ref="J1" r:id="rId2356" display="Please send us feedback about the checklists!" xr:uid="{7F588EEF-AD7B-4843-A7BB-E0A8FC11705A}"/>
    <hyperlink ref="L253" r:id="rId2357" tooltip="https://learn.microsoft.com/azure/virtual-machines/availability" display="More info" xr:uid="{8B71F848-1AE3-4BBA-823E-903CD163C2FE}"/>
    <hyperlink ref="L254" r:id="rId2358" tooltip="https://learn.microsoft.com/azure/load-balancer/load-balancer-overview" display="More info" xr:uid="{BFAA0EB0-D867-4811-83BE-F56421C84652}"/>
    <hyperlink ref="L255" r:id="rId2359" tooltip="https://learn.microsoft.com/azure/key-vault/general/overview" display="More info" xr:uid="{BE8C0A60-B986-4DA1-BB2B-3688B7AD67D8}"/>
    <hyperlink ref="L256" r:id="rId2360" tooltip="https://learn.microsoft.com/azure/key-vault/general/overview-throttling" display="More info" xr:uid="{34B2553C-CB28-4185-8BAC-F03D9063ED4C}"/>
    <hyperlink ref="L257" r:id="rId2361" tooltip="https://learn.microsoft.com/azure/key-vault/general/best-practices" display="More info" xr:uid="{BA9FBE78-B9A8-4408-A20A-2EA72B2D6D09}"/>
    <hyperlink ref="L258" r:id="rId2362" tooltip="https://learn.microsoft.com/azure/key-vault/general/best-practices" display="More info" xr:uid="{1BA1B551-7918-48F6-A26F-D87810B988BA}"/>
    <hyperlink ref="L259" r:id="rId2363" tooltip="https://learn.microsoft.com/azure/key-vault/general/best-practices" display="More info" xr:uid="{86ED2D07-DC8D-4B72-9371-EF35EBBC0DF4}"/>
    <hyperlink ref="L260" r:id="rId2364" tooltip="https://learn.microsoft.com/azure/key-vault/general/best-practices" display="More info" xr:uid="{D86EBB3C-8596-4957-B902-6E6D8902E555}"/>
    <hyperlink ref="L261" r:id="rId2365" tooltip="https://learn.microsoft.com/azure/key-vault/general/best-practices" display="More info" xr:uid="{C42C67CB-86BA-47ED-BB5F-43584F54604D}"/>
    <hyperlink ref="L262" r:id="rId2366" tooltip="https://learn.microsoft.com/azure/key-vault/general/monitor-key-vault" display="More info" xr:uid="{4D43A048-38AB-45AA-96DD-24ECCCAA6A74}"/>
    <hyperlink ref="L263" r:id="rId2367" tooltip="https://learn.microsoft.com/azure/key-vault/general/best-practices" display="More info" xr:uid="{45B0427C-FEDF-4F25-875F-7880FC16BAC8}"/>
    <hyperlink ref="L264" r:id="rId2368" tooltip="https://learn.microsoft.com/azure/key-vault/general/best-practices" display="More info" xr:uid="{88538FD2-016A-44B1-9F00-D437E125ACF7}"/>
    <hyperlink ref="L265" r:id="rId2369" tooltip="https://learn.microsoft.com/azure/key-vault/general/best-practices" display="More info" xr:uid="{670966DC-682A-4FD9-8F25-517229200567}"/>
    <hyperlink ref="L266" r:id="rId2370" tooltip="https://learn.microsoft.com/en-us/industry/sovereignty/key-management" display="More info" xr:uid="{4448E9F4-BF84-4DC4-8222-8FF9191E9CC2}"/>
    <hyperlink ref="L267" r:id="rId2371" tooltip="https://learn.microsoft.com/azure/active-directory/reports-monitoring/overview-reports" display="More info" xr:uid="{E551B6B5-418A-4B61-97A3-F071B01C0BEE}"/>
    <hyperlink ref="L268" r:id="rId2372" tooltip="https://learn.microsoft.com/azure/defender-for-cloud/concept-cloud-security-posture-management" display="More info" xr:uid="{DB1234DC-CA92-435E-8BA0-E5C29F56F990}"/>
    <hyperlink ref="L269" r:id="rId2373" tooltip="https://learn.microsoft.com/azure/defender-for-cloud/plan-defender-for-servers-select-plan" display="More info" xr:uid="{F8836F04-C0C9-4F39-B58B-78A7BBFCD2D9}"/>
    <hyperlink ref="L270" r:id="rId2374" tooltip="https://www.microsoft.com/en-gb/security/business/solutions/cloud-workload-protection" display="More info" xr:uid="{5AAAAC9A-2B84-4211-AFF6-263CD2078307}"/>
    <hyperlink ref="L271" r:id="rId2375" tooltip="https://learn.microsoft.com/mem/configmgr/protect/deploy-use/endpoint-protection" display="More info" xr:uid="{29FE3010-94CA-4987-B46C-D216B7BD9F51}"/>
    <hyperlink ref="L272" r:id="rId2376" tooltip="https://learn.microsoft.com/azure/security-center/" display="More info" xr:uid="{816388E7-09B5-4B9C-A6AF-CD1D74C26291}"/>
    <hyperlink ref="L273" r:id="rId2377" tooltip="https://learn.microsoft.com/azure/azure-monitor/logs/design-logs-deployment" display="More info" xr:uid="{38318DA5-241B-487B-9A34-66602814132B}"/>
    <hyperlink ref="L274" r:id="rId2378" tooltip="https://learn.microsoft.com/en-us/industry/sovereignty/transparency-logs" display="More info" xr:uid="{CDF39B77-CBC4-4F0B-BEF4-B708E056394A}"/>
    <hyperlink ref="L275" r:id="rId2379" tooltip="https://learn.microsoft.com/en-us/azure/security/fundamentals/customer-lockbox-overview" display="More info" xr:uid="{65473C0F-D0E7-465D-8057-D3EB6746C7C3}"/>
    <hyperlink ref="L276" r:id="rId2380" tooltip="https://learn.microsoft.com/azure/storage/common/storage-require-secure-transfer" display="More info" xr:uid="{0EB846DD-C774-43ED-8AAD-8A2BEEE949BB}"/>
    <hyperlink ref="L277" r:id="rId2381" location="recommendations-for-basic-data-protection" tooltip="https://learn.microsoft.com/azure/storage/blobs/data-protection-overview#recommendations-for-basic-data-protection" display="More info" xr:uid="{D188C9E7-8A0E-49F7-8131-6E981F4A5E97}"/>
    <hyperlink ref="L278" r:id="rId2382" location="automated-builds" tooltip="https://learn.microsoft.com/azure/cloud-adoption-framework/ready/considerations/development-strategy-development-lifecycle#automated-builds" display="More info" xr:uid="{E3AB3E71-9997-4BB2-8C5D-AD0287168B5A}"/>
    <hyperlink ref="L279" r:id="rId2383" tooltip="https://learn.microsoft.com/azure/api-management/api-management-error-handling-policies" display="More info" xr:uid="{C714CBF5-42DB-436D-BEED-FBF2A6297F29}"/>
    <hyperlink ref="L280" r:id="rId2384" location="use-base-element-to-set-policy-evaluation-order" tooltip="https://learn.microsoft.com/azure/api-management/set-edit-policies?tabs=form#use-base-element-to-set-policy-evaluation-order" display="More info" xr:uid="{7256A38E-6E12-43D9-861C-6A8188000285}"/>
    <hyperlink ref="L281" r:id="rId2385" tooltip="https://learn.microsoft.com/azure/api-management/policy-fragments" display="More info" xr:uid="{B40B5061-1E3A-40BC-809F-315877300EB7}"/>
    <hyperlink ref="L282" r:id="rId2386" tooltip="https://learn.microsoft.com/azure/api-management/monetization-support" display="More info" xr:uid="{DD210039-90D6-4524-BF21-8E201943F0CD}"/>
    <hyperlink ref="L283" r:id="rId2387" location="resource-logs" tooltip="https://learn.microsoft.com/azure/api-management/api-management-howto-use-azure-monitor#resource-logs" display="More info" xr:uid="{6EA36582-8719-4675-8138-95D6023CFB8A}"/>
    <hyperlink ref="L284" r:id="rId2388" tooltip="https://learn.microsoft.com/azure/api-management/api-management-howto-app-insights" display="More info" xr:uid="{F039F0E6-1C54-442B-AF4C-A798A0F04966}"/>
    <hyperlink ref="L285" r:id="rId2389" tooltip="https://learn.microsoft.com/azure/api-management/api-management-howto-use-azure-monitor" display="More info" xr:uid="{6C1EE5C6-9C46-4B6A-A37B-91C878344AD2}"/>
    <hyperlink ref="L286" r:id="rId2390" location="api-management-limits" tooltip="https://learn.microsoft.com/azure/azure-resource-manager/management/azure-subscription-service-limits#api-management-limits" display="More info" xr:uid="{54007F1C-B8D9-41EA-B0AC-2D873A3DCDDE}"/>
    <hyperlink ref="L287" r:id="rId2391" location="certificate-management-in-azure-key-vault" tooltip="https://learn.microsoft.com/security/benchmark/azure/baselines/api-management-security-baseline?toc=%2Fazure%2Fapi-management%2F&amp;bc=%2Fazure%2Fapi-management%2Fbreadcrumb%2Ftoc.json#certificate-management-in-azure-key-vault" display="More info" xr:uid="{9DBD8647-A7AD-4750-8563-310112F6AFF5}"/>
    <hyperlink ref="L288" r:id="rId2392" location="azure-ad-authentication-required-for-data-plane-access" tooltip="https://learn.microsoft.com/security/benchmark/azure/baselines/api-management-security-baseline?toc=%2Fazure%2Fapi-management%2F&amp;bc=%2Fazure%2Fapi-management%2Fbreadcrumb%2Ftoc.json#azure-ad-authentication-required-for-data-plane-access" display="More info" xr:uid="{12C27ABF-46E0-4518-8FD2-43EF1B3A3A8B}"/>
    <hyperlink ref="L289" r:id="rId2393" tooltip="https://learn.microsoft.com/azure/api-management/api-management-howto-aad" display="More info" xr:uid="{2E8710FA-22FD-434B-B47A-2280002C86D7}"/>
    <hyperlink ref="L290" r:id="rId2394" tooltip="https://learn.microsoft.com/azure/api-management/api-management-howto-create-groups" display="More info" xr:uid="{066851B0-D803-4378-8548-DA2B366A94B6}"/>
    <hyperlink ref="L291" r:id="rId2395" tooltip="https://learn.microsoft.com/azure/api-management/backends" display="More info" xr:uid="{2DFE4705-5D14-423F-AB63-9999D5026ACA}"/>
    <hyperlink ref="L292" r:id="rId2396" tooltip="https://learn.microsoft.com/azure/api-management/api-management-howto-properties?tabs=azure-portal" display="More info" xr:uid="{07D78B40-88B5-43E0-AA81-F01FF47181B0}"/>
    <hyperlink ref="L293" r:id="rId2397" location="upgrade-and-scale" tooltip="https://learn.microsoft.com/azure/api-management/upgrade-and-scale#upgrade-and-scale" display="More info" xr:uid="{74D68249-0090-4DC6-9182-B7258BFE8925}"/>
    <hyperlink ref="L294" r:id="rId2398" tooltip="https://learn.microsoft.com/azure/api-management/api-management-howto-deploy-multi-region" display="More info" xr:uid="{54F8D2D1-4049-4874-8CCC-197341D4D009}"/>
    <hyperlink ref="L295" r:id="rId2399" location="-route-api-calls-to-regional-backend-services" tooltip="https://learn.microsoft.com/azure/api-management/api-management-howto-deploy-multi-region#-route-api-calls-to-regional-backend-services" display="More info" xr:uid="{4E462293-D524-446E-8C0E-6219825DF9C4}"/>
    <hyperlink ref="L296" r:id="rId2400" tooltip="https://learn.microsoft.com/azure/api-management/high-availability" display="More info" xr:uid="{B2413444-719D-46ED-85FF-B317F23ED775}"/>
    <hyperlink ref="L297" r:id="rId2401" tooltip="https://learn.microsoft.com/en-us/azure/api-management/self-hosted-gateway-overview" display="More info" xr:uid="{22B7B1CE-2F3E-4AAA-8D2A-BE3C9A025C5E}"/>
    <hyperlink ref="L298" r:id="rId2402" location="service-native-backup-capability" tooltip="https://learn.microsoft.com/security/benchmark/azure/baselines/api-management-security-baseline?toc=%2Fazure%2Fapi-management%2F&amp;bc=%2Fazure%2Fapi-management%2Fbreadcrumb%2Ftoc.json#service-native-backup-capability" display="More info" xr:uid="{99DB3700-9220-43F3-A803-9CFA1334DA8C}"/>
    <hyperlink ref="L299" r:id="rId2403" tooltip="https://learn.microsoft.com/azure/api-management/api-management-howto-log-event-hubs" display="More info" xr:uid="{CECEA940-3986-469F-B1DE-006C739298A4}"/>
    <hyperlink ref="L300" r:id="rId2404" tooltip="https://learn.microsoft.com/azure/api-management/api-management-sample-flexible-throttling" display="More info" xr:uid="{BE813B41-EE82-4205-B7C3-8F925D47B523}"/>
    <hyperlink ref="M300" r:id="rId2405" tooltip="https://learn.microsoft.com/training/modules/protect-apis-on-api-management/" display="Training" xr:uid="{07EA9BED-A94D-41E3-A26D-F00125BC2632}"/>
    <hyperlink ref="L301" r:id="rId2406" tooltip="https://learn.microsoft.com/azure/api-management/api-management-howto-autoscale" display="More info" xr:uid="{3806A031-C1CD-4ECB-95EE-C1E966BF1303}"/>
    <hyperlink ref="L302" r:id="rId2407" tooltip="https://learn.microsoft.com/azure/api-management/api-management-howto-provision-self-hosted-gateway" display="More info" xr:uid="{A29442D3-1F91-4D42-AB31-2248169C474C}"/>
    <hyperlink ref="L303" r:id="rId2408" tooltip="https://learn.microsoft.com/azure/api-management/retry-policy" display="More info" xr:uid="{2BC3AC27-2EF1-4BF7-97D7-9699EC80B8CE}"/>
    <hyperlink ref="L304" r:id="rId2409" tooltip="https://learn.microsoft.com/azure/api-management/front-door-api-management" display="More info" xr:uid="{0C52BB72-606D-45C9-904F-1E6754021A64}"/>
    <hyperlink ref="L305" r:id="rId2410" location="virtual-network-integration" tooltip="https://learn.microsoft.com/security/benchmark/azure/baselines/api-management-security-baseline?toc=%2Fazure%2Fapi-management%2F&amp;bc=%2Fazure%2Fapi-management%2Fbreadcrumb%2Ftoc.json#virtual-network-integration" display="More info" xr:uid="{5BB6D19A-7C97-4E07-8846-1752CE232731}"/>
    <hyperlink ref="L306" r:id="rId2411" location="network-security-group-support" tooltip="https://learn.microsoft.com/security/benchmark/azure/baselines/api-management-security-baseline?toc=%2Fazure%2Fapi-management%2F&amp;bc=%2Fazure%2Fapi-management%2Fbreadcrumb%2Ftoc.json#network-security-group-support" display="More info" xr:uid="{C9346F4B-80B5-42B9-92E7-DC18CCC75F23}"/>
    <hyperlink ref="L307" r:id="rId2412" location="azure-private-link" tooltip="https://learn.microsoft.com/security/benchmark/azure/baselines/api-management-security-baseline?toc=%2Fazure%2Fapi-management%2F&amp;bc=%2Fazure%2Fapi-management%2Fbreadcrumb%2Ftoc.json#azure-private-link" display="More info" xr:uid="{34AA75E2-6E2F-4E37-869A-DBE6A4986D58}"/>
    <hyperlink ref="L308" r:id="rId2413" location="disable-public-network-access" tooltip="https://learn.microsoft.com/security/benchmark/azure/baselines/api-management-security-baseline?toc=%2Fazure%2Fapi-management%2F&amp;bc=%2Fazure%2Fapi-management%2Fbreadcrumb%2Ftoc.json#disable-public-network-access" display="More info" xr:uid="{8E99988B-C724-4AB1-8231-94CC86BD84C3}"/>
    <hyperlink ref="L309" r:id="rId2414" tooltip="https://learn.microsoft.com/azure/api-management/automation-manage-api-management" display="More info" xr:uid="{747611CD-E160-467F-A785-B42F4F4ADCA6}"/>
    <hyperlink ref="L310" r:id="rId2415" location="design-recommendations" tooltip="https://learn.microsoft.com/azure/cloud-adoption-framework/scenarios/app-platform/api-management/platform-automation-and-devops#design-recommendations" display="More info" xr:uid="{277C99BF-35A7-4A9E-87A6-4449B91DF279}"/>
    <hyperlink ref="L311" r:id="rId2416" tooltip="https://learn.microsoft.com/azure/api-management/visual-studio-code-tutorial" display="More info" xr:uid="{B6F3301C-D0E2-4EE7-B65E-C7DF7437000E}"/>
    <hyperlink ref="L312" r:id="rId2417" tooltip="https://learn.microsoft.com/azure/api-management/devops-api-development-templates" display="More info" xr:uid="{A496C56D-38CF-4AA1-9F87-74F3BDD16F51}"/>
    <hyperlink ref="L313" r:id="rId2418" tooltip="https://learn.microsoft.com/azure/api-management/api-management-howto-mutual-certificates-for-clients" display="More info" xr:uid="{75D7F13B-D454-4444-85FE-5BCD027F1219}"/>
    <hyperlink ref="L314" r:id="rId2419" tooltip="https://learn.microsoft.com/azure/api-management/api-management-howto-mutual-certificates" display="More info" xr:uid="{4C839B90-1240-46C4-AD1D-364EE09E4E10}"/>
    <hyperlink ref="L315" r:id="rId2420" tooltip="https://learn.microsoft.com/azure/api-management/mitigate-owasp-api-threats" display="More info" xr:uid="{9DDB98D8-DE55-4D62-86B8-4FACB93350FC}"/>
    <hyperlink ref="L316" r:id="rId2421" tooltip="https://learn.microsoft.com/azure/api-management/authorizations-overview" display="More info" xr:uid="{03C7A7DD-F071-4D4F-8AF3-D72A978E1BA7}"/>
    <hyperlink ref="L317" r:id="rId2422" tooltip="https://learn.microsoft.com/azure/api-management/api-management-howto-manage-protocols-ciphers" display="More info" xr:uid="{BAD570A3-82C1-4617-9B6F-F2DE3872F657}"/>
    <hyperlink ref="L318" r:id="rId2423" location="im-8-restrict-the-exposure-of-credential-and-secrets" tooltip="https://learn.microsoft.com/security/benchmark/azure/baselines/api-management-security-baseline?toc=%2Fazure%2Fapi-management%2F&amp;bc=%2Fazure%2Fapi-management%2Fbreadcrumb%2Ftoc.json#im-8-restrict-the-exposure-of-credential-and-secrets" display="More info" xr:uid="{466BB8F0-2998-4BFE-85AE-A1A24C280297}"/>
    <hyperlink ref="L319" r:id="rId2424" location="managed-identities" tooltip="https://learn.microsoft.com/security/benchmark/azure/baselines/api-management-security-baseline?toc=%2Fazure%2Fapi-management%2F&amp;bc=%2Fazure%2Fapi-management%2Fbreadcrumb%2Ftoc.json#managed-identities" display="More info" xr:uid="{85477AF2-9001-41E7-BF32-D44491CE06B7}"/>
    <hyperlink ref="L320" r:id="rId2425" location="ns-6-deploy-web-application-firewall" tooltip="https://learn.microsoft.com/security/benchmark/azure/baselines/api-management-security-baseline?toc=%2Fazure%2Fapi-management%2F&amp;bc=%2Fazure%2Fapi-management%2Fbreadcrumb%2Ftoc.json#ns-6-deploy-web-application-firewall" display="More info" xr:uid="{0C408ED7-57D4-45E6-AFA3-662C25FB34B2}"/>
    <hyperlink ref="L321" r:id="rId2426" tooltip="https://learn.microsoft.com/azure/app-service/app-service-key-vault-references" display="More info" xr:uid="{4D850C92-ABC6-452E-A949-F9AAB6C537E1}"/>
    <hyperlink ref="L322" r:id="rId2427" tooltip="https://learn.microsoft.com/azure/app-service/app-service-key-vault-references" display="More info" xr:uid="{C1169258-4485-4EB6-A142-A87B85D53F55}"/>
    <hyperlink ref="L323" r:id="rId2428" tooltip="https://learn.microsoft.com/azure/app-service/configure-ssl-certificate" display="More info" xr:uid="{D876F96F-DAF4-4283-89FB-544C44DBC3A6}"/>
    <hyperlink ref="L324" r:id="rId2429" tooltip="https://learn.microsoft.com/azure/app-service/overview-hosting-plans" display="More info" xr:uid="{DE648FC9-127C-498F-981A-FB1442FC00AE}"/>
    <hyperlink ref="L325" r:id="rId2430" location="file-access" tooltip="https://learn.microsoft.com/azure/app-service/operating-system-functionality#file-access" display="More info" xr:uid="{4CCBF4B8-F41A-41F3-A048-2728FB47EE0F}"/>
    <hyperlink ref="L326" r:id="rId2431" tooltip="https://learn.microsoft.com/azure/app-service/overview-authentication-authorization" display="More info" xr:uid="{0B7099DF-2588-4EEC-96AC-A57A2073410E}"/>
    <hyperlink ref="L327" r:id="rId2432" tooltip="https://learn.microsoft.com/azure/app-service/deploy-best-practices" display="More info" xr:uid="{FA3BAA25-6D55-49DF-A808-4D35D9CE10E4}"/>
    <hyperlink ref="L328" r:id="rId2433" location="disable-basic-authentication" tooltip="https://learn.microsoft.com/azure/app-service/deploy-configure-credentials#disable-basic-authentication" display="More info" xr:uid="{43A2F9B7-BCC0-4A2A-B061-15F436F7157C}"/>
    <hyperlink ref="L329" r:id="rId2434" tooltip="https://learn.microsoft.com/azure/app-service/overview-managed-identity?tabs=portal%2Chttp" display="More info" xr:uid="{69C13B73-7143-4F5B-BE74-F249AD6BEF1F}"/>
    <hyperlink ref="L330" r:id="rId2435" location="use-managed-identity-to-pull-image-from-azure-container-registry" tooltip="https://learn.microsoft.com/azure/app-service/configure-custom-container#use-managed-identity-to-pull-image-from-azure-container-registry" display="More info" xr:uid="{F265AA45-6084-4215-99EB-C76D2AD1B87A}"/>
    <hyperlink ref="L331" r:id="rId2436" tooltip="https://learn.microsoft.com/azure/app-service/troubleshoot-diagnostic-logs" display="More info" xr:uid="{EA4930E6-A331-4D3C-A453-40614B9145A7}"/>
    <hyperlink ref="L332" r:id="rId2437" tooltip="https://learn.microsoft.com/azure/azure-monitor/essentials/activity-log" display="More info" xr:uid="{5361DD49-7989-4AA6-ACD1-1C9E09E17DDD}"/>
    <hyperlink ref="L333" r:id="rId2438" tooltip="https://learn.microsoft.com/azure/app-service/overview-vnet-integration" display="More info" xr:uid="{32E3F45E-AD42-4EC4-A297-37B9CFC588E7}"/>
    <hyperlink ref="L334" r:id="rId2439" tooltip="https://learn.microsoft.com/azure/app-service/networking/nat-gateway-integration" display="More info" xr:uid="{957C72FC-B735-4A15-8C65-AC26AF28F24D}"/>
    <hyperlink ref="L335" r:id="rId2440" location="access-restrictions" tooltip="https://learn.microsoft.com/azure/app-service/networking-features#access-restrictions" display="More info" xr:uid="{8D01E79B-8D13-44D7-90EA-7BDEC27B69D8}"/>
    <hyperlink ref="L336" r:id="rId2441" tooltip="https://learn.microsoft.com/azure/app-service/networking/app-gateway-with-service-endpoints" display="More info" xr:uid="{BF46F613-487C-4CDF-9D12-2C9F339CD810}"/>
    <hyperlink ref="L337" r:id="rId2442" location="access-restrictions" tooltip="https://learn.microsoft.com/azure/app-service/networking-features#access-restrictions" display="More info" xr:uid="{7BBF81BE-7962-4998-B4CB-A9951949DAE4}"/>
    <hyperlink ref="L338" r:id="rId2443" location="enforce-tls-versions" tooltip="https://learn.microsoft.com/azure/app-service/configure-ssl-bindings#enforce-tls-versions" display="More info" xr:uid="{19509986-7091-46AE-A405-2ED4B731906A}"/>
    <hyperlink ref="L339" r:id="rId2444" location="enforce-https" tooltip="https://learn.microsoft.com/azure/app-service/configure-ssl-bindings#enforce-https" display="More info" xr:uid="{68070C6B-83B1-4AD3-8EB3-77F2A939E150}"/>
    <hyperlink ref="L340" r:id="rId2445" tooltip="https://learn.microsoft.com/azure/app-service/app-service-web-tutorial-rest-api" display="More info" xr:uid="{F852E42C-11AB-4CEF-B1CA-09E092EA0407}"/>
    <hyperlink ref="L341" r:id="rId2446" location="configure-general-settings" tooltip="https://learn.microsoft.com/azure/app-service/configure-common#configure-general-settings" display="More info" xr:uid="{12A8AAD8-E903-4297-AEA4-BD8461D0D6C3}"/>
    <hyperlink ref="L342" r:id="rId2447" tooltip="https://learn.microsoft.com/azure/defender-for-cloud/defender-for-app-service-introduction" display="More info" xr:uid="{36DAC5EC-05F3-4E82-96E0-C86BD8A6B43A}"/>
    <hyperlink ref="L343" r:id="rId2448" tooltip="https://learn.microsoft.com/azure/ddos-protection/ddos-protection-overview" display="More info" xr:uid="{DF329433-A283-463D-BB3E-6ED8449C7960}"/>
    <hyperlink ref="L344" r:id="rId2449" location="use-an-image-from-a-network-protected-registry" tooltip="https://learn.microsoft.com/azure/app-service/configure-custom-container#use-an-image-from-a-network-protected-registry" display="More info" xr:uid="{FF6F60B9-B461-483A-887A-066389FCA6E7}"/>
    <hyperlink ref="L345" r:id="rId2450" tooltip="https://learn.microsoft.com/azure/security/fundamentals/pen-testing" display="More info" xr:uid="{BFDBF430-B916-4DE7-A0EF-BD4D75B64B79}"/>
    <hyperlink ref="L346" r:id="rId2451" tooltip="https://learn.microsoft.com/azure/architecture/solution-ideas/articles/devsecops-in-azure" display="More info" xr:uid="{555351EC-A173-401B-A35B-AA383D356099}"/>
    <hyperlink ref="L347" r:id="rId2452" tooltip="https://learn.microsoft.com/azure/app-service/overview-patch-os-runtime" display="More info" xr:uid="{7C25F5E4-F277-469C-A0E7-B1479B3EC2A2}"/>
    <hyperlink ref="L348" r:id="rId2453" tooltip="https://learn.microsoft.com/azure/service-bus-messaging/configure-customer-managed-key" display="More info" xr:uid="{942DC0FD-9C12-4C35-B136-5067EE94CF5D}"/>
    <hyperlink ref="M348" r:id="rId2454" tooltip="https://learn.microsoft.com/learn/modules/plan-implement-administer-conditional-access/" display="Training" xr:uid="{32C85477-ED62-48F2-84F2-D2DF343E0ECD}"/>
    <hyperlink ref="L349" r:id="rId2455" tooltip="https://learn.microsoft.com/azure/service-bus-messaging/transport-layer-security-enforce-minimum-version" display="More info" xr:uid="{20E0E8F9-A20D-428E-BEED-EFBDE312F0B7}"/>
    <hyperlink ref="M349" r:id="rId2456" tooltip="https://learn.microsoft.com/learn/modules/secure-aad-users-with-mfa/" display="Training" xr:uid="{4F9B0435-6B5F-4D09-9100-72B30946E544}"/>
    <hyperlink ref="L350" r:id="rId2457" location="shared-access-authorization-policies" tooltip="https://learn.microsoft.com/azure/service-bus-messaging/service-bus-sas#shared-access-authorization-policies" display="More info" xr:uid="{0AFA9E73-48D1-4D0E-A0DC-9D0292639595}"/>
    <hyperlink ref="M350" r:id="rId2458" tooltip="https://learn.microsoft.com/learn/paths/azure-administrator-manage-identities-governance/" display="Training" xr:uid="{B7C1C750-5C43-438C-A0E5-AC6EEF1AE5C5}"/>
    <hyperlink ref="L351" r:id="rId2459" tooltip="https://learn.microsoft.com/azure/service-bus-messaging/service-bus-managed-service-identity" display="More info" xr:uid="{12D56109-019C-4995-A61A-34EA63E43AD4}"/>
    <hyperlink ref="M351" r:id="rId2460" tooltip="https://learn.microsoft.com/learn/modules/azure-ad-privileged-identity-management/" display="Training" xr:uid="{E6DF4EF2-DE49-494C-AD4C-67F5F785C52D}"/>
    <hyperlink ref="L352" r:id="rId2461" location="azure-built-in-roles-for-azure-service-bus" tooltip="https://learn.microsoft.com/azure/service-bus-messaging/authenticate-application#azure-built-in-roles-for-azure-service-bus" display="More info" xr:uid="{9838F9BC-41D8-44E9-B146-116AF57F18D4}"/>
    <hyperlink ref="M352" r:id="rId2462" tooltip="https://learn.microsoft.com/learn/modules/explore-basic-services-identity-types/" display="Training" xr:uid="{E36B5FBE-1316-46E6-9EB9-00E9B7F5F1FE}"/>
    <hyperlink ref="L353" r:id="rId2463" tooltip="https://learn.microsoft.com/azure/service-bus-messaging/monitor-service-bus-reference" display="More info" xr:uid="{C289EC6D-F4B7-49E3-9204-704166697873}"/>
    <hyperlink ref="M353" r:id="rId2464" tooltip="https://learn.microsoft.com/learn/paths/manage-identity-and-access/" display="Training" xr:uid="{7BAAA752-6A3A-48C6-8AA6-44E2DD0C0B43}"/>
    <hyperlink ref="L354" r:id="rId2465" tooltip="https://learn.microsoft.com/azure/service-bus-messaging/private-link-service" display="More info" xr:uid="{BAC19655-B202-4ECC-9C55-A854B93C0532}"/>
    <hyperlink ref="M354" r:id="rId2466" tooltip="https://learn.microsoft.com/learn/modules/azure-ad-privileged-identity-management/" display="Training" xr:uid="{6D9A1225-1E82-403D-9865-4605932B545D}"/>
    <hyperlink ref="L355" r:id="rId2467" tooltip="https://learn.microsoft.com/azure/service-bus-messaging/service-bus-ip-filtering" display="More info" xr:uid="{41ACDBED-90AE-48DF-8410-1B1E89EA6075}"/>
    <hyperlink ref="M355" r:id="rId2468" tooltip="https://learn.microsoft.com/learn/paths/implement-resource-mgmt-security/" display="Training" xr:uid="{BDFD19A0-729D-4BFC-9C02-B9C1F782AE54}"/>
    <hyperlink ref="L366" r:id="rId2469" tooltip="https://github.com/Azure/AzureCAT-AVS/tree/main/networking" display="More info" xr:uid="{AC501C80-2714-4833-9621-F6A61A0CF870}"/>
    <hyperlink ref="L448" r:id="rId2470" location="how-application-proxy-works" tooltip="https://learn.microsoft.com/azure/active-directory/app-proxy/application-proxy#how-application-proxy-works" display="More info" xr:uid="{17F4D18E-6079-4E44-8CDA-E502B12A7773}"/>
    <hyperlink ref="M448" r:id="rId2471" tooltip="https://learn.microsoft.com/learn/modules/configure-azure-ad-application-proxy/" display="Training" xr:uid="{754C76D4-E732-460E-B26A-9578B1FD81CD}"/>
    <hyperlink ref="L449" r:id="rId2472" location="how-application-proxy-works" tooltip="https://learn.microsoft.com/azure/active-directory/app-proxy/application-proxy#how-application-proxy-works" display="More info" xr:uid="{177E49BF-32A3-466A-965A-23089F484AB2}"/>
    <hyperlink ref="M449" r:id="rId2473" tooltip="https://learn.microsoft.com/learn/paths/implement-applications-external-access-azure-ad/" display="Training" xr:uid="{60345D88-25C0-47C6-BE9F-9839B2777D73}"/>
    <hyperlink ref="L453" r:id="rId2474" tooltip="https://learn.microsoft.com/azure/web-application-firewall/afds/waf-front-door-policy-settings" display="More info" xr:uid="{F501EC89-AFD8-45D6-A855-2B3494B373BF}"/>
    <hyperlink ref="L454" r:id="rId2475" location="avoid-combining-traffic-manager-and-front-door" tooltip="https://learn.microsoft.com/azure/frontdoor/best-practices#avoid-combining-traffic-manager-and-front-door" display="More info" xr:uid="{F4433725-4E3B-4612-A29B-DE65E2CE47CE}"/>
    <hyperlink ref="L455" r:id="rId2476" location="use-the-same-domain-name-on-front-door-and-your-origin" tooltip="https://learn.microsoft.com/azure/frontdoor/best-practices#use-the-same-domain-name-on-front-door-and-your-origin" display="More info" xr:uid="{790F2478-3F71-46C6-B440-278D3DE31E10}"/>
    <hyperlink ref="L456" r:id="rId2477" location="disable-health-probes-when-theres-only-one-origin-in-an-origin-group" tooltip="https://learn.microsoft.com/azure/frontdoor/best-practices#disable-health-probes-when-theres-only-one-origin-in-an-origin-group" display="More info" xr:uid="{5A968CDC-1C18-40E6-9787-F5FF6F44DA07}"/>
    <hyperlink ref="L457" r:id="rId2478" location="select-good-health-probe-endpoints" tooltip="https://learn.microsoft.com/azure/frontdoor/best-practices#select-good-health-probe-endpoints" display="More info" xr:uid="{4FA8C6A3-2D52-47A9-805B-25B7FB1E3FBC}"/>
    <hyperlink ref="L458" r:id="rId2479" location="use-head-health-probes" tooltip="https://learn.microsoft.com/azure/frontdoor/best-practices#use-head-health-probes" display="More info" xr:uid="{8AAB6463-9CF8-4D53-9742-3013235354FA}"/>
    <hyperlink ref="L459" r:id="rId2480" location="outbound-connectivity" tooltip="https://learn.microsoft.com/azure/nat-gateway/nat-overview#outbound-connectivity" display="More info" xr:uid="{044CFACA-CC34-4B5B-BFFD-374F45488106}"/>
    <hyperlink ref="L460" r:id="rId2481" location="use-managed-tls-certificates" tooltip="https://learn.microsoft.com/azure/frontdoor/best-practices#use-managed-tls-certificates" display="More info" xr:uid="{5AC7A1CE-BF1E-4CBE-8000-706CEE59839A}"/>
    <hyperlink ref="L461" r:id="rId2482" tooltip="https://learn.microsoft.com/azure/spring-apps/concepts-blue-green-deployment-strategies" display="More info" xr:uid="{FC391B91-08AF-46A9-8BFD-0907E095050A}"/>
    <hyperlink ref="L462" r:id="rId2483" tooltip="https://learn.microsoft.com/azure/architecture/web-apps/spring-apps/architectures/spring-apps-multi-region" display="More info" xr:uid="{A596945E-735E-4253-A027-4FC507811199}"/>
    <hyperlink ref="L463" r:id="rId2484" tooltip="https://learn.microsoft.com/azure/reliability/reliability-spring-apps" display="More info" xr:uid="{294B6AE6-ED0B-4911-8B69-FE62D13D7BDC}"/>
    <hyperlink ref="L464" r:id="rId2485" tooltip="https://learn.microsoft.com/azure/spring-apps/concept-understand-app-and-deployment" display="More info" xr:uid="{ECCBDEC4-BA07-4F80-8ED5-B5C69AD08DDF}"/>
    <hyperlink ref="L465" r:id="rId2486" tooltip="https://learn.microsoft.com/azure/spring-apps/diagnostic-services" display="More info" xr:uid="{9A6B5A2E-3B47-497B-B9FD-829222265825}"/>
    <hyperlink ref="L466" r:id="rId2487" tooltip="https://learn.microsoft.com/azure/spring-apps/how-to-configure-enterprise-spring-cloud-gateway" display="More info" xr:uid="{40BEACE3-B012-4725-8B59-50605072FE33}"/>
    <hyperlink ref="L467" r:id="rId2488" tooltip="https://learn.microsoft.com/azure/spring-apps/how-to-setup-autoscale" display="More info" xr:uid="{71AB67AD-CD4D-4C63-BD71-B80061F6445B}"/>
    <hyperlink ref="L468" r:id="rId2489" tooltip="https://learn.microsoft.com/azure/spring-apps/overview" display="More info" xr:uid="{729199EF-A7D6-4609-823B-0DD6A0652F54}"/>
    <hyperlink ref="L469" r:id="rId2490" tooltip="https://learn.microsoft.com/security/benchmark/azure/baselines/storage-security-baseline" display="More info" xr:uid="{EBD7AB43-4EC4-4AED-A5CF-582EC81FE6C5}"/>
    <hyperlink ref="L470" r:id="rId2491" tooltip="https://learn.microsoft.com/azure/storage/common/storage-private-endpoints" display="More info" xr:uid="{2F321B7F-5AA8-48B7-AE36-2D9B13F4EA60}"/>
    <hyperlink ref="L471" r:id="rId2492" location="migration-of-storage-accounts" tooltip="https://learn.microsoft.com/azure/virtual-machines/migration-classic-resource-manager-overview#migration-of-storage-accounts" display="More info" xr:uid="{D16FB74A-CCA3-4F58-AA95-F1A4A9AF3C0A}"/>
    <hyperlink ref="L472" r:id="rId2493" tooltip="https://learn.microsoft.com/azure/storage/common/azure-defender-storage-configure" display="More info" xr:uid="{9E9D34EB-0A0F-4C93-A57D-32364288F66D}"/>
    <hyperlink ref="L473" r:id="rId2494" tooltip="https://learn.microsoft.com/azure/storage/blobs/soft-delete-blob-overview" display="More info" xr:uid="{EEFF7F68-6D27-44CE-99CB-2CDB351512F8}"/>
    <hyperlink ref="L474" r:id="rId2495" tooltip="https://learn.microsoft.com/azure/storage/blobs/soft-delete-blob-enable" display="More info" xr:uid="{93B40DDE-3C42-42EB-BD41-2983602F8D81}"/>
    <hyperlink ref="L475" r:id="rId2496" tooltip="https://learn.microsoft.com/azure/storage/blobs/soft-delete-container-overview" display="More info" xr:uid="{BFF2AC53-66B6-44CF-830A-B8E06E578D00}"/>
    <hyperlink ref="L476" r:id="rId2497" tooltip="https://learn.microsoft.com/azure/storage/blobs/soft-delete-container-enable" display="More info" xr:uid="{9CB37EA4-78D0-4200-ABB7-C8AC903CF3AD}"/>
    <hyperlink ref="L477" r:id="rId2498" tooltip="https://learn.microsoft.com/azure/storage/common/lock-account-resource" display="More info" xr:uid="{37A71F56-27BE-4C0E-B162-98CBD139EA17}"/>
    <hyperlink ref="L478" r:id="rId2499" tooltip="https://learn.microsoft.com/azure/storage/blobs/immutable-storage-overview" display="More info" xr:uid="{0511E057-BE8A-40BB-8617-94861E4ED2C1}"/>
    <hyperlink ref="L479" r:id="rId2500" tooltip="https://learn.microsoft.com/azure/storage/common/storage-require-secure-transfer" display="More info" xr:uid="{55196933-43EA-4B12-8BB7-440337F327F1}"/>
    <hyperlink ref="L480" r:id="rId2501" tooltip="https://learn.microsoft.com/azure/storage/blobs/storage-custom-domain-name" display="More info" xr:uid="{9D94C936-82B6-4BC8-804C-245B6F1CBBDD}"/>
    <hyperlink ref="L481" r:id="rId2502" tooltip="https://learn.microsoft.com/azure/storage/common/storage-sas-overview" display="More info" xr:uid="{4C9D3773-842A-4B6C-B82B-9E39D861C09C}"/>
    <hyperlink ref="L482" r:id="rId2503" tooltip="https://learn.microsoft.com/azure/storage/common/authorize-data-access" display="More info" xr:uid="{70226DD1-9D7E-44F7-B82F-B5795D075098}"/>
    <hyperlink ref="L484" r:id="rId2504" location="best-practices-when-using-sas" tooltip="https://learn.microsoft.com/azure/storage/common/storage-sas-overview?toc=%2Fazure%2Fstorage%2Fblobs%2Ftoc.json#best-practices-when-using-sas" display="More info" xr:uid="{7D6BD05F-0A80-4F14-A964-D5C81F85F631}"/>
    <hyperlink ref="L485" r:id="rId2505" tooltip="https://learn.microsoft.com/rest/api/storageservices/authorize-with-shared-key" display="More info" xr:uid="{93526A47-A31A-4C73-87EA-CC19F6AE5DD6}"/>
    <hyperlink ref="L486" r:id="rId2506" location="audit-account-activity" tooltip="https://learn.microsoft.com/azure/storage/blobs/blob-storage-monitoring-scenarios#audit-account-activity" display="More info" xr:uid="{BDB08D98-E71A-40D5-83E6-55BC2E1510CB}"/>
    <hyperlink ref="L487" r:id="rId2507" location="create-a-key-expiration-policy" tooltip="https://learn.microsoft.com/azure/storage/common/storage-account-keys-manage?tabs=azure-portal#create-a-key-expiration-policy" display="More info" xr:uid="{12C9DFCC-A49A-4FAC-8519-88A262DDEA69}"/>
    <hyperlink ref="L488" r:id="rId2508" tooltip="https://learn.microsoft.com/azure/storage/common/sas-expiration-policy" display="More info" xr:uid="{E888CA40-E841-4767-9C28-4FF352B09FC0}"/>
    <hyperlink ref="L489" r:id="rId2509" tooltip="https://learn.microsoft.com/rest/api/storageservices/define-stored-access-policy" display="More info" xr:uid="{2A560467-9801-4C8D-B937-7AAAED2C57E7}"/>
    <hyperlink ref="L490" r:id="rId2510" tooltip="https://microsoft.github.io/code-with-engineering-playbook/continuous-integration/dev-sec-ops/secret-management/recipes/detect-secrets-ado/" display="More info" xr:uid="{BEE93C76-D781-4FC8-907F-8C847D4FEA96}"/>
    <hyperlink ref="L491" r:id="rId2511" tooltip="https://learn.microsoft.com/azure/architecture/framework/security/design-storage-keys" display="More info" xr:uid="{1D6B8BE3-0C60-4AB8-894C-7C50690F49DD}"/>
    <hyperlink ref="L492" r:id="rId2512" tooltip="https://learn.microsoft.com/rest/api/storageservices/delegate-access-with-shared-access-signature" display="More info" xr:uid="{80CCF6A7-9E88-4C7D-9379-34AC0EDD7079}"/>
    <hyperlink ref="L493" r:id="rId2513" tooltip="https://learn.microsoft.com/rest/api/storageservices/delegate-access-with-shared-access-signature" display="More info" xr:uid="{6581CABB-A1F4-4167-906B-E6A3AFDF1B1A}"/>
    <hyperlink ref="L494" r:id="rId2514" tooltip="https://learn.microsoft.com/rest/api/storageservices/create-account-sas" display="More info" xr:uid="{B815F179-53BF-448B-9316-A37FBE9F366A}"/>
    <hyperlink ref="L496" r:id="rId2515" location="sftp-permission-model" tooltip="https://learn.microsoft.com/azure/storage/blobs/secure-file-transfer-protocol-support#sftp-permission-model" display="More info" xr:uid="{B2B71648-41E9-4E19-9185-62D0768E6487}"/>
    <hyperlink ref="L497" r:id="rId2516" location="authentication-and-authorization" tooltip="https://learn.microsoft.com/azure/storage/blobs/secure-file-transfer-protocol-known-issues#authentication-and-authorization" display="More info" xr:uid="{B03BABAB-1CD0-486C-BD1C-FA86EA7FD64E}"/>
    <hyperlink ref="L498" r:id="rId2517" tooltip="https://learn.microsoft.com/rest/api/storageservices/cross-origin-resource-sharing--cors--support-for-the-azure-storage-services" display="More info" xr:uid="{79B22921-A3CF-4E30-8ED1-D321EB0AA0D8}"/>
    <hyperlink ref="L499" r:id="rId2518" tooltip="https://learn.microsoft.com/azure/storage/common/storage-service-encryption" display="More info" xr:uid="{FC20D671-E6E0-4B68-9780-A2614A7B78E4}"/>
    <hyperlink ref="L500" r:id="rId2519" tooltip="https://learn.microsoft.com/azure/storage/common/customer-managed-keys-overview?toc=%2Fazure%2Fstorage%2Fblobs%2Ftoc.json&amp;bc=%2Fazure%2Fstorage%2Fblobs%2Fbreadcrumb%2Ftoc.json" display="More info" xr:uid="{DFD7C2E5-9976-4246-95A4-76FE1F613DA0}"/>
    <hyperlink ref="L501" r:id="rId2520" tooltip="https://learn.microsoft.com/azure/storage/blobs/encryption-customer-provided-keys" display="More info" xr:uid="{EDBBBDCB-F79F-483B-B198-262919D5AC6C}"/>
    <hyperlink ref="L502" r:id="rId2521" location="allow-or-disallow-public-read-access-for-a-storage-account" tooltip="https://learn.microsoft.com/azure/storage/blobs/anonymous-read-access-configure?tabs=portal#allow-or-disallow-public-read-access-for-a-storage-account" display="More info" xr:uid="{49A0D5AC-8F1D-4FCE-8BA2-B5EACFEB9BAC}"/>
    <hyperlink ref="L503" r:id="rId2522" tooltip="https://learn.microsoft.com/azure/event-hubs/configure-customer-managed-key" display="More info" xr:uid="{CC57E5C5-1A1A-4052-AC53-D77E4C61A251}"/>
    <hyperlink ref="M503" r:id="rId2523" tooltip="https://learn.microsoft.com/learn/modules/plan-implement-administer-conditional-access/" display="Training" xr:uid="{B2FC28D1-07BC-424E-88EB-59441963BC73}"/>
    <hyperlink ref="L504" r:id="rId2524" tooltip="https://learn.microsoft.com/azure/event-hubs/transport-layer-security-configure-minimum-version" display="More info" xr:uid="{D1EEE396-03F4-4E45-9BC0-49D28B4074B1}"/>
    <hyperlink ref="M504" r:id="rId2525" tooltip="https://learn.microsoft.com/learn/modules/secure-aad-users-with-mfa/" display="Training" xr:uid="{0A365DD6-BA20-43B4-AEF6-03C330E08995}"/>
    <hyperlink ref="L505" r:id="rId2526" location="shared-access-authorization-policies" tooltip="https://learn.microsoft.com/azure/event-hubs/authorize-access-shared-access-signature#shared-access-authorization-policies" display="More info" xr:uid="{A7AC922B-9798-45B1-9FB3-E658447E1516}"/>
    <hyperlink ref="M505" r:id="rId2527" tooltip="https://learn.microsoft.com/learn/paths/azure-administrator-manage-identities-governance/" display="Training" xr:uid="{C3BBABFE-8C73-433D-8987-A5BA20D69CDC}"/>
    <hyperlink ref="L506" r:id="rId2528" tooltip="https://learn.microsoft.com/azure/event-hubs/authenticate-managed-identity?tabs=latest" display="More info" xr:uid="{84C2CCA4-C6CC-45DD-A215-8FCCA6308DE1}"/>
    <hyperlink ref="M506" r:id="rId2529" tooltip="https://learn.microsoft.com/learn/modules/azure-ad-privileged-identity-management/" display="Training" xr:uid="{0A4F3AF3-D313-4C41-B8A5-30C13B070E0E}"/>
    <hyperlink ref="L507" r:id="rId2530" location="azure-built-in-roles-for-azure-event-hubs" tooltip="https://learn.microsoft.com/azure/event-hubs/authorize-access-azure-active-directory#azure-built-in-roles-for-azure-event-hubs" display="More info" xr:uid="{B52593C5-3C7C-45A0-88B6-3AFB3756C194}"/>
    <hyperlink ref="M507" r:id="rId2531" tooltip="https://learn.microsoft.com/learn/modules/explore-basic-services-identity-types/" display="Training" xr:uid="{130013EB-90C9-4D6C-93AE-5A3D02C4BFD6}"/>
    <hyperlink ref="L508" r:id="rId2532" tooltip="https://learn.microsoft.com/azure/event-hubs/monitor-event-hubs-reference" display="More info" xr:uid="{2D6E2C6A-7A54-4287-8A4A-0D18CB9FFB36}"/>
    <hyperlink ref="M508" r:id="rId2533" tooltip="https://learn.microsoft.com/learn/paths/manage-identity-and-access/" display="Training" xr:uid="{802FE105-D840-4479-9E0E-BAE51049A9E7}"/>
    <hyperlink ref="L509" r:id="rId2534" tooltip="https://learn.microsoft.com/azure/event-hubs/private-link-service" display="More info" xr:uid="{D892D0C6-8CDC-4F43-8B5D-05F34E0A07D5}"/>
    <hyperlink ref="M509" r:id="rId2535" tooltip="https://learn.microsoft.com/learn/modules/azure-ad-privileged-identity-management/" display="Training" xr:uid="{49B6467F-DFB7-475B-84B2-CF1B65DC4116}"/>
    <hyperlink ref="L510" r:id="rId2536" tooltip="https://learn.microsoft.com/azure/event-hubs/event-hubs-ip-filtering" display="More info" xr:uid="{2AAF7F96-DC99-48DD-9550-32122EA9A93F}"/>
    <hyperlink ref="M510" r:id="rId2537" tooltip="https://learn.microsoft.com/learn/paths/implement-resource-mgmt-security/" display="Training" xr:uid="{770B1808-12D4-4637-B986-A54AD1C482DC}"/>
    <hyperlink ref="L511" r:id="rId2538" location="use-latest-version-for-customer-managed-certificates" tooltip="https://learn.microsoft.com/azure/frontdoor/best-practices#use-latest-version-for-customer-managed-certificates" display="More info" xr:uid="{3BCC35DC-ECEF-4B11-A186-1C0FC9094E67}"/>
    <hyperlink ref="L512" r:id="rId2539" tooltip="https://learn.microsoft.com/azure/application-gateway/overview-v2" display="More info" xr:uid="{61AFEE09-7EA2-4BDD-92B1-6A3431ECCA30}"/>
    <hyperlink ref="M512" r:id="rId2540" tooltip="https://learn.microsoft.com/learn/paths/secure-application-delivery/" display="Training" xr:uid="{063F4FB5-33AA-4A2E-8C51-520F1DED66E1}"/>
    <hyperlink ref="L513" r:id="rId2541" tooltip="https://learn.microsoft.com/azure/load-balancer/load-balancer-overview" display="More info" xr:uid="{ECD8336E-E577-4F10-B8F4-B5A96369590F}"/>
    <hyperlink ref="L514" r:id="rId2542" tooltip="https://learn.microsoft.com/azure/load-balancer/load-balancer-standard-availability-zones" display="More info" xr:uid="{636E572B-4507-4C36-B64A-A2176DBDFD66}"/>
    <hyperlink ref="L515" r:id="rId2543" location="size-of-the-subnet" tooltip="https://learn.microsoft.com/azure/application-gateway/configuration-infrastructure#size-of-the-subnet" display="More info" xr:uid="{BAB4EAB7-C4DB-43AB-B206-DC49CF2613AD}"/>
    <hyperlink ref="M515" r:id="rId2544" tooltip="https://learn.microsoft.com/learn/paths/secure-application-delivery/" display="Training" xr:uid="{98AC5E9A-1716-4E6D-B63D-D5F8413109BC}"/>
    <hyperlink ref="L516" r:id="rId2545" tooltip="https://learn.microsoft.com/azure/web-application-firewall/ag/ag-overview" display="More info" xr:uid="{DF2DC0B7-B6BE-40E7-97AE-14FEA5307233}"/>
    <hyperlink ref="M516" r:id="rId2546" tooltip="https://learn.microsoft.com/learn/paths/secure-application-delivery/" display="Training" xr:uid="{2F95AF7D-781A-4765-B65E-08AC9F5A8691}"/>
    <hyperlink ref="L517" r:id="rId2547" tooltip="https://learn.microsoft.com/azure/web-application-firewall/ag/ag-overview" display="More info" xr:uid="{E4443779-6654-4BC6-9FA1-F1EA9245FF62}"/>
    <hyperlink ref="M517" r:id="rId2548" tooltip="https://learn.microsoft.com/learn/paths/secure-networking-infrastructure/" display="Training" xr:uid="{E30E9E70-C382-47A4-9E92-08979BFD6069}"/>
    <hyperlink ref="L518" r:id="rId2549" tooltip="https://learn.microsoft.com/azure/application-gateway/application-gateway-autoscaling-zone-redundant" display="More info" xr:uid="{E6C3A656-5115-498F-96D3-65BB54A69A32}"/>
    <hyperlink ref="M518" r:id="rId2550" tooltip="https://learn.microsoft.com/learn/paths/secure-application-delivery/" display="Training" xr:uid="{43739BF6-849C-4B1E-B291-E8ACFEC6AF39}"/>
    <hyperlink ref="L519" r:id="rId2551" tooltip="https://learn.microsoft.com/azure/reliability/migrate-app-gateway-v2" display="More info" xr:uid="{90025005-0D88-42AB-A63D-2F7669A21893}"/>
    <hyperlink ref="M519" r:id="rId2552" tooltip="https://learn.microsoft.com/learn/paths/secure-application-delivery/" display="Training" xr:uid="{3CEC7823-35E8-46AE-BEA1-9C0F5FCEFF5A}"/>
    <hyperlink ref="L520" r:id="rId2553" tooltip="https://learn.microsoft.com/azure/web-application-firewall/ag/ag-overview" display="More info" xr:uid="{E2C21288-8DD0-471F-8A01-08120549AD7B}"/>
    <hyperlink ref="M520" r:id="rId2554" tooltip="https://learn.microsoft.com/learn/paths/secure-networking-infrastructure/" display="Training" xr:uid="{E8F10CB4-A65A-4ED7-8E1E-03004A6AC771}"/>
    <hyperlink ref="L521" r:id="rId2555" tooltip="https://learn.microsoft.com/azure/ddos-protection/ddos-protection-overview" display="More info" xr:uid="{401B17FC-4F8D-4098-9F5D-7E8266305D11}"/>
    <hyperlink ref="M521" r:id="rId2556" tooltip="https://learn.microsoft.com/learn/paths/secure-networking-infrastructure/" display="Training" xr:uid="{3AE5D015-9140-42A0-AFD3-4649CE7690EB}"/>
    <hyperlink ref="L522" r:id="rId2557" tooltip="https://learn.microsoft.com/azure/web-application-firewall/ag/ag-overview" display="More info" xr:uid="{0427BADD-9BDD-4AD7-B061-4F649860D9FB}"/>
    <hyperlink ref="M522" r:id="rId2558" tooltip="https://learn.microsoft.com/learn/paths/secure-networking-infrastructure/" display="Training" xr:uid="{68A21F89-EB30-4010-B80B-C476003ECD0F}"/>
    <hyperlink ref="L523" r:id="rId2559" location="how-application-proxy-works" tooltip="https://learn.microsoft.com/azure/active-directory/app-proxy/application-proxy#how-application-proxy-works" display="More info" xr:uid="{EFCE279F-4221-4D20-8CC6-965F435D54FD}"/>
    <hyperlink ref="M523" r:id="rId2560" tooltip="https://learn.microsoft.com/learn/modules/configure-azure-ad-application-proxy/" display="Training" xr:uid="{BD20625A-97AD-4E9B-9869-5DABC89992E8}"/>
    <hyperlink ref="L524" r:id="rId2561" location="how-application-proxy-works" tooltip="https://learn.microsoft.com/azure/active-directory/app-proxy/application-proxy#how-application-proxy-works" display="More info" xr:uid="{6EE8945A-BE92-4C37-B67D-9918ED242A28}"/>
    <hyperlink ref="M524" r:id="rId2562" tooltip="https://learn.microsoft.com/learn/paths/implement-applications-external-access-azure-ad/" display="Training" xr:uid="{63E0FA05-500D-493B-A047-AD1B9FE5CBA6}"/>
    <hyperlink ref="L525" r:id="rId2563" tooltip="https://learn.microsoft.com/azure/web-application-firewall/afds/waf-front-door-policy-settings" display="More info" xr:uid="{1D1B4294-E878-481C-99E7-878B7BBCE843}"/>
    <hyperlink ref="L526" r:id="rId2564" location="avoid-combining-traffic-manager-and-front-door" tooltip="https://learn.microsoft.com/azure/frontdoor/best-practices#avoid-combining-traffic-manager-and-front-door" display="More info" xr:uid="{B414F27D-97FA-4ADC-A2ED-39561BFBD676}"/>
    <hyperlink ref="L527" r:id="rId2565" location="use-the-same-domain-name-on-front-door-and-your-origin" tooltip="https://learn.microsoft.com/azure/frontdoor/best-practices#use-the-same-domain-name-on-front-door-and-your-origin" display="More info" xr:uid="{1F6B2D1A-D8B7-4EAA-8E6D-CD0415F6B589}"/>
    <hyperlink ref="L528" r:id="rId2566" location="disable-health-probes-when-theres-only-one-origin-in-an-origin-group" tooltip="https://learn.microsoft.com/azure/frontdoor/best-practices#disable-health-probes-when-theres-only-one-origin-in-an-origin-group" display="More info" xr:uid="{71E75B72-FAA2-42CD-8C0B-11E97EF3C61E}"/>
    <hyperlink ref="L529" r:id="rId2567" location="select-good-health-probe-endpoints" tooltip="https://learn.microsoft.com/azure/frontdoor/best-practices#select-good-health-probe-endpoints" display="More info" xr:uid="{2CE276BB-2DFC-4917-89F9-2969B85D8921}"/>
    <hyperlink ref="L530" r:id="rId2568" location="use-head-health-probes" tooltip="https://learn.microsoft.com/azure/frontdoor/best-practices#use-head-health-probes" display="More info" xr:uid="{0C4B0FAD-7553-48D7-B9E3-ECC197FA75F7}"/>
    <hyperlink ref="L531" r:id="rId2569" location="outbound-connectivity" tooltip="https://learn.microsoft.com/azure/nat-gateway/nat-overview#outbound-connectivity" display="More info" xr:uid="{CE895A5F-D6A3-4852-8A85-B866E80A71C0}"/>
    <hyperlink ref="L532" r:id="rId2570" location="use-managed-tls-certificates" tooltip="https://learn.microsoft.com/azure/frontdoor/best-practices#use-managed-tls-certificates" display="More info" xr:uid="{E5F2F555-1D9F-49B0-8153-CF7F6292AF15}"/>
    <hyperlink ref="L533" r:id="rId2571" location="define-your-waf-configuration-as-code" tooltip="https://learn.microsoft.com/azure/web-application-firewall/afds/waf-front-door-best-practices#define-your-waf-configuration-as-code" display="More info" xr:uid="{9D932DDE-A6AB-45CB-9017-D50C74E440AF}"/>
    <hyperlink ref="L534" r:id="rId2572" location="use-end-to-end-tls" tooltip="https://learn.microsoft.com/azure/frontdoor/best-practices#use-end-to-end-tls" display="More info" xr:uid="{9F830F81-C766-4C0F-83DA-5EC6E1FA7B72}"/>
    <hyperlink ref="L535" r:id="rId2573" location="use-http-to-https-redirection" tooltip="https://learn.microsoft.com/azure/frontdoor/best-practices#use-http-to-https-redirection" display="More info" xr:uid="{DE4D9D88-09F5-4AD0-A308-CD2062DC7FA2}"/>
    <hyperlink ref="L536" r:id="rId2574" location="enable-the-waf" tooltip="https://learn.microsoft.com/azure/frontdoor/best-practices#enable-the-waf" display="More info" xr:uid="{A9C721EC-F5F1-4B73-B741-13E015E50EB8}"/>
    <hyperlink ref="L537" r:id="rId2575" location="tune-your-waf" tooltip="https://learn.microsoft.com/azure/web-application-firewall/afds/waf-front-door-best-practices#tune-your-waf" display="More info" xr:uid="{F8C1DF93-8886-4852-9BFD-1D34FA06303D}"/>
    <hyperlink ref="L538" r:id="rId2576" location="use-prevention-mode" tooltip="https://learn.microsoft.com/azure/web-application-firewall/afds/waf-front-door-best-practices#use-prevention-mode" display="More info" xr:uid="{8EE03F56-005A-4532-AC1F-07536249F091}"/>
    <hyperlink ref="L539" r:id="rId2577" location="enable-default-rule-sets" tooltip="https://learn.microsoft.com/azure/web-application-firewall/afds/waf-front-door-best-practices#enable-default-rule-sets" display="More info" xr:uid="{5C9F547C-D102-49E6-AAEF-64F5B456C693}"/>
    <hyperlink ref="L540" r:id="rId2578" location="enable-bot-management-rules" tooltip="https://learn.microsoft.com/azure/web-application-firewall/afds/waf-front-door-best-practices#enable-bot-management-rules" display="More info" xr:uid="{FB5A6A9E-257F-4C36-84BC-D2C98A671C69}"/>
    <hyperlink ref="L541" r:id="rId2579" location="use-the-latest-ruleset-versions" tooltip="https://learn.microsoft.com/azure/web-application-firewall/afds/waf-front-door-best-practices#use-the-latest-ruleset-versions" display="More info" xr:uid="{13F27602-868E-4CA2-81FD-875A25904DD5}"/>
    <hyperlink ref="L542" r:id="rId2580" location="add-rate-limiting" tooltip="https://learn.microsoft.com/azure/web-application-firewall/afds/waf-front-door-best-practices#add-rate-limiting" display="More info" xr:uid="{44BB28B9-1F44-4B49-8DB9-A537401B1773}"/>
    <hyperlink ref="L543" r:id="rId2581" location="use-a-high-threshold-for-rate-limits" tooltip="https://learn.microsoft.com/azure/web-application-firewall/afds/waf-front-door-best-practices#use-a-high-threshold-for-rate-limits" display="More info" xr:uid="{180BD471-EF91-4777-B1F7-032D579FB3D4}"/>
    <hyperlink ref="L544" r:id="rId2582" location="geo-filter-traffic" tooltip="https://learn.microsoft.com/azure/web-application-firewall/afds/waf-front-door-best-practices#geo-filter-traffic" display="More info" xr:uid="{01C46562-4E6D-4828-A898-9BA083CABC30}"/>
    <hyperlink ref="L545" r:id="rId2583" location="specify-the-unknown-zz-location" tooltip="https://learn.microsoft.com/azure/web-application-firewall/afds/waf-front-door-best-practices#specify-the-unknown-zz-location" display="More info" xr:uid="{FD2ADBF7-63B6-48EF-863A-399B5BE4F444}"/>
    <hyperlink ref="L546" r:id="rId2584" tooltip="https://learn.microsoft.com/azure/azure-cache-for-redis/cache-how-to-zone-redundancy" display="More info" xr:uid="{92FAB1D0-4953-499E-92F5-BDBCC2F071EF}"/>
    <hyperlink ref="L547" r:id="rId2585" tooltip="https://learn.microsoft.com/azure/azure-cache-for-redis/cache-how-to-premium-persistence?tabs=premium" display="More info" xr:uid="{F0BC5416-07C9-47B3-BAF6-6F73A6B8708F}"/>
    <hyperlink ref="L548" r:id="rId2586" tooltip="https://learn.microsoft.com/azure/azure-cache-for-redis/cache-how-to-premium-persistence?tabs=premium" display="More info" xr:uid="{7F2FA7AC-67B8-4800-B7EE-B6646BD4CF84}"/>
    <hyperlink ref="L549" r:id="rId2587" tooltip="https://learn.microsoft.com/azure/azure-cache-for-redis/cache-how-to-geo-replication" display="More info" xr:uid="{127437CC-7D81-4026-8133-B8B6CA6D0C09}"/>
    <hyperlink ref="L550" r:id="rId2588" tooltip="https://learn.microsoft.com/azure/virtual-machine-scale-sets/virtual-machine-scale-sets-automatic-instance-repairs" display="More info" xr:uid="{88A28AA2-1682-4879-B535-77446A8FFDE0}"/>
    <hyperlink ref="L551" r:id="rId2589" tooltip="https://learn.microsoft.com/azure/backup/backup-azure-vms-introduction" display="More info" xr:uid="{9A9D517C-45AB-4F30-B888-E6CE1B5FC802}"/>
    <hyperlink ref="L552" r:id="rId2590" tooltip="https://learn.microsoft.com/azure/virtual-machines/disks-types" display="More info" xr:uid="{B7AC67B4-136C-45D5-AA87-15E38CA78AB2}"/>
    <hyperlink ref="L553" r:id="rId2591" tooltip="https://learn.microsoft.com/azure/virtual-machines/managed-disks-overview" display="More info" xr:uid="{AC550543-6936-4212-B9FD-4A164C2EF254}"/>
    <hyperlink ref="L554" r:id="rId2592" location="temporary-disk" tooltip="https://learn.microsoft.com/azure/virtual-machines/managed-disks-overview#temporary-disk" display="More info" xr:uid="{F9BF5923-98CB-4FFD-B0AF-645E085740A5}"/>
    <hyperlink ref="L555" r:id="rId2593" tooltip="https://learn.microsoft.com/azure/reliability/availability-zones-overview" display="More info" xr:uid="{A489340E-4011-4191-A99E-F50C74F88FB9}"/>
    <hyperlink ref="L556" r:id="rId2594" tooltip="https://learn.microsoft.com/azure/virtual-machines/availability-set-overview" display="More info" xr:uid="{11A02C20-E6C1-4739-8029-C4DB949A55D1}"/>
    <hyperlink ref="L557" r:id="rId2595" tooltip="https://learn.microsoft.com/azure/virtual-machines/availability" display="More info" xr:uid="{BB001A55-7861-48EC-9BC4-FB0EF09C4ECD}"/>
    <hyperlink ref="L558" r:id="rId2596" tooltip="https://learn.microsoft.com/azure/site-recovery/site-recovery-overview" display="More info" xr:uid="{ECC09AD0-35DE-4A3F-B838-7B618D28EB4E}"/>
    <hyperlink ref="L559" r:id="rId2597" tooltip="https://learn.microsoft.com/azure/virtual-machines/capacity-reservation-overview" display="More info" xr:uid="{3AC8F8E8-582C-428E-8D39-AFD99EE15CA0}"/>
    <hyperlink ref="L560" r:id="rId2598" tooltip="https://learn.microsoft.com/azure/quotas/per-vm-quota-requests" display="More info" xr:uid="{40968964-82EC-42B0-B907-C89C6C542A13}"/>
    <hyperlink ref="L561" r:id="rId2599" tooltip="https://learn.microsoft.com/azure/virtual-machines/windows/scheduled-events" display="More info" xr:uid="{5CF6F041-2408-4A05-B534-1B7D01DBD507}"/>
    <hyperlink ref="L562" r:id="rId2600" tooltip="https://learn.microsoft.com/azure/storage/common/storage-redundancy" display="More info" xr:uid="{7487A711-742F-453C-8872-656438EEA820}"/>
    <hyperlink ref="L563" r:id="rId2601" tooltip="https://learn.microsoft.com/azure/storage/common/lock-account-resource" display="More info" xr:uid="{38C36488-3D2B-44C0-875E-26D4C24B07DE}"/>
    <hyperlink ref="L564" r:id="rId2602" tooltip="https://learn.microsoft.com/azure/storage/blobs/soft-delete-container-enable" display="More info" xr:uid="{AC77F235-D895-4BF9-A897-71A70035FDF3}"/>
    <hyperlink ref="L565" r:id="rId2603" tooltip="https://learn.microsoft.com/azure/storage/blobs/soft-delete-blob-enable" display="More info" xr:uid="{F02B5810-9A0F-4C72-A14F-62EEBD1AB3A3}"/>
    <hyperlink ref="L566" r:id="rId2604" tooltip="https://learn.microsoft.com/azure/backup/backup-azure-enhanced-soft-delete-about" display="More info" xr:uid="{7303C67C-15FF-49F8-8F07-DF6542A784A7}"/>
    <hyperlink ref="L567" r:id="rId2605" tooltip="https://learn.microsoft.com/azure/backup/multi-user-authorization-concept" display="More info" xr:uid="{80853EF6-339E-4367-A12D-7920F8D0ADA1}"/>
    <hyperlink ref="L568" r:id="rId2606" tooltip="https://learn.microsoft.com/azure/backup/backup-azure-immutable-vault-concept?source=recommendations&amp;tabs=recovery-services-vault" display="More info" xr:uid="{3CCF2CEC-5525-49D1-A897-98EA7EBB7474}"/>
    <hyperlink ref="L569" r:id="rId2607" tooltip="https://learn.microsoft.com/azure/dns/tutorial-dns-private-resolver-failover" display="More info" xr:uid="{9D7089F8-7E22-4CFD-84F3-0DD2453246AC}"/>
    <hyperlink ref="L570" r:id="rId2608" tooltip="https://learn.microsoft.com/data-integration/gateway/service-gateway-high-availability-clusters" display="More info" xr:uid="{FCA30444-37A0-44F1-9124-04A813CCCDAA}"/>
    <hyperlink ref="L571" r:id="rId2609" tooltip="https://learn.microsoft.com/azure/architecture/reference-architectures/dmz/nva-ha" display="More info" xr:uid="{5E434587-47E5-461F-B2EF-8D4786A03EC5}"/>
    <hyperlink ref="L11" r:id="rId2610" location="introduction-to-quota" tooltip="https://learn.microsoft.com/azure/ai-services/openai/how-to/quota?tabs=rest#introduction-to-quota" xr:uid="{CE096A5D-BDCD-4BD1-98BE-C20BE90FFC1F}"/>
    <hyperlink ref="L12" r:id="rId2611" tooltip="https://learn.microsoft.com/azure/active-directory/privileged-identity-management/pim-create-roles-and-resource-roles-review" xr:uid="{5B0E87A9-1E7B-4EC2-8063-F8F0D625B77B}"/>
    <hyperlink ref="L13" r:id="rId2612" tooltip="https://github.com/Azure/apim-landing-zone-accelerator/blob/main/scenarios/workload-genai/README.md" xr:uid="{BE5237A0-F4E6-404C-ACDE-4C6224E128DB}"/>
    <hyperlink ref="L14" r:id="rId2613" tooltip="https://learn.microsoft.com/azure/ai-services/authentication" xr:uid="{DE80C5F9-B119-4719-9CEB-16D9813AA661}"/>
    <hyperlink ref="L15" r:id="rId2614" tooltip="https://learn.microsoft.com/azure/ai-studio/how-to/configure-managed-network" xr:uid="{C9346602-9287-4A40-8988-F048D759E47C}"/>
    <hyperlink ref="L16" r:id="rId2615" tooltip="https://learn.microsoft.com/azure/ai-studio/how-to/configure-managed-network" xr:uid="{C0F99CA9-8705-44C6-B5FA-F4963D64B459}"/>
    <hyperlink ref="L17" r:id="rId2616" tooltip="https://learn.microsoft.com/azure/machine-learning/concept-network-isolation-configurations" xr:uid="{B799715A-9C67-40AC-ACF8-A44559475123}"/>
    <hyperlink ref="L18" r:id="rId2617" tooltip="https://learn.microsoft.com/azure/ai-services/cognitive-services-data-loss-prevention?branch=main&amp;tabs=azure-cli" xr:uid="{D44CFD06-D135-4C6F-89AC-C36E40A75103}"/>
    <hyperlink ref="L19" r:id="rId2618" tooltip="https://learn.microsoft.com/azure/ai-studio/how-to/configure-managed-network?branch=main&amp;tabs=portal" xr:uid="{EE0D9766-DAC7-45E0-A1D5-F57AAACAB70B}"/>
    <hyperlink ref="L20" r:id="rId2619" tooltip="https://learn.microsoft.com/azure/machine-learning/how-to-network-isolation-planning?view=azureml-api-2&amp;branch=main" xr:uid="{60474966-BBCC-4E39-B9DB-EC09B532ABA1}"/>
    <hyperlink ref="L21" r:id="rId2620" tooltip="https://github.com/Azure/apim-landing-zone-accelerator/blob/main/scenarios/workload-genai/README.md" xr:uid="{10996E6B-4CF6-4773-AD39-7BA978925BEA}"/>
    <hyperlink ref="L22" r:id="rId2621" tooltip="https://learn.microsoft.com/azure/ai-services/openai/how-to/business-continuity-disaster-recovery" xr:uid="{0C316B78-913B-4815-82FB-74656B279FD5}"/>
    <hyperlink ref="L23" r:id="rId2622" tooltip="https://learn.microsoft.com/azure/ai-studio/how-to/configure-managed-network" xr:uid="{23702D1F-1978-4E98-9BF3-81026FC637DC}"/>
    <hyperlink ref="L24" r:id="rId2623" tooltip="https://learn.microsoft.com/azure/container-apps/sessions?tabs=azure-cli" xr:uid="{01B610BA-2802-4555-83C2-8887B7311D5B}"/>
    <hyperlink ref="L26" r:id="rId2624" tooltip="https://learn.microsoft.com/azure/ai-studio/concepts/evaluation-approach-gen-ai" xr:uid="{73E3DD31-A4D8-453E-8025-A4C7AAB85B25}"/>
    <hyperlink ref="L27" r:id="rId2625" tooltip="https://learn.microsoft.com/azure/ai-studio/how-to/develop/trace-local-sdk" xr:uid="{6E03A45B-CC96-4D25-9EFF-25B9B8754BC1}"/>
    <hyperlink ref="L28" r:id="rId2626" tooltip="https://learn.microsoft.com/azure/service-health/alerts-activity-log-service-notifications-portal" xr:uid="{3E0D7CAD-B84F-4C9A-B899-D887F3FC150C}"/>
    <hyperlink ref="L29" r:id="rId2627" tooltip="https://learn.microsoft.com/azure/cloud-adoption-framework/ready/landing-zone/design-area/management-monitor" xr:uid="{A7C431E0-59F1-405B-AB6A-D334FF5E56F9}"/>
    <hyperlink ref="L30" r:id="rId2628" tooltip="https://learn.microsoft.com/azure/ai-services/openai/concepts/model-retirements" xr:uid="{8AA4347D-E06E-4688-85E0-E710F88DDA95}"/>
    <hyperlink ref="L31" r:id="rId2629" tooltip="https://learn.microsoft.com/azure/ai-foundry/model-inference/concepts/model-versions" xr:uid="{76B79158-075D-4C47-8761-61F069834234}"/>
    <hyperlink ref="L32" r:id="rId2630" tooltip="https://learn.microsoft.com/azure/ai-services/openai/how-to/fine-tuning-deploy?tabs=portal" xr:uid="{05A849E9-5B38-48B3-B9E6-68679F3D4E4F}"/>
    <hyperlink ref="L33" r:id="rId2631" tooltip="https://learn.microsoft.com/azure/backup/backup-overview" xr:uid="{937080D2-94F5-4EB8-8D72-53A6BDD6F902}"/>
    <hyperlink ref="L34" r:id="rId2632" tooltip="https://learn.microsoft.com/azure/ai-studio/how-to/create-manage-compute" xr:uid="{79935A89-4233-4B22-A2D1-3F5827E65F4C}"/>
    <hyperlink ref="L35" r:id="rId2633" tooltip="https://learn.microsoft.com/azure/machine-learning/how-to-create-attach-compute-studio" xr:uid="{A6A97397-0B54-477C-B3FD-AA0F492CBC14}"/>
    <hyperlink ref="L36" r:id="rId2634" tooltip="https://learn.microsoft.com/azure/azure-resource-manager/management/lock-resources?tabs=json" xr:uid="{D3DF1809-AEBE-4435-999D-BDCEA8ADC542}"/>
    <hyperlink ref="L37" r:id="rId2635" tooltip="https://www.azadvertizer.net/azpolicyinitiativesadvertizer/Enforce-Guardrails-OpenAI.html" xr:uid="{1424E7EE-8005-4309-991C-2540DC14430D}"/>
    <hyperlink ref="L38" r:id="rId2636" tooltip="https://www.azadvertizer.net/azpolicyinitiativesadvertizer/Enforce-Guardrails-MachineLearning.html" xr:uid="{ADD2E3D4-BEBB-4B30-A8DF-0FE9FD4CAC59}"/>
    <hyperlink ref="L39" r:id="rId2637" tooltip="https://www.azadvertizer.net/azpolicyinitiativesadvertizer/Enforce-Guardrails-CognitiveServices.html" xr:uid="{AD1DF328-443B-4C8A-B60B-02BB0C4F9AB9}"/>
    <hyperlink ref="L40" r:id="rId2638" tooltip="https://www.azadvertizer.net/azpolicyinitiativesadvertizer/Enforce-Guardrails-APIM.html" xr:uid="{A82E6DD8-5556-42AB-A7DF-86244E03A462}"/>
    <hyperlink ref="L41" r:id="rId2639" tooltip="https://learn.microsoft.com/azure/architecture/ai-ml/guide/rag/rag-solution-design-and-evaluation-guide" xr:uid="{6A16A6D4-1F70-4B34-8E99-B51536EBE852}"/>
    <hyperlink ref="L42" r:id="rId2640" tooltip="https://learn.microsoft.com/azure/ai-studio/concepts/evaluation-approach-gen-ai" xr:uid="{EF82A9E5-8215-412D-9F91-94D6F7A62830}"/>
    <hyperlink ref="L43" r:id="rId2641" tooltip="https://github.com/Azure-Samples/AI-Gateway" xr:uid="{8758B9CE-9AFD-40AE-9579-1EDD7D0B7E2D}"/>
    <hyperlink ref="L44" r:id="rId2642" tooltip="https://learn.microsoft.com/azure/search/search-reliability" xr:uid="{7E07E475-15E7-42A4-9E52-61673436FC84}"/>
    <hyperlink ref="L45" r:id="rId2643" tooltip="https://techcommunity.microsoft.com/t5/fasttrack-for-azure/azure-openai-insights-monitoring-ai-with-confidence/ba-p/4026850" xr:uid="{40880FA2-C682-40E7-8DC3-A36DF477AA10}"/>
    <hyperlink ref="L46" r:id="rId2644" location="set-up-alerts" tooltip="https://learn.microsoft.com/azure/ai-services/openai/how-to/monitoring#set-up-alerts" xr:uid="{7B43D560-A3A7-4365-BD87-AEBA4BA5823D}"/>
    <hyperlink ref="L47" r:id="rId2645" tooltip="https://learn.microsoft.com/azure/ai-services/openai/how-to/monitoring" xr:uid="{1632238B-13F7-4D74-B956-5AE7139BAD01}"/>
    <hyperlink ref="L48" r:id="rId2646" tooltip="https://learn.microsoft.com/azure/ai-services/openai/how-to/monitoring" xr:uid="{156F8680-6D70-4CAD-B209-BA78371EE9CC}"/>
    <hyperlink ref="L49" r:id="rId2647" tooltip="https://techcommunity.microsoft.com/t5/apps-on-azure-blog/build-an-enterprise-ready-azure-openai-solution-with-azure-api/ba-p/3907562" xr:uid="{70F32627-12E8-4978-BCEE-8621420554D3}"/>
    <hyperlink ref="L50" r:id="rId2648" tooltip="https://github.com/Azure-Samples/openai-enterprise-iac" xr:uid="{0A3EC8BB-543C-4D76-B670-58BCAD7B7D57}"/>
    <hyperlink ref="L51" r:id="rId2649" location="azure-openai---performance-efficiency" tooltip="https://learn.microsoft.com/azure/architecture/ai-ml/architecture/baseline-openai-e2e-chat#azure-openai---performance-efficiency" xr:uid="{F45F8B25-2F2C-468C-8318-DDEF466655D1}"/>
    <hyperlink ref="L52" r:id="rId2650" location="system-level-throughput" tooltip="https://learn.microsoft.com/azure/ai-services/openai/how-to/latency#system-level-throughput" xr:uid="{53D6843A-1FBE-4CA9-BFC3-787D2464F12A}"/>
    <hyperlink ref="L53" r:id="rId2651" location="improve-performance" tooltip="https://learn.microsoft.com/azure/ai-services/openai/how-to/latency#improve-performance" xr:uid="{9BE71C6E-4FCE-4B3D-A166-EB8AB5AF5328}"/>
    <hyperlink ref="L54" r:id="rId2652" location="batching" tooltip="https://learn.microsoft.com/azure/ai-services/openai/how-to/latency#batching" xr:uid="{600CD3B2-04B2-4C52-A840-EBC4E6743CAE}"/>
    <hyperlink ref="L55" r:id="rId2653" tooltip="https://learn.microsoft.com/azure/ai-services/openai/concepts/provisioned-throughput" xr:uid="{C1531A7C-3F22-4DB8-96B0-3B1F7AB993C0}"/>
    <hyperlink ref="L56" r:id="rId2654" tooltip="https://github.com/Azure/azure-openai-benchmark/" xr:uid="{577E38C9-10D2-4461-8583-DCDCA251695E}"/>
    <hyperlink ref="L57" r:id="rId2655" tooltip="https://techcommunity.microsoft.com/t5/fasttrack-for-azure/optimizing-azure-openai-a-guide-to-limits-quotas-and-best/ba-p/4076268" xr:uid="{6AB8B6C1-8283-46A2-A0F4-E28D7CA631CB}"/>
    <hyperlink ref="L58" r:id="rId2656" tooltip="https://learn.microsoft.com/azure/ai-services/openai/concepts/models" xr:uid="{7AA6CC02-9640-4050-A601-DE9FE1F11388}"/>
    <hyperlink ref="L59" r:id="rId2657" tooltip="https://github.com/Azure/azure-openai-benchmark/" xr:uid="{89ACD17E-3425-4224-AFE4-BC521A98289D}"/>
    <hyperlink ref="L60" r:id="rId2658" tooltip="https://learn.microsoft.com/azure/search/vector-search-index-size?tabs=portal-vector-quota" xr:uid="{E29C5D7E-BC55-4CC0-8826-BB95310C9A90}"/>
    <hyperlink ref="L61" r:id="rId2659" tooltip="https://learn.microsoft.com/azure/machine-learning/prompt-flow/how-to-end-to-end-llmops-with-prompt-flow?view=azureml-api-2" xr:uid="{4B7B7085-76FC-4A96-9C30-5A3756C4C7DD}"/>
    <hyperlink ref="L62" r:id="rId2660" tooltip="https://techcommunity.microsoft.com/t5/ai-azure-ai-services-blog/how-to-control-azure-openai-models/ba-p/4146793" xr:uid="{D6659FA4-2CDA-4A42-9CF7-41081775B83C}"/>
    <hyperlink ref="L63" r:id="rId2661" tooltip="https://learn.microsoft.com/azure/machine-learning/prompt-flow/concept-model-monitoring-generative-ai-evaluation-metrics?view=azureml-api-2" xr:uid="{42D8545B-F0CA-49EB-A3E2-53361DF2CC1C}"/>
    <hyperlink ref="L65" r:id="rId2662" tooltip="https://learn.microsoft.com/azure/ai-services/openai/concepts/fine-tuning-considerations" xr:uid="{E8F0F0EC-2C67-4BBE-8818-9F06167ECE28}"/>
    <hyperlink ref="L66" r:id="rId2663" tooltip="https://learn.microsoft.com/azure/ai-services/openai/concepts/models?branch=main&amp;tabs=python-secure" xr:uid="{62AB0DCE-A81F-49A5-842C-0FCC42EC8295}"/>
    <hyperlink ref="L67" r:id="rId2664" tooltip="https://learn.microsoft.com/azure/ai-services/openai/concepts/advanced-prompt-engineering?pivots=programming-language-chat-completions" xr:uid="{78B3CF81-EB5A-458E-9A63-5E5243751E19}"/>
    <hyperlink ref="L68" r:id="rId2665" tooltip="https://www.microsoft.com/haxtoolkit/guideline/encourage-granular-feedback/" xr:uid="{BC0405D8-54C2-4F93-953E-1450B8E4BB60}"/>
    <hyperlink ref="L69" r:id="rId2666" tooltip="https://github.com/Azure/aoai-apim/blob/main/README.md" xr:uid="{993D293C-4FB4-48D0-8B44-13EEE350A0EB}"/>
    <hyperlink ref="L70" r:id="rId2667" location="import-training-data-from-azure-blob-store" tooltip="https://learn.microsoft.com/azure/ai-services/openai/how-to/fine-tuning?tabs=turbo%2Cpython-new&amp;pivots=programming-language-studio#import-training-data-from-azure-blob-store" xr:uid="{40A706A4-56A9-4017-8752-30C0F04771CD}"/>
    <hyperlink ref="L71" r:id="rId2668" tooltip="https://learn.microsoft.com/azure/ai-services/openai/how-to/quota?tabs=rest" xr:uid="{4A7235D2-8DC9-4F15-811F-ED8353A9436F}"/>
    <hyperlink ref="L72" r:id="rId2669" tooltip="https://learn.microsoft.com/azure/ai-services/openai/how-to/monitor-openai" xr:uid="{95D7D496-E65B-4D43-BF8B-ACE3D84E5B45}"/>
    <hyperlink ref="L73" r:id="rId2670" tooltip="https://learn.microsoft.com/azure/ai-services/create-account-bicep" xr:uid="{C085049E-03B7-44A5-87F8-28E5691112CC}"/>
    <hyperlink ref="L74" r:id="rId2671" tooltip="https://learn.microsoft.com/azure/architecture/guide/multitenant/service/openai" xr:uid="{29A86D78-DC8E-471A-95B5-47C8BD22A0A8}"/>
    <hyperlink ref="L75" r:id="rId2672" location="high-availability" tooltip="https://learn.microsoft.com/azure/search/search-reliability#high-availability" xr:uid="{D5F58763-BFAB-484A-B147-76DDB4635051}"/>
    <hyperlink ref="L76" r:id="rId2673" location="high-availability" tooltip="https://learn.microsoft.com/azure/search/search-reliability#high-availability" xr:uid="{5BC431AF-861E-498D-88A2-7E947C117F26}"/>
    <hyperlink ref="L77" r:id="rId2674" tooltip="https://learn.microsoft.com/azure/ai-services/openai/how-to/quota?tabs=rest&amp;branch=main" xr:uid="{31026E40-0DF4-4E5D-B545-0107C9BCB8D9}"/>
    <hyperlink ref="L78" r:id="rId2675" location="availability-zone-support" tooltip="https://learn.microsoft.com/azure/search/search-reliability#availability-zone-support" xr:uid="{C97267EF-40C5-47CB-81C8-E3CC0D7DB564}"/>
    <hyperlink ref="L79" r:id="rId2676" location="multiple-services-in-separate-geographic-regions" tooltip="https://learn.microsoft.com/azure/search/search-reliability#multiple-services-in-separate-geographic-regions" xr:uid="{073964B8-5CE0-4CF1-AB8F-5E68A3CB6550}"/>
    <hyperlink ref="L80" r:id="rId2677" location="synchronize-data-across-multiple-services" tooltip="https://learn.microsoft.com/azure/search/search-reliability#synchronize-data-across-multiple-services" xr:uid="{160BDEFE-08B2-4EC2-8BDB-FF6B65B25954}"/>
    <hyperlink ref="L81" r:id="rId2678" location="use-azure-traffic-manager-to-coordinate-requests" tooltip="https://learn.microsoft.com/azure/search/search-reliability#use-azure-traffic-manager-to-coordinate-requests" xr:uid="{C992767B-F05E-406C-8AE2-E3123E9AF96D}"/>
    <hyperlink ref="L82" r:id="rId2679" location="back-up-and-restore-alternatives" tooltip="https://learn.microsoft.com/azure/search/search-reliability#back-up-and-restore-alternatives" xr:uid="{6245B477-87AE-4A4D-BD64-788B7C8298B4}"/>
    <hyperlink ref="L83" r:id="rId2680" tooltip="https://github.com/Azure/fta-resiliencyplaybooks/blob/main/paas-foundations-playbooks-cog_svcs_v1.docx" xr:uid="{9C7A163D-5665-482E-AE74-0034877D6E5C}"/>
    <hyperlink ref="L84" r:id="rId2681" tooltip="https://learn.microsoft.com/azure/ai-services/openai/concepts/advanced-prompt-engineering?pivots=programming-language-chat-completions" xr:uid="{DE3769E1-2581-4743-B9DB-86DFC988D501}"/>
    <hyperlink ref="L85" r:id="rId2682" tooltip="https://learn.microsoft.com/azure/ai-services/openai/how-to/business-continuity-disaster-recovery" xr:uid="{23E68CB5-FBC2-492C-A9E6-35C39C8FB5A5}"/>
    <hyperlink ref="L86" r:id="rId2683" location="backup-your-chatgpt-conversations" tooltip="https://github.com/abacaj/chatgpt-backup#backup-your-chatgpt-conversations" xr:uid="{27FA893B-573F-45BF-9A2E-8F446CC75615}"/>
    <hyperlink ref="L87" r:id="rId2684" tooltip="https://learn.microsoft.com/azure/ai-services/speech-service/how-to-custom-speech-continuous-integration-continuous-deployment" xr:uid="{D09F4575-6078-43CB-BC87-CF8660F09D14}"/>
    <hyperlink ref="L88" r:id="rId2685" tooltip="https://learn.microsoft.com/azure/ai-services/openai/how-to/deployment-types" xr:uid="{3A690FD8-93AC-4659-8E56-33682B3460BA}"/>
    <hyperlink ref="L89" r:id="rId2686" tooltip="https://learn.microsoft.com/azure/ai-services/qnamaker/tutorials/export-knowledge-base" xr:uid="{CBA7C292-6A02-44B0-9846-D98E8A3463A4}"/>
    <hyperlink ref="L90" r:id="rId2687" location="define-additional-safety-and-behavioral-guardrails" tooltip="https://learn.microsoft.com/azure/ai-services/openai/concepts/system-message#define-additional-safety-and-behavioral-guardrails" xr:uid="{7F7357E2-3264-4E18-9765-18697188A39B}"/>
    <hyperlink ref="L91" r:id="rId2688" tooltip="https://learn.microsoft.com/azure/machine-learning/prompt-flow/how-to-bulk-test-evaluate-flow?view=azureml-api-2" xr:uid="{6A49AD0A-13DD-4796-8CB0-9F9E0242C8D2}"/>
    <hyperlink ref="L92" r:id="rId2689" tooltip="https://learn.microsoft.com/azure/ai-services/content-safety/overview" xr:uid="{C5673C1C-745C-487E-BBA2-6FB12D57C719}"/>
    <hyperlink ref="L93" r:id="rId2690" tooltip="https://www.microsoft.com/research/project/guidelines-for-human-ai-interaction/" xr:uid="{026C8C44-F452-4CEE-9E97-91BF63CEFF0F}"/>
    <hyperlink ref="L94" r:id="rId2691" tooltip="https://learn.microsoft.com/azure/ai-services/content-safety/concepts/jailbreak-detection" xr:uid="{1245EDEF-7BE9-40A2-A3A2-78FD207C38F2}"/>
    <hyperlink ref="L95" r:id="rId2692" tooltip="https://learn.microsoft.com/legal/cognitive-services/openai/code-of-conduct" xr:uid="{0B8A5D6B-44EF-4382-BB55-A5DF059F5456}"/>
    <hyperlink ref="L96" r:id="rId2693" tooltip="https://learn.microsoft.com/azure/ai-services/openai/how-to/content-filters" xr:uid="{39416CFE-BF95-4662-B080-7A1282A57A82}"/>
    <hyperlink ref="L98" r:id="rId2694" tooltip="https://github.com/Azure/Community-Policy/tree/main/policyDefinitions/Compute/deploy-vm-auto-shutdown" xr:uid="{63A99221-01D1-48D1-BA2F-F07B9F14F81F}"/>
    <hyperlink ref="L99" r:id="rId2695" tooltip="https://learn.microsoft.com/azure/cloud-adoption-framework/ready/considerations/infrastructure-as-code" xr:uid="{5BCD6EA8-17A6-4E6E-A289-B8443A5ED276}"/>
    <hyperlink ref="L100" r:id="rId2696" tooltip="https://learn.microsoft.com/azure/cost-management-billing/costs/tutorial-acm-create-budgets?bc=%2Fazure%2Fcloud-adoption-framework%2F_bread%2Ftoc.json&amp;toc=%2Fazure%2Fcloud-adoption-framework%2Ftoc.json" xr:uid="{4EC1FFEB-19C1-4888-8E02-69587972444D}"/>
    <hyperlink ref="L101" r:id="rId2697" tooltip="https://www.microsoft.com/research/blog/llmlingua-innovating-llm-efficiency-with-prompt-compression/" xr:uid="{AC8BE198-9127-460A-B277-BA0C22A94236}"/>
    <hyperlink ref="L102" r:id="rId2698" tooltip="https://github.com/openai/tiktoken" xr:uid="{D19E48E8-1DBA-47DA-970B-B5FD4EBE2548}"/>
    <hyperlink ref="L103" r:id="rId2699" location="base-series-and-codex-series-fine-tuned-models" tooltip="https://learn.microsoft.com/azure/ai-services/openai/how-to/manage-costs#base-series-and-codex-series-fine-tuned-models" xr:uid="{A1C81925-9DF4-4546-836C-471899F77843}"/>
    <hyperlink ref="L104" r:id="rId2700" location="batching" tooltip="https://learn.microsoft.com/azure/ai-services/openai/how-to/latency#batching" xr:uid="{9F2DB12C-2FD2-40EC-B5DB-B1C4E9A75694}"/>
    <hyperlink ref="L105" r:id="rId2701" tooltip="https://learn.microsoft.com/azure/ai-services/openai/how-to/manage-costs" xr:uid="{3132A2B6-3218-4CC4-BADD-64E1B7A76855}"/>
    <hyperlink ref="L106" r:id="rId2702" location="understanding-rate-limits" tooltip="https://learn.microsoft.com/azure/ai-services/openai/how-to/quota?tabs=rest#understanding-rate-limits" xr:uid="{31F41411-12D3-4BFE-BFEA-41A54F0C553A}"/>
    <hyperlink ref="L107" r:id="rId2703" location="understanding-the-provisioned-throughput-purchase-model" tooltip="https://learn.microsoft.com/azure/ai-services/openai/how-to/provisioned-throughput-onboarding#understanding-the-provisioned-throughput-purchase-model" xr:uid="{ECD3B964-F6A1-46EC-B7BB-FD25CF6ED0AF}"/>
    <hyperlink ref="L108" r:id="rId2704" tooltip="https://techcommunity.microsoft.com/t5/fasttrack-for-azure/optimizing-azure-openai-a-guide-to-limits-quotas-and-best/ba-p/4076268" xr:uid="{24D958A6-11BD-43CC-916D-E80FA343341C}"/>
    <hyperlink ref="L109" r:id="rId2705" tooltip="https://learn.microsoft.com/azure/ai-services/openai/how-to/manage-costs" xr:uid="{D25D2687-00DF-41B3-A506-A5C89B89299F}"/>
    <hyperlink ref="L110" r:id="rId2706" tooltip="https://learn.microsoft.com/azure/cloud-adoption-framework/ready/considerations/development-strategy-development-lifecycle" xr:uid="{5846D6B3-4E4E-474C-BD82-A5EE052203CB}"/>
    <hyperlink ref="L111" r:id="rId2707" tooltip="https://azure.microsoft.com/pricing/details/cognitive-services/openai-service/" xr:uid="{40DA73A8-7652-4859-A07C-F32A619BC395}"/>
    <hyperlink ref="L112" r:id="rId2708" tooltip="https://learn.microsoft.com/azure/ai-services/openai/how-to/manage-costs" xr:uid="{00EF4869-29B6-4387-A86A-17B427EC0A19}"/>
    <hyperlink ref="L113" r:id="rId2709" tooltip="https://learn.microsoft.com/azure/ai-services/openai/how-to/manage-costs" xr:uid="{9BA1EEF1-3807-4132-A9B2-D614957A8A45}"/>
    <hyperlink ref="L114" r:id="rId2710" tooltip="https://learn.microsoft.com/azure/ai-services/openai/how-to/manage-costs" xr:uid="{90D82528-C8E8-434E-982F-4E84E459099F}"/>
    <hyperlink ref="L115" r:id="rId2711" tooltip="https://learn.microsoft.com/azure/defender-for-cloud/ai-threat-protection" xr:uid="{F9F35513-910B-487C-A7DB-D57120B90029}"/>
    <hyperlink ref="L116" r:id="rId2712" tooltip="https://learn.microsoft.com/azure/ai-services/content-safety/concepts/jailbreak-detection" xr:uid="{064E77BA-AF99-4220-977D-7E2BAB1F027A}"/>
    <hyperlink ref="L118" r:id="rId2713" tooltip="https://learn.microsoft.com/azure/ai-studio/concepts/ai-resources" xr:uid="{9FFBDF9E-E2C9-4AB6-9478-FF2A7479156F}"/>
    <hyperlink ref="L119" r:id="rId2714" tooltip="https://genai.owasp.org/llm-top-10/" xr:uid="{CB26D0A1-49F4-4102-9F70-D13EF0129B2A}"/>
    <hyperlink ref="L120" r:id="rId2715" tooltip="https://learn.microsoft.com/purview/insider-risk-management" xr:uid="{6EF419A8-6298-47E5-8B51-1B5445A305A5}"/>
    <hyperlink ref="L121" r:id="rId2716" tooltip="https://learn.microsoft.com/azure/cloud-adoption-framework/ready/considerations/infrastructure-as-code" xr:uid="{44FEE276-0CBB-4197-91F7-BC75BF15443B}"/>
    <hyperlink ref="L122" r:id="rId2717" tooltip="https://www.microsoft.com/securityengineering/sdl/threatmodeling" xr:uid="{0202D89C-16B0-4C54-9CE7-AEC27C2FB826}"/>
    <hyperlink ref="L123" r:id="rId2718" tooltip="https://learn.microsoft.com/azure/ai-services/openai/concepts/red-teaming" xr:uid="{4280F383-625D-46DA-B3DD-FD2BFEEFD1BC}"/>
    <hyperlink ref="L124" r:id="rId2719" tooltip="https://learn.microsoft.com/azure/defender-for-cloud/identify-ai-workload-model" xr:uid="{843354C9-D2AD-4E78-8B54-EA8E617AC627}"/>
    <hyperlink ref="L127" r:id="rId2720" tooltip="https://learn.microsoft.com/azure/ai-services/language-service/personally-identifiable-information/concepts/entity-categories" xr:uid="{59C21A52-D208-4371-B595-FE946AFEF3A0}"/>
    <hyperlink ref="L131" r:id="rId2721" tooltip="https://www.azadvertizer.net/azpolicyinitiativesadvertizer/Enforce-Encryption-CMK.html" xr:uid="{A3F747CD-180E-4E8A-9758-7F4E64DDE3BE}"/>
    <hyperlink ref="L132" r:id="rId2722" tooltip="https://learn.microsoft.com/azure/ai-studio/how-to/disaster-recovery" xr:uid="{6898511E-A04C-43B5-93F0-820646D4206C}"/>
    <hyperlink ref="L134" r:id="rId2723" tooltip="https://learn.microsoft.com/azure/defender-for-cloud/identify-ai-workload-model" xr:uid="{00C6B81F-1EFE-4A4C-B871-958995E144A9}"/>
    <hyperlink ref="L135" r:id="rId2724" tooltip="https://learn.microsoft.com/azure/ai-services/content-safety/overview" xr:uid="{FDA20254-0B98-466A-B1BE-F28856A9EE7F}"/>
    <hyperlink ref="L136" r:id="rId2725" tooltip="https://learn.microsoft.com/azure/ai-studio/how-to/prompt-flow" xr:uid="{6921256B-A73E-4562-8FBF-A034A404E3DA}"/>
    <hyperlink ref="L137" r:id="rId2726" tooltip="https://learn.microsoft.com/azure/search/monitor-azure-cognitive-search" xr:uid="{8FFC4D0B-706D-4BBA-A77F-5D3ABF5A59D8}"/>
    <hyperlink ref="L138" r:id="rId2727" tooltip="https://learn.microsoft.com/security/benchmark/azure/mcsb-asset-management" xr:uid="{838CD9E4-A520-4295-AFDE-EC482EB4B71D}"/>
    <hyperlink ref="L139" r:id="rId2728" tooltip="https://learn.microsoft.com/azure/ai-services/policy-reference" xr:uid="{7DBC0632-02CB-47E7-92D4-48C009DF340F}"/>
    <hyperlink ref="L140" r:id="rId2729" tooltip="https://learn.microsoft.com/microsoft-365/compliance/compliance-manager-overview" xr:uid="{63AF2B77-F046-4845-B5F5-6582712982C0}"/>
    <hyperlink ref="L142" r:id="rId2730" tooltip="https://learn.microsoft.com/purview/unified-catalog?branch=main" xr:uid="{ED1127D1-4C03-4AA3-94FB-BA6E878BEEA4}"/>
    <hyperlink ref="L143" r:id="rId2731" tooltip="https://learn.microsoft.com/azure/machine-learning/how-to-high-availability-machine-learning" xr:uid="{FDC33AF1-6C5A-4BE9-9B44-F2D46D13F88D}"/>
    <hyperlink ref="L145" r:id="rId2732" tooltip="https://learn.microsoft.com/azure/ai-services/content-safety/concepts/protected-material?branch=main&amp;tabs=text" xr:uid="{7D1C2433-FF1E-40C3-A252-795531C08B38}"/>
    <hyperlink ref="L146" r:id="rId2733" tooltip="https://learn.microsoft.com/azure/ai-services/openai/how-to/managed-identity" xr:uid="{A5C0EA39-1544-4B55-8B3A-3773FEFD6AB0}"/>
    <hyperlink ref="L147" r:id="rId2734" tooltip="https://learn.microsoft.com/purview/purview" xr:uid="{5FDF5A60-B782-4D67-8664-BE8D6029150C}"/>
    <hyperlink ref="L148" r:id="rId2735" tooltip="https://learn.microsoft.com/azure/ai-services/openai/how-to/use-your-data-securely" xr:uid="{462CA0E9-EBEF-4167-B447-55C439E21D20}"/>
    <hyperlink ref="L149" r:id="rId2736" tooltip="https://learn.microsoft.com/azure/search/search-security-overview" xr:uid="{2A3AD002-3942-4C46-8EB4-B1DFC7AA4E19}"/>
    <hyperlink ref="L150" r:id="rId2737" tooltip="https://learn.microsoft.com/azure/ai-services/openai/how-to/role-based-access-control" xr:uid="{6BE64AB2-A151-4EB9-9C20-2B674D6D04EC}"/>
    <hyperlink ref="L151" r:id="rId2738" tooltip="https://learn.microsoft.com/azure/security/fundamentals/data-encryption-best-practices" xr:uid="{ED6EEF8A-3758-4ADE-BF60-A5ED697480F5}"/>
    <hyperlink ref="L152" r:id="rId2739" tooltip="https://learn.microsoft.com/azure/defender-for-cloud/ai-onboarding" xr:uid="{0110FFFF-568A-446B-AECB-620F06A7569F}"/>
    <hyperlink ref="L153" r:id="rId2740" tooltip="https://techcommunity.microsoft.com/t5/azure-storage-blog/managing-long-term-log-retention-or-any-business-data/ba-p/2494791" xr:uid="{334BFAE3-D076-4FD3-929E-61B55A0C3272}"/>
    <hyperlink ref="L154" r:id="rId2741" tooltip="https://learn.microsoft.com/azure/ai-services/openai/how-to/business-continuity-disaster-recovery" xr:uid="{CCB3EDE3-9F1F-4CCF-8808-F0B6A7425050}"/>
    <hyperlink ref="L155" r:id="rId2742" tooltip="https://learn.microsoft.com/azure/compliance/" xr:uid="{316F236E-BC90-4134-A769-7AA8B5057116}"/>
    <hyperlink ref="L161" r:id="rId2743" tooltip="https://learn.microsoft.com/azure/ai-services/openai/how-to/role-based-access-control" xr:uid="{F0979234-8A6C-49E2-B606-FCC6772AEDB4}"/>
    <hyperlink ref="L162" r:id="rId2744" tooltip="https://techcommunity.microsoft.com/t5/azure-architecture-blog/azure-openai-private-endpoints-connecting-across-vnet-s/ba-p/3913325" xr:uid="{AFC4EC03-D621-4126-8D8F-097C98DBCC2A}"/>
    <hyperlink ref="L165" r:id="rId2745" location="azure-openai---reliability" tooltip="https://learn.microsoft.com/azure/architecture/ai-ml/architecture/baseline-openai-e2e-chat#azure-openai---reliability" xr:uid="{8BAACF52-0328-4E7C-A517-33865A8D059D}"/>
    <hyperlink ref="L166" r:id="rId2746" tooltip="https://learn.microsoft.com/azure/ai-services/openai/how-to/managed-identity" xr:uid="{9A27F4D8-3317-4DC0-A20D-B5FB3866B2EC}"/>
    <hyperlink ref="L167" r:id="rId2747" tooltip="https://techcommunity.microsoft.com/t5/azure-architecture-blog/security-best-practices-for-genai-applications-openai-in-azure/ba-p/4027885" xr:uid="{37EF490E-BD36-4B2F-9C8C-DC4696C76A13}"/>
    <hyperlink ref="L170" r:id="rId2748" tooltip="https://learn.microsoft.com/azure/azure-resource-manager/management/tag-resources?tabs=json" xr:uid="{4EAFD451-41E3-4B8A-8710-E43B89A1D685}"/>
    <hyperlink ref="L171" r:id="rId2749" tooltip="https://learn.microsoft.com/azure/cloud-adoption-framework/ready/azure-best-practices/resource-abbreviations" xr:uid="{01FF5AB0-8EFC-42A7-AA56-FF9F7EAF2B42}"/>
    <hyperlink ref="L172" r:id="rId2750" tooltip="https://learn.microsoft.com/azure/ai-services/diagnostic-logging" xr:uid="{B480BA1C-4A20-4F5D-BC4F-0719BD342C11}"/>
    <hyperlink ref="L173" r:id="rId2751" tooltip="https://learn.microsoft.com/azure/key-vault/general/best-practices" xr:uid="{E76A7F04-E0A9-46DB-ADD1-4D75074AD76D}"/>
    <hyperlink ref="L174" r:id="rId2752" tooltip="https://learn.microsoft.com/azure/key-vault/general/best-practices" xr:uid="{EB48E485-9733-4275-9F27-8DDB08B56567}"/>
    <hyperlink ref="L175" r:id="rId2753" tooltip="https://learn.microsoft.com/azure/security/develop/secure-dev-overview" xr:uid="{16B9E55F-4751-41E3-A002-D7417BFFA1FE}"/>
    <hyperlink ref="L176" r:id="rId2754" location="azure-openai---reliability" tooltip="https://learn.microsoft.com/azure/architecture/ai-ml/architecture/baseline-openai-e2e-chat#azure-openai---reliability" xr:uid="{08FF9156-AFB5-40C9-8007-470F15C78383}"/>
    <hyperlink ref="L177" r:id="rId2755" tooltip="https://learn.microsoft.com/azure/devops/repos/security/github-advanced-security-dependency-scanning?view=azure-devops" xr:uid="{920687FA-227E-46EC-A6A8-0AC6799BEB79}"/>
    <hyperlink ref="L178" r:id="rId2756" tooltip="https://learn.microsoft.com/azure/ai-services/openai/concepts/red-teaming" xr:uid="{03B8F64F-9EB8-47EB-BB8A-FACA9B84CAE4}"/>
    <hyperlink ref="L179" r:id="rId2757" tooltip="https://learn.microsoft.com/azure/ai-services/openai/encrypt-data-at-rest" xr:uid="{092AD052-EE50-4A58-8400-CC66E47DE8D8}"/>
    <hyperlink ref="L180" r:id="rId2758" tooltip="https://learn.microsoft.com/azure/ai-services/content-safety/concepts/jailbreak-detection" xr:uid="{E0041D67-1E19-4585-BF14-506747437DD2}"/>
    <hyperlink ref="L181" r:id="rId2759" tooltip="https://learn.microsoft.com/azure/ai-services/openai/how-to/monitor-openai" xr:uid="{245C0B7F-6A06-4219-AEA7-0EFD27D45D85}"/>
    <hyperlink ref="L182" r:id="rId2760" tooltip="https://learn.microsoft.com/azure/ai-services/openai/how-to/managed-identity" xr:uid="{3FD2468A-9D85-4AFA-8BDD-D941ED220679}"/>
    <hyperlink ref="L183" r:id="rId2761" tooltip="https://learn.microsoft.com/azure/active-directory/authentication/concept-mfa-howitworks" xr:uid="{A3074358-9599-4810-B67A-73D8C2526032}"/>
    <hyperlink ref="L184" r:id="rId2762" tooltip="https://learn.microsoft.com/azure/active-directory/privileged-identity-management/pim-configure" xr:uid="{964173D5-4665-46C7-9390-DE824ED73D93}"/>
    <hyperlink ref="L185" r:id="rId2763" tooltip="https://learn.microsoft.com/azure/active-directory/conditional-access/overview" xr:uid="{58718DBA-9ECE-4AEB-81DB-3FC402A622E9}"/>
    <hyperlink ref="L186" r:id="rId2764" tooltip="https://learn.microsoft.com/azure/cloud-adoption-framework/ready/landing-zone/design-area/identity-access-landing-zones" xr:uid="{652E4F81-3268-4320-B987-4B745A8291DC}"/>
  </hyperlinks>
  <pageMargins left="0.7" right="0.7" top="0.75" bottom="0.75" header="0.3" footer="0.3"/>
  <pageSetup paperSize="9" orientation="portrait" horizontalDpi="4294967293" r:id="rId2765"/>
  <drawing r:id="rId2766"/>
  <legacyDrawing r:id="rId2767"/>
  <mc:AlternateContent xmlns:mc="http://schemas.openxmlformats.org/markup-compatibility/2006">
    <mc:Choice Requires="x14">
      <controls>
        <mc:AlternateContent xmlns:mc="http://schemas.openxmlformats.org/markup-compatibility/2006">
          <mc:Choice Requires="x14">
            <control shapeId="1025" r:id="rId2768" name="Button 1">
              <controlPr defaultSize="0" print="0" autoFill="0" autoPict="0" macro="[0]!Sheet1.export_json">
                <anchor>
                  <from>
                    <xdr:col>11</xdr:col>
                    <xdr:colOff>609600</xdr:colOff>
                    <xdr:row>1</xdr:row>
                    <xdr:rowOff>622300</xdr:rowOff>
                  </from>
                  <to>
                    <xdr:col>13</xdr:col>
                    <xdr:colOff>520700</xdr:colOff>
                    <xdr:row>2</xdr:row>
                    <xdr:rowOff>190500</xdr:rowOff>
                  </to>
                </anchor>
              </controlPr>
            </control>
          </mc:Choice>
        </mc:AlternateContent>
        <mc:AlternateContent xmlns:mc="http://schemas.openxmlformats.org/markup-compatibility/2006">
          <mc:Choice Requires="x14">
            <control shapeId="1027" r:id="rId2769" name="Button 3">
              <controlPr defaultSize="0" print="0" autoFill="0" autoPict="0" macro="[0]!Sheet1.import_checklist">
                <anchor>
                  <from>
                    <xdr:col>11</xdr:col>
                    <xdr:colOff>609600</xdr:colOff>
                    <xdr:row>1</xdr:row>
                    <xdr:rowOff>317500</xdr:rowOff>
                  </from>
                  <to>
                    <xdr:col>13</xdr:col>
                    <xdr:colOff>520700</xdr:colOff>
                    <xdr:row>1</xdr:row>
                    <xdr:rowOff>590550</xdr:rowOff>
                  </to>
                </anchor>
              </controlPr>
            </control>
          </mc:Choice>
        </mc:AlternateContent>
        <mc:AlternateContent xmlns:mc="http://schemas.openxmlformats.org/markup-compatibility/2006">
          <mc:Choice Requires="x14">
            <control shapeId="1028" r:id="rId2770" name="Button 4">
              <controlPr defaultSize="0" print="0" autoFill="0" autoPict="0" macro="[0]!Sheet1.import_checklist_fromurl">
                <anchor moveWithCells="1" sizeWithCells="1">
                  <from>
                    <xdr:col>6</xdr:col>
                    <xdr:colOff>76200</xdr:colOff>
                    <xdr:row>1</xdr:row>
                    <xdr:rowOff>165100</xdr:rowOff>
                  </from>
                  <to>
                    <xdr:col>6</xdr:col>
                    <xdr:colOff>2019300</xdr:colOff>
                    <xdr:row>1</xdr:row>
                    <xdr:rowOff>476250</xdr:rowOff>
                  </to>
                </anchor>
              </controlPr>
            </control>
          </mc:Choice>
        </mc:AlternateContent>
        <mc:AlternateContent xmlns:mc="http://schemas.openxmlformats.org/markup-compatibility/2006">
          <mc:Choice Requires="x14">
            <control shapeId="1043" r:id="rId2771" name="Button 19">
              <controlPr defaultSize="0" print="0" autoFill="0" autoPict="0" macro="[0]!Sheet1.import_graph_results">
                <anchor>
                  <from>
                    <xdr:col>11</xdr:col>
                    <xdr:colOff>609600</xdr:colOff>
                    <xdr:row>3</xdr:row>
                    <xdr:rowOff>0</xdr:rowOff>
                  </from>
                  <to>
                    <xdr:col>13</xdr:col>
                    <xdr:colOff>520700</xdr:colOff>
                    <xdr:row>4</xdr:row>
                    <xdr:rowOff>38100</xdr:rowOff>
                  </to>
                </anchor>
              </controlPr>
            </control>
          </mc:Choice>
        </mc:AlternateContent>
        <mc:AlternateContent xmlns:mc="http://schemas.openxmlformats.org/markup-compatibility/2006">
          <mc:Choice Requires="x14">
            <control shapeId="1029" r:id="rId2772" name="Group Box 5">
              <controlPr defaultSize="0" autoFill="0" autoPict="0">
                <anchor>
                  <from>
                    <xdr:col>11</xdr:col>
                    <xdr:colOff>419100</xdr:colOff>
                    <xdr:row>1</xdr:row>
                    <xdr:rowOff>127000</xdr:rowOff>
                  </from>
                  <to>
                    <xdr:col>14</xdr:col>
                    <xdr:colOff>2247900</xdr:colOff>
                    <xdr:row>6</xdr:row>
                    <xdr:rowOff>88900</xdr:rowOff>
                  </to>
                </anchor>
              </controlPr>
            </control>
          </mc:Choice>
        </mc:AlternateContent>
        <mc:AlternateContent xmlns:mc="http://schemas.openxmlformats.org/markup-compatibility/2006">
          <mc:Choice Requires="x14">
            <control shapeId="1055" r:id="rId2773" name="Button 31">
              <controlPr defaultSize="0" print="0" autoFill="0" autoPict="0" macro="[0]!Sheet1.ProcessGraphQueries">
                <anchor>
                  <from>
                    <xdr:col>13</xdr:col>
                    <xdr:colOff>577850</xdr:colOff>
                    <xdr:row>1</xdr:row>
                    <xdr:rowOff>323850</xdr:rowOff>
                  </from>
                  <to>
                    <xdr:col>14</xdr:col>
                    <xdr:colOff>2032000</xdr:colOff>
                    <xdr:row>1</xdr:row>
                    <xdr:rowOff>590550</xdr:rowOff>
                  </to>
                </anchor>
              </controlPr>
            </control>
          </mc:Choice>
        </mc:AlternateContent>
        <mc:AlternateContent xmlns:mc="http://schemas.openxmlformats.org/markup-compatibility/2006">
          <mc:Choice Requires="x14">
            <control shapeId="1056" r:id="rId2774" name="Button 32">
              <controlPr defaultSize="0" print="0" autoFill="0" autoPict="0" macro="[0]!Sheet1.ShowAllColumns">
                <anchor>
                  <from>
                    <xdr:col>13</xdr:col>
                    <xdr:colOff>577850</xdr:colOff>
                    <xdr:row>1</xdr:row>
                    <xdr:rowOff>609600</xdr:rowOff>
                  </from>
                  <to>
                    <xdr:col>14</xdr:col>
                    <xdr:colOff>2032000</xdr:colOff>
                    <xdr:row>2</xdr:row>
                    <xdr:rowOff>171450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ellIs" priority="307" operator="equal" id="{42CD8C9C-EAE9-4067-8FFE-DEE350E9C5BE}">
            <xm:f>Values!$B$5</xm:f>
            <x14:dxf>
              <fill>
                <patternFill>
                  <bgColor rgb="FF00B050"/>
                </patternFill>
              </fill>
            </x14:dxf>
          </x14:cfRule>
          <x14:cfRule type="cellIs" priority="308" operator="equal" id="{91328A24-1F53-4224-ADBE-F78CC4D5E6CA}">
            <xm:f>Values!$B$4</xm:f>
            <x14:dxf>
              <fill>
                <patternFill>
                  <bgColor rgb="FF00B050"/>
                </patternFill>
              </fill>
            </x14:dxf>
          </x14:cfRule>
          <x14:cfRule type="cellIs" priority="309" operator="equal" id="{459885FA-A26D-4BDE-8A0C-5550B1911868}">
            <xm:f>Values!$B$2</xm:f>
            <x14:dxf>
              <fill>
                <patternFill>
                  <bgColor rgb="FFFFC000"/>
                </patternFill>
              </fill>
            </x14:dxf>
          </x14:cfRule>
          <x14:cfRule type="cellIs" priority="310" operator="equal" id="{D63EC4D8-AFAA-4A8D-848E-A859B545A99A}">
            <xm:f>Values!$B$6</xm:f>
            <x14:dxf>
              <fill>
                <patternFill>
                  <bgColor theme="2"/>
                </patternFill>
              </fill>
            </x14:dxf>
          </x14:cfRule>
          <x14:cfRule type="cellIs" priority="311" operator="equal" id="{3D909DF5-1B95-4F55-9712-A0209D660DEB}">
            <xm:f>Values!$B$3</xm:f>
            <x14:dxf>
              <fill>
                <patternFill>
                  <bgColor rgb="FFFF0000"/>
                </patternFill>
              </fill>
            </x14:dxf>
          </x14:cfRule>
          <xm:sqref>H4:H8</xm:sqref>
        </x14:conditionalFormatting>
        <x14:conditionalFormatting xmlns:xm="http://schemas.microsoft.com/office/excel/2006/main">
          <x14:cfRule type="cellIs" priority="293" operator="equal" id="{EF374120-932D-4038-9401-491522B428CB}">
            <xm:f>Values!$B$5</xm:f>
            <x14:dxf>
              <fill>
                <patternFill>
                  <bgColor rgb="FF00B050"/>
                </patternFill>
              </fill>
            </x14:dxf>
          </x14:cfRule>
          <x14:cfRule type="cellIs" priority="303" operator="equal" id="{3FAF5097-EDD1-413B-B67D-F709427CE1C9}">
            <xm:f>Values!$B$4</xm:f>
            <x14:dxf>
              <fill>
                <patternFill>
                  <bgColor rgb="FF00B050"/>
                </patternFill>
              </fill>
            </x14:dxf>
          </x14:cfRule>
          <x14:cfRule type="cellIs" priority="304" operator="equal" id="{3C8D81A4-1510-449F-9D38-BCF8671ECC50}">
            <xm:f>Values!$B$2</xm:f>
            <x14:dxf>
              <fill>
                <patternFill>
                  <bgColor rgb="FFFFC000"/>
                </patternFill>
              </fill>
            </x14:dxf>
          </x14:cfRule>
          <x14:cfRule type="cellIs" priority="305" operator="equal" id="{5DD2E7F1-CAD4-490A-AC66-C26C1EFC893B}">
            <xm:f>Values!$B$6</xm:f>
            <x14:dxf>
              <fill>
                <patternFill>
                  <bgColor theme="2"/>
                </patternFill>
              </fill>
            </x14:dxf>
          </x14:cfRule>
          <x14:cfRule type="cellIs" priority="306" operator="equal" id="{90DE5207-6C3E-4BA7-A439-C362737755D9}">
            <xm:f>Values!$B$3</xm:f>
            <x14:dxf>
              <fill>
                <patternFill>
                  <bgColor rgb="FFFF0000"/>
                </patternFill>
              </fill>
            </x14:dxf>
          </x14:cfRule>
          <xm:sqref>I10:I2999</xm:sqref>
        </x14:conditionalFormatting>
        <x14:conditionalFormatting xmlns:xm="http://schemas.microsoft.com/office/excel/2006/main">
          <x14:cfRule type="dataBar" id="{9539AB88-4F2A-4CB7-BCCB-E840D31820E2}">
            <x14:dataBar minLength="0" maxLength="100" gradient="0">
              <x14:cfvo type="autoMin"/>
              <x14:cfvo type="autoMax"/>
              <x14:negativeFillColor rgb="FFFF0000"/>
              <x14:axisColor rgb="FF000000"/>
            </x14:dataBar>
          </x14:cfRule>
          <xm:sqref>P8:T8</xm:sqref>
        </x14:conditionalFormatting>
      </x14:conditionalFormattings>
    </ext>
    <ext xmlns:x14="http://schemas.microsoft.com/office/spreadsheetml/2009/9/main" uri="{CCE6A557-97BC-4b89-ADB6-D9C93CAAB3DF}">
      <x14:dataValidations xmlns:xm="http://schemas.microsoft.com/office/excel/2006/main" count="9">
        <x14:dataValidation type="list" allowBlank="1" showInputMessage="1" showErrorMessage="1" xr:uid="{AC885F1E-9328-40BC-9BCC-FF426638FD34}">
          <x14:formula1>
            <xm:f>Values!$L$2:$L$6</xm:f>
          </x14:formula1>
          <xm:sqref>D10:E2999</xm:sqref>
        </x14:dataValidation>
        <x14:dataValidation type="list" allowBlank="1" showInputMessage="1" showErrorMessage="1" xr:uid="{739628BC-18A9-487C-B50C-7353D28F76A3}">
          <x14:formula1>
            <xm:f>Values!$M$2:$M$3</xm:f>
          </x14:formula1>
          <xm:sqref>K10:K1048576 F4</xm:sqref>
        </x14:dataValidation>
        <x14:dataValidation type="list" allowBlank="1" showInputMessage="1" showErrorMessage="1" xr:uid="{D1412479-1CA8-4F35-8E2F-40DF6F1A942B}">
          <x14:formula1>
            <xm:f>Values!$F$2:$F$8</xm:f>
          </x14:formula1>
          <xm:sqref>H3</xm:sqref>
        </x14:dataValidation>
        <x14:dataValidation type="list" allowBlank="1" showInputMessage="1" showErrorMessage="1" xr:uid="{1FADF299-D3F5-4738-87C9-07B95BA322CB}">
          <x14:formula1>
            <xm:f>Values!$F$2:$F$19</xm:f>
          </x14:formula1>
          <xm:sqref>H2</xm:sqref>
        </x14:dataValidation>
        <x14:dataValidation type="list" allowBlank="1" showInputMessage="1" showErrorMessage="1" xr:uid="{02B2B990-4A86-4049-A8DE-23C2DA4C5AB7}">
          <x14:formula1>
            <xm:f>Values!$I$2:$I$6</xm:f>
          </x14:formula1>
          <xm:sqref>I3</xm:sqref>
        </x14:dataValidation>
        <x14:dataValidation type="list" allowBlank="1" showInputMessage="1" showErrorMessage="1" xr:uid="{11CC1828-0C29-48E5-AFF7-69C8BCD07D1F}">
          <x14:formula1>
            <xm:f>Values!$I$2:$I$7</xm:f>
          </x14:formula1>
          <xm:sqref>I2</xm:sqref>
        </x14:dataValidation>
        <x14:dataValidation type="list" allowBlank="1" showInputMessage="1" showErrorMessage="1" xr:uid="{6E32D585-1A54-4FA0-B36D-99F92862FABC}">
          <x14:formula1>
            <xm:f>Values!$R$2:$R$6</xm:f>
          </x14:formula1>
          <xm:sqref>G5</xm:sqref>
        </x14:dataValidation>
        <x14:dataValidation type="list" allowBlank="1" showInputMessage="1" showErrorMessage="1" xr:uid="{3B42DE15-645A-4E06-86AA-0E7EE308B74D}">
          <x14:formula1>
            <xm:f>Values!$A$2:$A$4</xm:f>
          </x14:formula1>
          <xm:sqref>H10:H2999</xm:sqref>
        </x14:dataValidation>
        <x14:dataValidation type="list" allowBlank="1" showInputMessage="1" showErrorMessage="1" xr:uid="{4E60EA48-6D70-440F-850F-6AB151308106}">
          <x14:formula1>
            <xm:f>Values!$B$2:$B$6</xm:f>
          </x14:formula1>
          <xm:sqref>I10:I2999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C3FBF-2D65-44F3-AF2A-1C07141BA112}">
  <sheetPr codeName="Sheet3"/>
  <dimension ref="A1:Z246"/>
  <sheetViews>
    <sheetView tabSelected="1" zoomScaleNormal="100" workbookViewId="0"/>
  </sheetViews>
  <sheetFormatPr defaultRowHeight="14.5"/>
  <cols>
    <col min="1" max="1" width="28.26953125" customWidth="1"/>
    <col min="4" max="4" width="15" customWidth="1"/>
    <col min="5" max="6" width="12.81640625" customWidth="1"/>
    <col min="9" max="9" width="35.1796875" customWidth="1"/>
    <col min="16" max="16" width="37.08984375" customWidth="1"/>
  </cols>
  <sheetData>
    <row r="1" spans="1:15" ht="37">
      <c r="D1" s="18" t="s">
        <v>20</v>
      </c>
      <c r="E1" s="18" t="s">
        <v>21</v>
      </c>
      <c r="F1" s="18"/>
    </row>
    <row r="2" spans="1:15" ht="31">
      <c r="A2" s="13" t="s">
        <v>12</v>
      </c>
      <c r="D2" s="17">
        <f>IF($T$29=0,0,1-$Q$29/$T$29)</f>
        <v>0.88636363636363635</v>
      </c>
      <c r="E2" s="17">
        <f>IF(T29=0,0,R29/T29)</f>
        <v>0.15909090909090909</v>
      </c>
      <c r="F2" s="17"/>
    </row>
    <row r="5" spans="1:15">
      <c r="B5" s="12" t="str">
        <f>Values!$B$2</f>
        <v>Not verified</v>
      </c>
      <c r="C5" s="12" t="str">
        <f>Values!$B$3</f>
        <v>Open</v>
      </c>
      <c r="D5" s="12" t="str">
        <f>Values!$B$4</f>
        <v>Fulfilled</v>
      </c>
      <c r="E5" s="12" t="str">
        <f>Values!$B$5</f>
        <v>Not required</v>
      </c>
      <c r="F5" s="12" t="str">
        <f>Values!$B$6</f>
        <v>N/A</v>
      </c>
      <c r="J5" s="12" t="str">
        <f>Values!$B$2</f>
        <v>Not verified</v>
      </c>
      <c r="K5" s="12" t="str">
        <f>Values!$B$3</f>
        <v>Open</v>
      </c>
      <c r="L5" s="12" t="str">
        <f>Values!$B$4</f>
        <v>Fulfilled</v>
      </c>
      <c r="M5" s="12" t="str">
        <f>Values!$B$5</f>
        <v>Not required</v>
      </c>
      <c r="N5" s="12" t="str">
        <f>Values!$B$6</f>
        <v>N/A</v>
      </c>
      <c r="O5" s="12" t="s">
        <v>14</v>
      </c>
    </row>
    <row r="6" spans="1:15">
      <c r="A6" s="12" t="str">
        <f>Values!A2</f>
        <v>High</v>
      </c>
      <c r="B6" cm="1">
        <f t="array" ref="B6">SUMPRODUCT(--(Checklist!$H$10:$L$487=$A6)*--(Checklist!$I$10:$I$487=B$5))</f>
        <v>9</v>
      </c>
      <c r="C6" cm="1">
        <f t="array" ref="C6">SUMPRODUCT(--(Checklist!$H$10:$L$487=$A6)*--(Checklist!$I$10:$I$487=C$5))</f>
        <v>12</v>
      </c>
      <c r="D6" cm="1">
        <f t="array" ref="D6">SUMPRODUCT(--(Checklist!$H$10:$L$487=$A6)*--(Checklist!$I$10:$I$487=D$5))</f>
        <v>48</v>
      </c>
      <c r="E6" cm="1">
        <f t="array" ref="E6">SUMPRODUCT(--(Checklist!$H$10:$L$487=$A6)*--(Checklist!$I$10:$I$487=E$5))</f>
        <v>14</v>
      </c>
      <c r="F6" cm="1">
        <f t="array" ref="F6">SUMPRODUCT(--(Checklist!$H$10:$L$487=$A6)*--(Checklist!$I$10:$I$487=F$5))</f>
        <v>0</v>
      </c>
      <c r="G6">
        <f>SUM(B6:F6)</f>
        <v>83</v>
      </c>
      <c r="I6" s="12" t="str">
        <f>IF(Values!$C2="","",Values!$C2)</f>
        <v>Identity and Access Management</v>
      </c>
      <c r="J6" cm="1">
        <f t="array" ref="J6">IF($I6="","",SUMPRODUCT(--(Checklist!$B$10:$B$487=$I6)*--(Checklist!$I$10:$I$487=J$5)))</f>
        <v>0</v>
      </c>
      <c r="K6" cm="1">
        <f t="array" ref="K6">IF($I6="","",SUMPRODUCT(--(Checklist!$B$10:$B$487=$I6)*--(Checklist!$I$10:$I$487=K$5)))</f>
        <v>0</v>
      </c>
      <c r="L6" cm="1">
        <f t="array" ref="L6">IF($I6="","",SUMPRODUCT(--(Checklist!$B$10:$B$487=$I6)*--(Checklist!$I$10:$I$487=L$5)))</f>
        <v>6</v>
      </c>
      <c r="M6" cm="1">
        <f t="array" ref="M6">IF($I6="","",SUMPRODUCT(--(Checklist!$B$10:$B$487=$I6)*--(Checklist!$I$10:$I$487=M$5)))</f>
        <v>2</v>
      </c>
      <c r="N6" cm="1">
        <f t="array" ref="N6">IF($I6="","",SUMPRODUCT(--(Checklist!$B$10:$B$487=$I6)*--(Checklist!$I$10:$I$487=N$5)))</f>
        <v>0</v>
      </c>
      <c r="O6">
        <f>IF($I6="","",SUM(J6:N6))</f>
        <v>8</v>
      </c>
    </row>
    <row r="7" spans="1:15">
      <c r="A7" s="12" t="str">
        <f>Values!A3</f>
        <v>Medium</v>
      </c>
      <c r="B7" cm="1">
        <f t="array" ref="B7">SUMPRODUCT(--(Checklist!$H$10:$L$487=$A7)*--(Checklist!$I$10:$I$487=B$5))</f>
        <v>11</v>
      </c>
      <c r="C7" cm="1">
        <f t="array" ref="C7">SUMPRODUCT(--(Checklist!$H$10:$L$487=$A7)*--(Checklist!$I$10:$I$487=C$5))</f>
        <v>13</v>
      </c>
      <c r="D7" cm="1">
        <f t="array" ref="D7">SUMPRODUCT(--(Checklist!$H$10:$L$487=$A7)*--(Checklist!$I$10:$I$487=D$5))</f>
        <v>37</v>
      </c>
      <c r="E7" cm="1">
        <f t="array" ref="E7">SUMPRODUCT(--(Checklist!$H$10:$L$487=$A7)*--(Checklist!$I$10:$I$487=E$5))</f>
        <v>22</v>
      </c>
      <c r="F7" cm="1">
        <f t="array" ref="F7">SUMPRODUCT(--(Checklist!$H$10:$L$487=$A7)*--(Checklist!$I$10:$I$487=F$5))</f>
        <v>0</v>
      </c>
      <c r="G7">
        <f>SUM(B7:F7)</f>
        <v>83</v>
      </c>
      <c r="I7" s="12" t="str">
        <f>IF(Values!$C3="","",Values!$C3)</f>
        <v>Network Topology and Connectivity</v>
      </c>
      <c r="J7" cm="1">
        <f t="array" ref="J7">IF($I7="","",SUMPRODUCT(--(Checklist!$B$10:$B$487=$I7)*--(Checklist!$I$10:$I$487=J$5)))</f>
        <v>0</v>
      </c>
      <c r="K7" cm="1">
        <f t="array" ref="K7">IF($I7="","",SUMPRODUCT(--(Checklist!$B$10:$B$487=$I7)*--(Checklist!$I$10:$I$487=K$5)))</f>
        <v>1</v>
      </c>
      <c r="L7" cm="1">
        <f t="array" ref="L7">IF($I7="","",SUMPRODUCT(--(Checklist!$B$10:$B$487=$I7)*--(Checklist!$I$10:$I$487=L$5)))</f>
        <v>5</v>
      </c>
      <c r="M7" cm="1">
        <f t="array" ref="M7">IF($I7="","",SUMPRODUCT(--(Checklist!$B$10:$B$487=$I7)*--(Checklist!$I$10:$I$487=M$5)))</f>
        <v>1</v>
      </c>
      <c r="N7" cm="1">
        <f t="array" ref="N7">IF($I7="","",SUMPRODUCT(--(Checklist!$B$10:$B$487=$I7)*--(Checklist!$I$10:$I$487=N$5)))</f>
        <v>0</v>
      </c>
      <c r="O7">
        <f t="shared" ref="O7:O13" si="0">IF($I7="","",SUM(J7:N7))</f>
        <v>7</v>
      </c>
    </row>
    <row r="8" spans="1:15">
      <c r="A8" s="12" t="str">
        <f>Values!A4</f>
        <v>Low</v>
      </c>
      <c r="B8" cm="1">
        <f t="array" ref="B8">SUMPRODUCT(--(Checklist!$H$10:$L$487=$A8)*--(Checklist!$I$10:$I$487=B$5))</f>
        <v>0</v>
      </c>
      <c r="C8" cm="1">
        <f t="array" ref="C8">SUMPRODUCT(--(Checklist!$H$10:$L$487=$A8)*--(Checklist!$I$10:$I$487=C$5))</f>
        <v>3</v>
      </c>
      <c r="D8" cm="1">
        <f t="array" ref="D8">SUMPRODUCT(--(Checklist!$H$10:$L$487=$A8)*--(Checklist!$I$10:$I$487=D$5))</f>
        <v>6</v>
      </c>
      <c r="E8" cm="1">
        <f t="array" ref="E8">SUMPRODUCT(--(Checklist!$H$10:$L$487=$A8)*--(Checklist!$I$10:$I$487=E$5))</f>
        <v>2</v>
      </c>
      <c r="F8" cm="1">
        <f t="array" ref="F8">SUMPRODUCT(--(Checklist!$H$10:$L$487=$A8)*--(Checklist!$I$10:$I$487=F$5))</f>
        <v>0</v>
      </c>
      <c r="G8">
        <f>SUM(B8:F8)</f>
        <v>11</v>
      </c>
      <c r="I8" s="12" t="str">
        <f>IF(Values!$C4="","",Values!$C4)</f>
        <v>BC and DR</v>
      </c>
      <c r="J8" cm="1">
        <f t="array" ref="J8">IF($I8="","",SUMPRODUCT(--(Checklist!$B$10:$B$487=$I8)*--(Checklist!$I$10:$I$487=J$5)))</f>
        <v>0</v>
      </c>
      <c r="K8" cm="1">
        <f t="array" ref="K8">IF($I8="","",SUMPRODUCT(--(Checklist!$B$10:$B$487=$I8)*--(Checklist!$I$10:$I$487=K$5)))</f>
        <v>0</v>
      </c>
      <c r="L8" cm="1">
        <f t="array" ref="L8">IF($I8="","",SUMPRODUCT(--(Checklist!$B$10:$B$487=$I8)*--(Checklist!$I$10:$I$487=L$5)))</f>
        <v>2</v>
      </c>
      <c r="M8" cm="1">
        <f t="array" ref="M8">IF($I8="","",SUMPRODUCT(--(Checklist!$B$10:$B$487=$I8)*--(Checklist!$I$10:$I$487=M$5)))</f>
        <v>7</v>
      </c>
      <c r="N8" cm="1">
        <f t="array" ref="N8">IF($I8="","",SUMPRODUCT(--(Checklist!$B$10:$B$487=$I8)*--(Checklist!$I$10:$I$487=N$5)))</f>
        <v>0</v>
      </c>
      <c r="O8">
        <f t="shared" si="0"/>
        <v>9</v>
      </c>
    </row>
    <row r="9" spans="1:15">
      <c r="B9">
        <f t="shared" ref="B9:G9" si="1">SUM(B6:B8)</f>
        <v>20</v>
      </c>
      <c r="C9">
        <f t="shared" si="1"/>
        <v>28</v>
      </c>
      <c r="D9">
        <f t="shared" si="1"/>
        <v>91</v>
      </c>
      <c r="E9">
        <f t="shared" si="1"/>
        <v>38</v>
      </c>
      <c r="F9">
        <f t="shared" si="1"/>
        <v>0</v>
      </c>
      <c r="G9" s="12">
        <f t="shared" si="1"/>
        <v>177</v>
      </c>
      <c r="I9" s="12" t="str">
        <f>IF(Values!$C5="","",Values!$C5)</f>
        <v>Governance and Security</v>
      </c>
      <c r="J9" cm="1">
        <f t="array" ref="J9">IF($I9="","",SUMPRODUCT(--(Checklist!$B$10:$B$487=$I9)*--(Checklist!$I$10:$I$487=J$5)))</f>
        <v>9</v>
      </c>
      <c r="K9" cm="1">
        <f t="array" ref="K9">IF($I9="","",SUMPRODUCT(--(Checklist!$B$10:$B$487=$I9)*--(Checklist!$I$10:$I$487=K$5)))</f>
        <v>17</v>
      </c>
      <c r="L9" cm="1">
        <f t="array" ref="L9">IF($I9="","",SUMPRODUCT(--(Checklist!$B$10:$B$487=$I9)*--(Checklist!$I$10:$I$487=L$5)))</f>
        <v>36</v>
      </c>
      <c r="M9" cm="1">
        <f t="array" ref="M9">IF($I9="","",SUMPRODUCT(--(Checklist!$B$10:$B$487=$I9)*--(Checklist!$I$10:$I$487=M$5)))</f>
        <v>6</v>
      </c>
      <c r="N9" cm="1">
        <f t="array" ref="N9">IF($I9="","",SUMPRODUCT(--(Checklist!$B$10:$B$487=$I9)*--(Checklist!$I$10:$I$487=N$5)))</f>
        <v>0</v>
      </c>
      <c r="O9">
        <f t="shared" si="0"/>
        <v>68</v>
      </c>
    </row>
    <row r="10" spans="1:15">
      <c r="I10" s="12" t="str">
        <f>IF(Values!$C6="","",Values!$C6)</f>
        <v>Cost Governance</v>
      </c>
      <c r="J10" cm="1">
        <f t="array" ref="J10">IF($I10="","",SUMPRODUCT(--(Checklist!$B$10:$B$487=$I10)*--(Checklist!$I$10:$I$487=J$5)))</f>
        <v>5</v>
      </c>
      <c r="K10" s="41" cm="1">
        <f t="array" ref="K10">IF($I10="","",SUMPRODUCT(--(Checklist!$B$10:$B$487=$I10)*--(Checklist!$I$10:$I$487=K$5)))</f>
        <v>2</v>
      </c>
      <c r="L10" cm="1">
        <f t="array" ref="L10">IF($I10="","",SUMPRODUCT(--(Checklist!$B$10:$B$487=$I10)*--(Checklist!$I$10:$I$487=L$5)))</f>
        <v>10</v>
      </c>
      <c r="M10" cm="1">
        <f t="array" ref="M10">IF($I10="","",SUMPRODUCT(--(Checklist!$B$10:$B$487=$I10)*--(Checklist!$I$10:$I$487=M$5)))</f>
        <v>3</v>
      </c>
      <c r="N10" cm="1">
        <f t="array" ref="N10">IF($I10="","",SUMPRODUCT(--(Checklist!$B$10:$B$487=$I10)*--(Checklist!$I$10:$I$487=N$5)))</f>
        <v>0</v>
      </c>
      <c r="O10">
        <f t="shared" si="0"/>
        <v>20</v>
      </c>
    </row>
    <row r="11" spans="1:15">
      <c r="I11" s="12" t="str">
        <f>IF(Values!$C7="","",Values!$C7)</f>
        <v>Operations</v>
      </c>
      <c r="J11" cm="1">
        <f t="array" ref="J11">IF($I11="","",SUMPRODUCT(--(Checklist!$B$10:$B$487=$I11)*--(Checklist!$I$10:$I$487=J$5)))</f>
        <v>6</v>
      </c>
      <c r="K11" s="41" cm="1">
        <f t="array" ref="K11">IF($I11="","",SUMPRODUCT(--(Checklist!$B$10:$B$487=$I11)*--(Checklist!$I$10:$I$487=K$5)))</f>
        <v>8</v>
      </c>
      <c r="L11" cm="1">
        <f t="array" ref="L11">IF($I11="","",SUMPRODUCT(--(Checklist!$B$10:$B$487=$I11)*--(Checklist!$I$10:$I$487=L$5)))</f>
        <v>27</v>
      </c>
      <c r="M11" cm="1">
        <f t="array" ref="M11">IF($I11="","",SUMPRODUCT(--(Checklist!$B$10:$B$487=$I11)*--(Checklist!$I$10:$I$487=M$5)))</f>
        <v>19</v>
      </c>
      <c r="N11" cm="1">
        <f t="array" ref="N11">IF($I11="","",SUMPRODUCT(--(Checklist!$B$10:$B$487=$I11)*--(Checklist!$I$10:$I$487=N$5)))</f>
        <v>0</v>
      </c>
      <c r="O11">
        <f t="shared" si="0"/>
        <v>60</v>
      </c>
    </row>
    <row r="12" spans="1:15">
      <c r="I12" s="12" t="str">
        <f>IF(Values!$C8="","",Values!$C8)</f>
        <v>Application Deployment</v>
      </c>
      <c r="J12" cm="1">
        <f t="array" ref="J12">IF($I12="","",SUMPRODUCT(--(Checklist!$B$10:$B$487=$I12)*--(Checklist!$I$10:$I$487=J$5)))</f>
        <v>0</v>
      </c>
      <c r="K12" s="41" cm="1">
        <f t="array" ref="K12">IF($I12="","",SUMPRODUCT(--(Checklist!$B$10:$B$487=$I12)*--(Checklist!$I$10:$I$487=K$5)))</f>
        <v>0</v>
      </c>
      <c r="L12" cm="1">
        <f t="array" ref="L12">IF($I12="","",SUMPRODUCT(--(Checklist!$B$10:$B$487=$I12)*--(Checklist!$I$10:$I$487=L$5)))</f>
        <v>4</v>
      </c>
      <c r="M12" cm="1">
        <f t="array" ref="M12">IF($I12="","",SUMPRODUCT(--(Checklist!$B$10:$B$487=$I12)*--(Checklist!$I$10:$I$487=M$5)))</f>
        <v>0</v>
      </c>
      <c r="N12" cm="1">
        <f t="array" ref="N12">IF($I12="","",SUMPRODUCT(--(Checklist!$B$10:$B$487=$I12)*--(Checklist!$I$10:$I$487=N$5)))</f>
        <v>0</v>
      </c>
      <c r="O12">
        <f t="shared" si="0"/>
        <v>4</v>
      </c>
    </row>
    <row r="13" spans="1:15">
      <c r="I13" s="12" t="str">
        <f>IF(Values!$C9="","",Values!$C9)</f>
        <v/>
      </c>
      <c r="J13" t="str" cm="1">
        <f t="array" ref="J13">IF($I13="","",SUMPRODUCT(--(Checklist!$B$10:$B$487=$I13)*--(Checklist!$I$10:$I$487=J$5)))</f>
        <v/>
      </c>
      <c r="K13" s="41" t="str" cm="1">
        <f t="array" ref="K13">IF($I13="","",SUMPRODUCT(--(Checklist!$B$10:$B$487=$I13)*--(Checklist!$I$10:$I$487=K$5)))</f>
        <v/>
      </c>
      <c r="L13" t="str" cm="1">
        <f t="array" ref="L13">IF($I13="","",SUMPRODUCT(--(Checklist!$B$10:$B$487=$I13)*--(Checklist!$I$10:$I$487=L$5)))</f>
        <v/>
      </c>
      <c r="M13" t="str" cm="1">
        <f t="array" ref="M13">IF($I13="","",SUMPRODUCT(--(Checklist!$B$10:$B$487=$I13)*--(Checklist!$I$10:$I$487=M$5)))</f>
        <v/>
      </c>
      <c r="N13" t="str" cm="1">
        <f t="array" ref="N13">IF($I13="","",SUMPRODUCT(--(Checklist!$B$10:$B$487=$I13)*--(Checklist!$I$10:$I$487=N$5)))</f>
        <v/>
      </c>
      <c r="O13" t="str">
        <f t="shared" si="0"/>
        <v/>
      </c>
    </row>
    <row r="14" spans="1:15">
      <c r="J14">
        <f t="shared" ref="J14:O14" si="2">SUM(J6:J13)</f>
        <v>20</v>
      </c>
      <c r="K14" s="41">
        <f t="shared" si="2"/>
        <v>28</v>
      </c>
      <c r="L14">
        <f t="shared" si="2"/>
        <v>90</v>
      </c>
      <c r="M14">
        <f t="shared" si="2"/>
        <v>38</v>
      </c>
      <c r="N14">
        <f t="shared" si="2"/>
        <v>0</v>
      </c>
      <c r="O14" s="12">
        <f t="shared" si="2"/>
        <v>176</v>
      </c>
    </row>
    <row r="15" spans="1:15">
      <c r="K15" s="41"/>
    </row>
    <row r="16" spans="1:15">
      <c r="K16" s="41"/>
    </row>
    <row r="17" spans="11:21">
      <c r="K17" s="41"/>
    </row>
    <row r="18" spans="11:21">
      <c r="K18" s="41"/>
    </row>
    <row r="19" spans="11:21">
      <c r="K19" s="41"/>
    </row>
    <row r="20" spans="11:21">
      <c r="K20" s="41"/>
      <c r="P20" s="12" t="s">
        <v>13</v>
      </c>
      <c r="Q20" s="12" t="str">
        <f>Values!$B$2</f>
        <v>Not verified</v>
      </c>
      <c r="R20" s="12" t="str">
        <f>Values!$B$3</f>
        <v>Open</v>
      </c>
      <c r="S20" s="12" t="s">
        <v>16</v>
      </c>
      <c r="T20" s="12" t="s">
        <v>14</v>
      </c>
      <c r="U20" s="12" t="s">
        <v>15</v>
      </c>
    </row>
    <row r="21" spans="11:21">
      <c r="K21" s="41"/>
      <c r="P21" s="12" t="str">
        <f>IF(Values!$C2="","",Values!$C2)</f>
        <v>Identity and Access Management</v>
      </c>
      <c r="Q21" cm="1">
        <f t="array" ref="Q21">IF($P21="","",SUMPRODUCT(--(Checklist!$B$10:$B$487=$P21)*--(Checklist!$I$10:$I$487=Q$20)))</f>
        <v>0</v>
      </c>
      <c r="R21" cm="1">
        <f t="array" ref="R21">IF($P21="","",SUMPRODUCT(--(Checklist!$B$10:$B$487=$P21)*--(Checklist!$I$10:$I$487=R$20)))</f>
        <v>0</v>
      </c>
      <c r="S21" cm="1">
        <f t="array" ref="S21">IF($P21="","",SUMPRODUCT(--(Checklist!$B$10:$B$487=$P21)*(--(Checklist!$I$10:$I$487=Values!$B$4)+--(Checklist!$I$10:$I$487=Values!$B$5)+--(Checklist!$I$10:$I$487=Values!$B$6))))</f>
        <v>8</v>
      </c>
      <c r="T21">
        <f>IF($P21="","",SUM(Q21:S21))</f>
        <v>8</v>
      </c>
      <c r="U21" s="14">
        <f>IF($P21="","",IF(T21=0,0,S21/T21))</f>
        <v>1</v>
      </c>
    </row>
    <row r="22" spans="11:21">
      <c r="K22" s="41"/>
      <c r="P22" s="12" t="str">
        <f>IF(Values!$C3="","",Values!$C3)</f>
        <v>Network Topology and Connectivity</v>
      </c>
      <c r="Q22" cm="1">
        <f t="array" ref="Q22">IF($P22="","",SUMPRODUCT(--(Checklist!$B$10:$B$487=$P22)*--(Checklist!$I$10:$I$487=Q$20)))</f>
        <v>0</v>
      </c>
      <c r="R22" cm="1">
        <f t="array" ref="R22">IF($P22="","",SUMPRODUCT(--(Checklist!$B$10:$B$487=$P22)*--(Checklist!$I$10:$I$487=R$20)))</f>
        <v>1</v>
      </c>
      <c r="S22" cm="1">
        <f t="array" ref="S22">IF($P22="","",SUMPRODUCT(--(Checklist!$B$10:$B$487=$P22)*(--(Checklist!$I$10:$I$487=Values!$B$4)+--(Checklist!$I$10:$I$487=Values!$B$5)+--(Checklist!$I$10:$I$487=Values!$B$6))))</f>
        <v>6</v>
      </c>
      <c r="T22">
        <f t="shared" ref="T22:T27" si="3">IF($P22="","",SUM(Q22:S22))</f>
        <v>7</v>
      </c>
      <c r="U22" s="14">
        <f t="shared" ref="U22:U28" si="4">IF($P22="","",IF(T22=0,0,S22/T22))</f>
        <v>0.8571428571428571</v>
      </c>
    </row>
    <row r="23" spans="11:21">
      <c r="K23" s="41"/>
      <c r="P23" s="12" t="str">
        <f>IF(Values!$C4="","",Values!$C4)</f>
        <v>BC and DR</v>
      </c>
      <c r="Q23" cm="1">
        <f t="array" ref="Q23">IF($P23="","",SUMPRODUCT(--(Checklist!$B$10:$B$487=$P23)*--(Checklist!$I$10:$I$487=Q$20)))</f>
        <v>0</v>
      </c>
      <c r="R23" cm="1">
        <f t="array" ref="R23">IF($P23="","",SUMPRODUCT(--(Checklist!$B$10:$B$487=$P23)*--(Checklist!$I$10:$I$487=R$20)))</f>
        <v>0</v>
      </c>
      <c r="S23" cm="1">
        <f t="array" ref="S23">IF($P23="","",SUMPRODUCT(--(Checklist!$B$10:$B$487=$P23)*(--(Checklist!$I$10:$I$487=Values!$B$4)+--(Checklist!$I$10:$I$487=Values!$B$5)+--(Checklist!$I$10:$I$487=Values!$B$6))))</f>
        <v>9</v>
      </c>
      <c r="T23">
        <f t="shared" si="3"/>
        <v>9</v>
      </c>
      <c r="U23" s="14">
        <f t="shared" si="4"/>
        <v>1</v>
      </c>
    </row>
    <row r="24" spans="11:21">
      <c r="K24" s="41"/>
      <c r="P24" s="12" t="str">
        <f>IF(Values!$C5="","",Values!$C5)</f>
        <v>Governance and Security</v>
      </c>
      <c r="Q24" cm="1">
        <f t="array" ref="Q24">IF($P24="","",SUMPRODUCT(--(Checklist!$B$10:$B$487=$P24)*--(Checklist!$I$10:$I$487=Q$20)))</f>
        <v>9</v>
      </c>
      <c r="R24" cm="1">
        <f t="array" ref="R24">IF($P24="","",SUMPRODUCT(--(Checklist!$B$10:$B$487=$P24)*--(Checklist!$I$10:$I$487=R$20)))</f>
        <v>17</v>
      </c>
      <c r="S24" cm="1">
        <f t="array" ref="S24">IF($P24="","",SUMPRODUCT(--(Checklist!$B$10:$B$487=$P24)*(--(Checklist!$I$10:$I$487=Values!$B$4)+--(Checklist!$I$10:$I$487=Values!$B$5)+--(Checklist!$I$10:$I$487=Values!$B$6))))</f>
        <v>42</v>
      </c>
      <c r="T24">
        <f t="shared" si="3"/>
        <v>68</v>
      </c>
      <c r="U24" s="14">
        <f t="shared" si="4"/>
        <v>0.61764705882352944</v>
      </c>
    </row>
    <row r="25" spans="11:21">
      <c r="K25" s="41"/>
      <c r="P25" s="12" t="str">
        <f>IF(Values!$C6="","",Values!$C6)</f>
        <v>Cost Governance</v>
      </c>
      <c r="Q25" cm="1">
        <f t="array" ref="Q25">IF($P25="","",SUMPRODUCT(--(Checklist!$B$10:$B$487=$P25)*--(Checklist!$I$10:$I$487=Q$20)))</f>
        <v>5</v>
      </c>
      <c r="R25" cm="1">
        <f t="array" ref="R25">IF($P25="","",SUMPRODUCT(--(Checklist!$B$10:$B$487=$P25)*--(Checklist!$I$10:$I$487=R$20)))</f>
        <v>2</v>
      </c>
      <c r="S25" cm="1">
        <f t="array" ref="S25">IF($P25="","",SUMPRODUCT(--(Checklist!$B$10:$B$487=$P25)*(--(Checklist!$I$10:$I$487=Values!$B$4)+--(Checklist!$I$10:$I$487=Values!$B$5)+--(Checklist!$I$10:$I$487=Values!$B$6))))</f>
        <v>13</v>
      </c>
      <c r="T25">
        <f t="shared" si="3"/>
        <v>20</v>
      </c>
      <c r="U25" s="14">
        <f t="shared" si="4"/>
        <v>0.65</v>
      </c>
    </row>
    <row r="26" spans="11:21">
      <c r="K26" s="41"/>
      <c r="P26" s="12" t="str">
        <f>IF(Values!$C7="","",Values!$C7)</f>
        <v>Operations</v>
      </c>
      <c r="Q26" cm="1">
        <f t="array" ref="Q26">IF($P26="","",SUMPRODUCT(--(Checklist!$B$10:$B$487=$P26)*--(Checklist!$I$10:$I$487=Q$20)))</f>
        <v>6</v>
      </c>
      <c r="R26" cm="1">
        <f t="array" ref="R26">IF($P26="","",SUMPRODUCT(--(Checklist!$B$10:$B$487=$P26)*--(Checklist!$I$10:$I$487=R$20)))</f>
        <v>8</v>
      </c>
      <c r="S26" cm="1">
        <f t="array" ref="S26">IF($P26="","",SUMPRODUCT(--(Checklist!$B$10:$B$487=$P26)*(--(Checklist!$I$10:$I$487=Values!$B$4)+--(Checklist!$I$10:$I$487=Values!$B$5)+--(Checklist!$I$10:$I$487=Values!$B$6))))</f>
        <v>46</v>
      </c>
      <c r="T26">
        <f t="shared" si="3"/>
        <v>60</v>
      </c>
      <c r="U26" s="14">
        <f t="shared" si="4"/>
        <v>0.76666666666666672</v>
      </c>
    </row>
    <row r="27" spans="11:21">
      <c r="K27" s="41"/>
      <c r="P27" s="12" t="str">
        <f>IF(Values!$C8="","",Values!$C8)</f>
        <v>Application Deployment</v>
      </c>
      <c r="Q27" cm="1">
        <f t="array" ref="Q27">IF($P27="","",SUMPRODUCT(--(Checklist!$B$10:$B$487=$P27)*--(Checklist!$I$10:$I$487=Q$20)))</f>
        <v>0</v>
      </c>
      <c r="R27" cm="1">
        <f t="array" ref="R27">IF($P27="","",SUMPRODUCT(--(Checklist!$B$10:$B$487=$P27)*--(Checklist!$I$10:$I$487=R$20)))</f>
        <v>0</v>
      </c>
      <c r="S27" cm="1">
        <f t="array" ref="S27">IF($P27="","",SUMPRODUCT(--(Checklist!$B$10:$B$487=$P27)*(--(Checklist!$I$10:$I$487=Values!$B$4)+--(Checklist!$I$10:$I$487=Values!$B$5)+--(Checklist!$I$10:$I$487=Values!$B$6))))</f>
        <v>4</v>
      </c>
      <c r="T27">
        <f t="shared" si="3"/>
        <v>4</v>
      </c>
      <c r="U27" s="14">
        <f t="shared" si="4"/>
        <v>1</v>
      </c>
    </row>
    <row r="28" spans="11:21">
      <c r="K28" s="41"/>
      <c r="P28" s="12" t="str">
        <f>IF(Values!$C9="","",Values!$C9)</f>
        <v/>
      </c>
      <c r="Q28" t="str" cm="1">
        <f t="array" ref="Q28">IF($P28="","",SUMPRODUCT(--(Checklist!$B$10:$B$487=$P28)*--(Checklist!$I$10:$I$487=Q$20)))</f>
        <v/>
      </c>
      <c r="R28" t="str" cm="1">
        <f t="array" ref="R28">IF($P28="","",SUMPRODUCT(--(Checklist!$B$10:$B$487=$P28)*--(Checklist!$I$10:$I$487=R$20)))</f>
        <v/>
      </c>
      <c r="S28" t="str" cm="1">
        <f t="array" ref="S28">IF($P28="","",SUMPRODUCT(--(Checklist!$B$10:$B$487=$P28)*(--(Checklist!$I$10:$I$487=Values!$B$4)+--(Checklist!$I$10:$I$487=Values!$B$5)+--(Checklist!$I$10:$I$487=Values!$B$6))))</f>
        <v/>
      </c>
      <c r="T28" t="str">
        <f>IF($P28="","",SUM(Q28:S28))</f>
        <v/>
      </c>
      <c r="U28" s="14" t="str">
        <f t="shared" si="4"/>
        <v/>
      </c>
    </row>
    <row r="29" spans="11:21">
      <c r="K29" s="41"/>
      <c r="Q29">
        <f>SUM(Q21:Q28)</f>
        <v>20</v>
      </c>
      <c r="R29">
        <f>SUM(R21:R28)</f>
        <v>28</v>
      </c>
      <c r="S29">
        <f>SUM(S21:S28)</f>
        <v>128</v>
      </c>
      <c r="T29" s="12">
        <f>SUM(T21:T28)</f>
        <v>176</v>
      </c>
      <c r="U29" s="15">
        <f>IF(T29=0,0,S29/T29)</f>
        <v>0.72727272727272729</v>
      </c>
    </row>
    <row r="30" spans="11:21">
      <c r="K30" s="41"/>
    </row>
    <row r="31" spans="11:21">
      <c r="K31" s="41"/>
    </row>
    <row r="32" spans="11:21">
      <c r="K32" s="41"/>
    </row>
    <row r="33" spans="11:12">
      <c r="K33" s="41"/>
    </row>
    <row r="34" spans="11:12">
      <c r="K34" s="41"/>
    </row>
    <row r="35" spans="11:12">
      <c r="K35" s="41"/>
    </row>
    <row r="36" spans="11:12">
      <c r="K36" s="41"/>
    </row>
    <row r="37" spans="11:12">
      <c r="K37" s="41"/>
      <c r="L37" s="41"/>
    </row>
    <row r="38" spans="11:12">
      <c r="K38" s="41"/>
    </row>
    <row r="39" spans="11:12">
      <c r="K39" s="41"/>
      <c r="L39" s="41"/>
    </row>
    <row r="40" spans="11:12">
      <c r="K40" s="41"/>
    </row>
    <row r="41" spans="11:12">
      <c r="K41" s="41"/>
      <c r="L41" s="41"/>
    </row>
    <row r="42" spans="11:12">
      <c r="K42" s="41"/>
      <c r="L42" s="41"/>
    </row>
    <row r="43" spans="11:12">
      <c r="K43" s="41"/>
      <c r="L43" s="41"/>
    </row>
    <row r="44" spans="11:12">
      <c r="K44" s="41"/>
      <c r="L44" s="41"/>
    </row>
    <row r="45" spans="11:12">
      <c r="K45" s="41"/>
      <c r="L45" s="41"/>
    </row>
    <row r="46" spans="11:12">
      <c r="K46" s="41"/>
      <c r="L46" s="41"/>
    </row>
    <row r="47" spans="11:12">
      <c r="K47" s="41"/>
      <c r="L47" s="41"/>
    </row>
    <row r="48" spans="11:12">
      <c r="K48" s="41"/>
      <c r="L48" s="41"/>
    </row>
    <row r="49" spans="1:15">
      <c r="A49" s="12" t="s">
        <v>163</v>
      </c>
      <c r="K49" s="41"/>
      <c r="L49" s="41"/>
    </row>
    <row r="50" spans="1:15">
      <c r="B50" t="s">
        <v>63</v>
      </c>
      <c r="C50" t="s">
        <v>64</v>
      </c>
      <c r="D50" s="33" t="s">
        <v>65</v>
      </c>
      <c r="E50" t="s">
        <v>164</v>
      </c>
      <c r="H50" s="12" t="s">
        <v>114</v>
      </c>
      <c r="I50" t="str">
        <f>Values!$L$2</f>
        <v>Reliability</v>
      </c>
      <c r="J50" t="str">
        <f>Values!$L$3</f>
        <v>Security</v>
      </c>
      <c r="K50" t="str">
        <f>Values!$L$4</f>
        <v>Cost</v>
      </c>
      <c r="L50" t="str">
        <f>Values!$L$5</f>
        <v>Operations</v>
      </c>
      <c r="M50" t="str">
        <f>Values!$L$6</f>
        <v>Performance</v>
      </c>
      <c r="N50" t="s">
        <v>14</v>
      </c>
    </row>
    <row r="51" spans="1:15">
      <c r="A51" t="s">
        <v>56</v>
      </c>
      <c r="B51" s="33" cm="1">
        <f t="array" ref="B51">SUMPRODUCT(--(Checklist!$I$10:$I$299=Values!$B$4),Checklist!$P$10:$P$299,--(Checklist!$P$10:$P$299&lt;0))+SUMPRODUCT(--(Checklist!$I$10:$I$299=Values!$B$6),Checklist!$P$10:$P$299,--(Checklist!$P$10:$P$299&lt;0))+SUMPRODUCT(--(Checklist!$I$10:$I$299=Values!$B$3),Checklist!$P$10:$P$299,--(Checklist!$P$10:$P$299&lt;0))</f>
        <v>0</v>
      </c>
      <c r="C51" s="33" cm="1">
        <f t="array" ref="C51">SUMPRODUCT(--(Checklist!$I$10:$I$299=Values!$B$4),Checklist!$P$10:$P$299,--(Checklist!$P$10:$P$299&gt;0))+SUMPRODUCT(--(Checklist!$I$10:$I$299=Values!$B$6),Checklist!$P$10:$P$299,--(Checklist!$P$10:$P$299&gt;0))+SUMPRODUCT(--(Checklist!$I$10:$I$299=Values!$B$3),Checklist!$P$10:$P$299,--(Checklist!$P$10:$P$299&gt;0))</f>
        <v>0</v>
      </c>
      <c r="D51" s="33" cm="1">
        <f t="array" ref="D51">SUMPRODUCT(--(Checklist!$I$10:$I$299=Values!$B$4),Checklist!$P$10:$P$299)+SUMPRODUCT(--(Checklist!$I$10:$I$299=Values!$B$3),Checklist!$P$10:$P$299)</f>
        <v>0</v>
      </c>
      <c r="E51" s="14">
        <f>IF((C51-B51)=0,1,(D51-B51)/(C51-B51))</f>
        <v>1</v>
      </c>
      <c r="F51" s="14"/>
      <c r="H51" t="str" cm="1">
        <f t="array" ref="H51:H73">_xlfn._xlws.SORT(_xlfn.UNIQUE(_xlfn._xlws.FILTER(Checklist!$E$10:$E$2513, Checklist!$E$10:$E$2513&lt;&gt;"")))</f>
        <v>Azure AI Content Safety</v>
      </c>
      <c r="I51" cm="1">
        <f t="array" ref="I51">IF($H51="","",SUMPRODUCT(--(Checklist!$E$10:$E$2513=$H51)*--(Checklist!$D$10:$D$2513=I$50)))</f>
        <v>0</v>
      </c>
      <c r="J51" cm="1">
        <f t="array" ref="J51">IF($H51="","",SUMPRODUCT(--(Checklist!$E$10:$E$2513=$H51)*--(Checklist!$D$10:$D$2513=J$50)))</f>
        <v>3</v>
      </c>
      <c r="K51" cm="1">
        <f t="array" ref="K51">IF($H51="","",SUMPRODUCT(--(Checklist!$E$10:$E$2513=$H51)*--(Checklist!$D$10:$D$2513=K$50)))</f>
        <v>0</v>
      </c>
      <c r="L51" cm="1">
        <f t="array" ref="L51">IF($H51="","",SUMPRODUCT(--(Checklist!$E$10:$E$2513=$H51)*--(Checklist!$D$10:$D$2513=L$50)))</f>
        <v>0</v>
      </c>
      <c r="M51" cm="1">
        <f t="array" ref="M51">IF($H51="","",SUMPRODUCT(--(Checklist!$E$10:$E$2513=$H51)*--(Checklist!$D$10:$D$2513=M$50)))</f>
        <v>0</v>
      </c>
      <c r="N51" s="12">
        <f>IF($H51="","",SUM(I51:M51))</f>
        <v>3</v>
      </c>
      <c r="O51" s="12"/>
    </row>
    <row r="52" spans="1:15">
      <c r="A52" t="s">
        <v>59</v>
      </c>
      <c r="B52" s="33" cm="1">
        <f t="array" ref="B52">SUMPRODUCT(--(Checklist!$I$10:$I$299=Values!$B$4),Checklist!$Q$10:$Q$299,--(Checklist!$Q$10:$Q$299&lt;0))+SUMPRODUCT(--(Checklist!$I$10:$I$299=Values!$B$6),Checklist!$Q$10:$Q$299,--(Checklist!$Q$10:$Q$299&lt;0))+SUMPRODUCT(--(Checklist!$I$10:$I$299=Values!$B$3),Checklist!$Q$10:$Q$299,--(Checklist!$Q$10:$Q$299&lt;0))</f>
        <v>0</v>
      </c>
      <c r="C52" s="33" cm="1">
        <f t="array" ref="C52">SUMPRODUCT(--(Checklist!$I$10:$I$299=Values!$B$4),Checklist!$Q$10:$Q$299,--(Checklist!$Q$10:$Q$299&gt;0))+SUMPRODUCT(--(Checklist!$I$10:$I$299=Values!$B$6),Checklist!$Q$10:$Q$299,--(Checklist!$Q$10:$Q$299&gt;0))+SUMPRODUCT(--(Checklist!$I$10:$I$299=Values!$B$3),Checklist!$Q$10:$Q$299,--(Checklist!$Q$10:$Q$299&gt;0))</f>
        <v>0</v>
      </c>
      <c r="D52" s="33" cm="1">
        <f t="array" ref="D52">SUMPRODUCT(--(Checklist!$I$10:$I$299=Values!$B$4),Checklist!$Q$10:$Q$299)+SUMPRODUCT(--(Checklist!$I$10:$I$299=Values!$B$3),Checklist!$Q$10:$Q$299)</f>
        <v>0</v>
      </c>
      <c r="E52" s="14">
        <f t="shared" ref="E52:E55" si="5">IF((C52-B52)=0,1,(D52-B52)/(C52-B52))</f>
        <v>1</v>
      </c>
      <c r="F52" s="14"/>
      <c r="H52" t="str">
        <v>Azure AI Foundry</v>
      </c>
      <c r="I52" cm="1">
        <f t="array" ref="I52">IF($H52="","",SUMPRODUCT(--(Checklist!$E$10:$E$2513=$H52)*--(Checklist!$D$10:$D$2513=I$50)))</f>
        <v>1</v>
      </c>
      <c r="J52" cm="1">
        <f t="array" ref="J52">IF($H52="","",SUMPRODUCT(--(Checklist!$E$10:$E$2513=$H52)*--(Checklist!$D$10:$D$2513=J$50)))</f>
        <v>4</v>
      </c>
      <c r="K52" cm="1">
        <f t="array" ref="K52">IF($H52="","",SUMPRODUCT(--(Checklist!$E$10:$E$2513=$H52)*--(Checklist!$D$10:$D$2513=K$50)))</f>
        <v>1</v>
      </c>
      <c r="L52" cm="1">
        <f t="array" ref="L52">IF($H52="","",SUMPRODUCT(--(Checklist!$E$10:$E$2513=$H52)*--(Checklist!$D$10:$D$2513=L$50)))</f>
        <v>4</v>
      </c>
      <c r="M52" cm="1">
        <f t="array" ref="M52">IF($H52="","",SUMPRODUCT(--(Checklist!$E$10:$E$2513=$H52)*--(Checklist!$D$10:$D$2513=M$50)))</f>
        <v>3</v>
      </c>
      <c r="N52" s="12">
        <f t="shared" ref="N52:N86" si="6">IF($H52="","",SUM(I52:M52))</f>
        <v>13</v>
      </c>
      <c r="O52" s="12"/>
    </row>
    <row r="53" spans="1:15">
      <c r="A53" t="s">
        <v>61</v>
      </c>
      <c r="B53" s="33" cm="1">
        <f t="array" ref="B53">SUMPRODUCT(--(Checklist!$I$10:$I$299=Values!$B$4),Checklist!$R$10:$R$299,--(Checklist!$R$10:$R$299&lt;0))+SUMPRODUCT(--(Checklist!$I$10:$I$299=Values!$B$6),Checklist!$R$10:$R$299,--(Checklist!$R$10:$R$299&lt;0))+SUMPRODUCT(--(Checklist!$I$10:$I$299=Values!$B$3),Checklist!$R$10:$R$299,--(Checklist!$R$10:$R$299&lt;0))</f>
        <v>0</v>
      </c>
      <c r="C53" s="33" cm="1">
        <f t="array" ref="C53">SUMPRODUCT(--(Checklist!$I$10:$I$299=Values!$B$4),Checklist!$R$10:$R$299,--(Checklist!$R$10:$R$299&gt;0))+SUMPRODUCT(--(Checklist!$I$10:$I$299=Values!$B$6),Checklist!$R$10:$R$299,--(Checklist!$R$10:$R$299&gt;0))+SUMPRODUCT(--(Checklist!$I$10:$I$299=Values!$B$3),Checklist!$R$10:$R$299,--(Checklist!$R$10:$R$299&gt;0))</f>
        <v>0</v>
      </c>
      <c r="D53" s="33" cm="1">
        <f t="array" ref="D53">SUMPRODUCT(--(Checklist!$I$10:$I$299=Values!$B$4),Checklist!$R$10:$R$299)+SUMPRODUCT(--(Checklist!$I$10:$I$299=Values!$B$3),Checklist!$R$10:$R$299)</f>
        <v>0</v>
      </c>
      <c r="E53" s="14">
        <f t="shared" si="5"/>
        <v>1</v>
      </c>
      <c r="F53" s="14"/>
      <c r="H53" t="str">
        <v>Azure AI Search</v>
      </c>
      <c r="I53" cm="1">
        <f t="array" ref="I53">IF($H53="","",SUMPRODUCT(--(Checklist!$E$10:$E$2513=$H53)*--(Checklist!$D$10:$D$2513=I$50)))</f>
        <v>0</v>
      </c>
      <c r="J53" cm="1">
        <f t="array" ref="J53">IF($H53="","",SUMPRODUCT(--(Checklist!$E$10:$E$2513=$H53)*--(Checklist!$D$10:$D$2513=J$50)))</f>
        <v>0</v>
      </c>
      <c r="K53" cm="1">
        <f t="array" ref="K53">IF($H53="","",SUMPRODUCT(--(Checklist!$E$10:$E$2513=$H53)*--(Checklist!$D$10:$D$2513=K$50)))</f>
        <v>0</v>
      </c>
      <c r="L53" cm="1">
        <f t="array" ref="L53">IF($H53="","",SUMPRODUCT(--(Checklist!$E$10:$E$2513=$H53)*--(Checklist!$D$10:$D$2513=L$50)))</f>
        <v>2</v>
      </c>
      <c r="M53" cm="1">
        <f t="array" ref="M53">IF($H53="","",SUMPRODUCT(--(Checklist!$E$10:$E$2513=$H53)*--(Checklist!$D$10:$D$2513=M$50)))</f>
        <v>0</v>
      </c>
      <c r="N53" s="12">
        <f t="shared" si="6"/>
        <v>2</v>
      </c>
      <c r="O53" s="12"/>
    </row>
    <row r="54" spans="1:15">
      <c r="A54" t="s">
        <v>57</v>
      </c>
      <c r="B54" s="33" cm="1">
        <f t="array" ref="B54">SUMPRODUCT(--(Checklist!$I$10:$I$299=Values!$B$4),Checklist!$S$10:$S$299,--(Checklist!$S$10:$S$299&lt;0))+SUMPRODUCT(--(Checklist!$I$10:$I$299=Values!$B$6),Checklist!$S$10:$S$299,--(Checklist!$S$10:$S$299&lt;0))+SUMPRODUCT(--(Checklist!$I$10:$I$299=Values!$B$3),Checklist!$S$10:$S$299,--(Checklist!$S$10:$S$299&lt;0))</f>
        <v>0</v>
      </c>
      <c r="C54" s="33" cm="1">
        <f t="array" ref="C54">SUMPRODUCT(--(Checklist!$I$10:$I$299=Values!$B$4),Checklist!$S$10:$S$299,--(Checklist!$S$10:$S$299&gt;0))+SUMPRODUCT(--(Checklist!$I$10:$I$299=Values!$B$6),Checklist!$S$10:$S$299,--(Checklist!$S$10:$S$299&gt;0))+SUMPRODUCT(--(Checklist!$I$10:$I$299=Values!$B$3),Checklist!$S$10:$S$299,--(Checklist!$S$10:$S$299&gt;0))</f>
        <v>0</v>
      </c>
      <c r="D54" s="33" cm="1">
        <f t="array" ref="D54">SUMPRODUCT(--(Checklist!$I$10:$I$299=Values!$B$4),Checklist!$S$10:$S$299)+SUMPRODUCT(--(Checklist!$I$10:$I$299=Values!$B$3),Checklist!$S$10:$S$299)</f>
        <v>0</v>
      </c>
      <c r="E54" s="14">
        <f t="shared" si="5"/>
        <v>1</v>
      </c>
      <c r="F54" s="14"/>
      <c r="H54" t="str">
        <v>Azure AI Services</v>
      </c>
      <c r="I54" cm="1">
        <f t="array" ref="I54">IF($H54="","",SUMPRODUCT(--(Checklist!$E$10:$E$2513=$H54)*--(Checklist!$D$10:$D$2513=I$50)))</f>
        <v>0</v>
      </c>
      <c r="J54" cm="1">
        <f t="array" ref="J54">IF($H54="","",SUMPRODUCT(--(Checklist!$E$10:$E$2513=$H54)*--(Checklist!$D$10:$D$2513=J$50)))</f>
        <v>5</v>
      </c>
      <c r="K54" cm="1">
        <f t="array" ref="K54">IF($H54="","",SUMPRODUCT(--(Checklist!$E$10:$E$2513=$H54)*--(Checklist!$D$10:$D$2513=K$50)))</f>
        <v>0</v>
      </c>
      <c r="L54" cm="1">
        <f t="array" ref="L54">IF($H54="","",SUMPRODUCT(--(Checklist!$E$10:$E$2513=$H54)*--(Checklist!$D$10:$D$2513=L$50)))</f>
        <v>1</v>
      </c>
      <c r="M54" cm="1">
        <f t="array" ref="M54">IF($H54="","",SUMPRODUCT(--(Checklist!$E$10:$E$2513=$H54)*--(Checklist!$D$10:$D$2513=M$50)))</f>
        <v>0</v>
      </c>
      <c r="N54" s="12">
        <f t="shared" si="6"/>
        <v>6</v>
      </c>
      <c r="O54" s="12"/>
    </row>
    <row r="55" spans="1:15">
      <c r="A55" t="s">
        <v>60</v>
      </c>
      <c r="B55" s="33" cm="1">
        <f t="array" ref="B55">SUMPRODUCT(--(Checklist!$I$10:$I$299=Values!$B$4),Checklist!$T$10:$T$299,--(Checklist!$T$10:$T$299&lt;0))+SUMPRODUCT(--(Checklist!$I$10:$I$299=Values!$B$6),Checklist!$T$10:$T$299,--(Checklist!$T$10:$T$299&lt;0))+SUMPRODUCT(--(Checklist!$I$10:$I$299=Values!$B$3),Checklist!$T$10:$T$299,--(Checklist!$T$10:$T$299&lt;0))</f>
        <v>0</v>
      </c>
      <c r="C55" s="33" cm="1">
        <f t="array" ref="C55">SUMPRODUCT(--(Checklist!$I$10:$I$299=Values!$B$4),Checklist!$T$10:$T$299,--(Checklist!$T$10:$T$299&gt;0))+SUMPRODUCT(--(Checklist!$I$10:$I$299=Values!$B$6),Checklist!$T$10:$T$299,--(Checklist!$T$10:$T$299&gt;0))+SUMPRODUCT(--(Checklist!$I$10:$I$299=Values!$B$3),Checklist!$T$10:$T$299,--(Checklist!$T$10:$T$299&gt;0))</f>
        <v>0</v>
      </c>
      <c r="D55" s="33" cm="1">
        <f t="array" ref="D55">SUMPRODUCT(--(Checklist!$I$10:$I$299=Values!$B$4),Checklist!$T$10:$T$299)+SUMPRODUCT(--(Checklist!$I$10:$I$299=Values!$B$3),Checklist!$T$10:$T$299)</f>
        <v>0</v>
      </c>
      <c r="E55" s="14">
        <f t="shared" si="5"/>
        <v>1</v>
      </c>
      <c r="F55" s="14"/>
      <c r="H55" t="str">
        <v>Azure API Management</v>
      </c>
      <c r="I55" cm="1">
        <f t="array" ref="I55">IF($H55="","",SUMPRODUCT(--(Checklist!$E$10:$E$2513=$H55)*--(Checklist!$D$10:$D$2513=I$50)))</f>
        <v>0</v>
      </c>
      <c r="J55" cm="1">
        <f t="array" ref="J55">IF($H55="","",SUMPRODUCT(--(Checklist!$E$10:$E$2513=$H55)*--(Checklist!$D$10:$D$2513=J$50)))</f>
        <v>3</v>
      </c>
      <c r="K55" cm="1">
        <f t="array" ref="K55">IF($H55="","",SUMPRODUCT(--(Checklist!$E$10:$E$2513=$H55)*--(Checklist!$D$10:$D$2513=K$50)))</f>
        <v>0</v>
      </c>
      <c r="L55" cm="1">
        <f t="array" ref="L55">IF($H55="","",SUMPRODUCT(--(Checklist!$E$10:$E$2513=$H55)*--(Checklist!$D$10:$D$2513=L$50)))</f>
        <v>0</v>
      </c>
      <c r="M55" cm="1">
        <f t="array" ref="M55">IF($H55="","",SUMPRODUCT(--(Checklist!$E$10:$E$2513=$H55)*--(Checklist!$D$10:$D$2513=M$50)))</f>
        <v>0</v>
      </c>
      <c r="N55" s="12">
        <f t="shared" si="6"/>
        <v>3</v>
      </c>
      <c r="O55" s="12"/>
    </row>
    <row r="56" spans="1:15">
      <c r="H56" t="str">
        <v>Azure Container Apps</v>
      </c>
      <c r="I56" cm="1">
        <f t="array" ref="I56">IF($H56="","",SUMPRODUCT(--(Checklist!$E$10:$E$2513=$H56)*--(Checklist!$D$10:$D$2513=I$50)))</f>
        <v>0</v>
      </c>
      <c r="J56" cm="1">
        <f t="array" ref="J56">IF($H56="","",SUMPRODUCT(--(Checklist!$E$10:$E$2513=$H56)*--(Checklist!$D$10:$D$2513=J$50)))</f>
        <v>1</v>
      </c>
      <c r="K56" cm="1">
        <f t="array" ref="K56">IF($H56="","",SUMPRODUCT(--(Checklist!$E$10:$E$2513=$H56)*--(Checklist!$D$10:$D$2513=K$50)))</f>
        <v>0</v>
      </c>
      <c r="L56" cm="1">
        <f t="array" ref="L56">IF($H56="","",SUMPRODUCT(--(Checklist!$E$10:$E$2513=$H56)*--(Checklist!$D$10:$D$2513=L$50)))</f>
        <v>0</v>
      </c>
      <c r="M56" cm="1">
        <f t="array" ref="M56">IF($H56="","",SUMPRODUCT(--(Checklist!$E$10:$E$2513=$H56)*--(Checklist!$D$10:$D$2513=M$50)))</f>
        <v>0</v>
      </c>
      <c r="N56" s="12">
        <f t="shared" si="6"/>
        <v>1</v>
      </c>
      <c r="O56" s="12"/>
    </row>
    <row r="57" spans="1:15">
      <c r="A57" t="s">
        <v>160</v>
      </c>
      <c r="H57" t="str">
        <v>Azure Cost Management</v>
      </c>
      <c r="I57" cm="1">
        <f t="array" ref="I57">IF($H57="","",SUMPRODUCT(--(Checklist!$E$10:$E$2513=$H57)*--(Checklist!$D$10:$D$2513=I$50)))</f>
        <v>0</v>
      </c>
      <c r="J57" cm="1">
        <f t="array" ref="J57">IF($H57="","",SUMPRODUCT(--(Checklist!$E$10:$E$2513=$H57)*--(Checklist!$D$10:$D$2513=J$50)))</f>
        <v>0</v>
      </c>
      <c r="K57" cm="1">
        <f t="array" ref="K57">IF($H57="","",SUMPRODUCT(--(Checklist!$E$10:$E$2513=$H57)*--(Checklist!$D$10:$D$2513=K$50)))</f>
        <v>1</v>
      </c>
      <c r="L57" cm="1">
        <f t="array" ref="L57">IF($H57="","",SUMPRODUCT(--(Checklist!$E$10:$E$2513=$H57)*--(Checklist!$D$10:$D$2513=L$50)))</f>
        <v>0</v>
      </c>
      <c r="M57" cm="1">
        <f t="array" ref="M57">IF($H57="","",SUMPRODUCT(--(Checklist!$E$10:$E$2513=$H57)*--(Checklist!$D$10:$D$2513=M$50)))</f>
        <v>0</v>
      </c>
      <c r="N57" s="12">
        <f t="shared" si="6"/>
        <v>1</v>
      </c>
      <c r="O57" s="12"/>
    </row>
    <row r="58" spans="1:15">
      <c r="A58" t="s">
        <v>161</v>
      </c>
      <c r="H58" t="str">
        <v>Azure DevOps</v>
      </c>
      <c r="I58" cm="1">
        <f t="array" ref="I58">IF($H58="","",SUMPRODUCT(--(Checklist!$E$10:$E$2513=$H58)*--(Checklist!$D$10:$D$2513=I$50)))</f>
        <v>0</v>
      </c>
      <c r="J58" cm="1">
        <f t="array" ref="J58">IF($H58="","",SUMPRODUCT(--(Checklist!$E$10:$E$2513=$H58)*--(Checklist!$D$10:$D$2513=J$50)))</f>
        <v>0</v>
      </c>
      <c r="K58" cm="1">
        <f t="array" ref="K58">IF($H58="","",SUMPRODUCT(--(Checklist!$E$10:$E$2513=$H58)*--(Checklist!$D$10:$D$2513=K$50)))</f>
        <v>0</v>
      </c>
      <c r="L58" cm="1">
        <f t="array" ref="L58">IF($H58="","",SUMPRODUCT(--(Checklist!$E$10:$E$2513=$H58)*--(Checklist!$D$10:$D$2513=L$50)))</f>
        <v>2</v>
      </c>
      <c r="M58" cm="1">
        <f t="array" ref="M58">IF($H58="","",SUMPRODUCT(--(Checklist!$E$10:$E$2513=$H58)*--(Checklist!$D$10:$D$2513=M$50)))</f>
        <v>0</v>
      </c>
      <c r="N58" s="12">
        <f t="shared" si="6"/>
        <v>2</v>
      </c>
      <c r="O58" s="12"/>
    </row>
    <row r="59" spans="1:15">
      <c r="A59" t="s">
        <v>162</v>
      </c>
      <c r="H59" t="str">
        <v>Azure Machine Learning</v>
      </c>
      <c r="I59" cm="1">
        <f t="array" ref="I59">IF($H59="","",SUMPRODUCT(--(Checklist!$E$10:$E$2513=$H59)*--(Checklist!$D$10:$D$2513=I$50)))</f>
        <v>1</v>
      </c>
      <c r="J59" cm="1">
        <f t="array" ref="J59">IF($H59="","",SUMPRODUCT(--(Checklist!$E$10:$E$2513=$H59)*--(Checklist!$D$10:$D$2513=J$50)))</f>
        <v>3</v>
      </c>
      <c r="K59" cm="1">
        <f t="array" ref="K59">IF($H59="","",SUMPRODUCT(--(Checklist!$E$10:$E$2513=$H59)*--(Checklist!$D$10:$D$2513=K$50)))</f>
        <v>0</v>
      </c>
      <c r="L59" cm="1">
        <f t="array" ref="L59">IF($H59="","",SUMPRODUCT(--(Checklist!$E$10:$E$2513=$H59)*--(Checklist!$D$10:$D$2513=L$50)))</f>
        <v>1</v>
      </c>
      <c r="M59" cm="1">
        <f t="array" ref="M59">IF($H59="","",SUMPRODUCT(--(Checklist!$E$10:$E$2513=$H59)*--(Checklist!$D$10:$D$2513=M$50)))</f>
        <v>0</v>
      </c>
      <c r="N59" s="12">
        <f t="shared" si="6"/>
        <v>5</v>
      </c>
      <c r="O59" s="12"/>
    </row>
    <row r="60" spans="1:15">
      <c r="H60" t="str">
        <v>Azure Monitor</v>
      </c>
      <c r="I60" cm="1">
        <f t="array" ref="I60">IF($H60="","",SUMPRODUCT(--(Checklist!$E$10:$E$2513=$H60)*--(Checklist!$D$10:$D$2513=I$50)))</f>
        <v>0</v>
      </c>
      <c r="J60" cm="1">
        <f t="array" ref="J60">IF($H60="","",SUMPRODUCT(--(Checklist!$E$10:$E$2513=$H60)*--(Checklist!$D$10:$D$2513=J$50)))</f>
        <v>0</v>
      </c>
      <c r="K60" cm="1">
        <f t="array" ref="K60">IF($H60="","",SUMPRODUCT(--(Checklist!$E$10:$E$2513=$H60)*--(Checklist!$D$10:$D$2513=K$50)))</f>
        <v>0</v>
      </c>
      <c r="L60" cm="1">
        <f t="array" ref="L60">IF($H60="","",SUMPRODUCT(--(Checklist!$E$10:$E$2513=$H60)*--(Checklist!$D$10:$D$2513=L$50)))</f>
        <v>1</v>
      </c>
      <c r="M60" cm="1">
        <f t="array" ref="M60">IF($H60="","",SUMPRODUCT(--(Checklist!$E$10:$E$2513=$H60)*--(Checklist!$D$10:$D$2513=M$50)))</f>
        <v>0</v>
      </c>
      <c r="N60" s="12">
        <f t="shared" si="6"/>
        <v>1</v>
      </c>
      <c r="O60" s="12"/>
    </row>
    <row r="61" spans="1:15">
      <c r="H61" t="str">
        <v>Azure Open AI</v>
      </c>
      <c r="I61" cm="1">
        <f t="array" ref="I61">IF($H61="","",SUMPRODUCT(--(Checklist!$E$10:$E$2513=$H61)*--(Checklist!$D$10:$D$2513=I$50)))</f>
        <v>1</v>
      </c>
      <c r="J61" cm="1">
        <f t="array" ref="J61">IF($H61="","",SUMPRODUCT(--(Checklist!$E$10:$E$2513=$H61)*--(Checklist!$D$10:$D$2513=J$50)))</f>
        <v>1</v>
      </c>
      <c r="K61" cm="1">
        <f t="array" ref="K61">IF($H61="","",SUMPRODUCT(--(Checklist!$E$10:$E$2513=$H61)*--(Checklist!$D$10:$D$2513=K$50)))</f>
        <v>0</v>
      </c>
      <c r="L61" cm="1">
        <f t="array" ref="L61">IF($H61="","",SUMPRODUCT(--(Checklist!$E$10:$E$2513=$H61)*--(Checklist!$D$10:$D$2513=L$50)))</f>
        <v>0</v>
      </c>
      <c r="M61" cm="1">
        <f t="array" ref="M61">IF($H61="","",SUMPRODUCT(--(Checklist!$E$10:$E$2513=$H61)*--(Checklist!$D$10:$D$2513=M$50)))</f>
        <v>0</v>
      </c>
      <c r="N61" s="12">
        <f t="shared" si="6"/>
        <v>2</v>
      </c>
      <c r="O61" s="12"/>
    </row>
    <row r="62" spans="1:15">
      <c r="H62" t="str">
        <v>Azure OpenAI</v>
      </c>
      <c r="I62" cm="1">
        <f t="array" ref="I62">IF($H62="","",SUMPRODUCT(--(Checklist!$E$10:$E$2513=$H62)*--(Checklist!$D$10:$D$2513=I$50)))</f>
        <v>10</v>
      </c>
      <c r="J62" cm="1">
        <f t="array" ref="J62">IF($H62="","",SUMPRODUCT(--(Checklist!$E$10:$E$2513=$H62)*--(Checklist!$D$10:$D$2513=J$50)))</f>
        <v>34</v>
      </c>
      <c r="K62" cm="1">
        <f t="array" ref="K62">IF($H62="","",SUMPRODUCT(--(Checklist!$E$10:$E$2513=$H62)*--(Checklist!$D$10:$D$2513=K$50)))</f>
        <v>17</v>
      </c>
      <c r="L62" cm="1">
        <f t="array" ref="L62">IF($H62="","",SUMPRODUCT(--(Checklist!$E$10:$E$2513=$H62)*--(Checklist!$D$10:$D$2513=L$50)))</f>
        <v>27</v>
      </c>
      <c r="M62" cm="1">
        <f t="array" ref="M62">IF($H62="","",SUMPRODUCT(--(Checklist!$E$10:$E$2513=$H62)*--(Checklist!$D$10:$D$2513=M$50)))</f>
        <v>8</v>
      </c>
      <c r="N62" s="12">
        <f t="shared" si="6"/>
        <v>96</v>
      </c>
      <c r="O62" s="12"/>
    </row>
    <row r="63" spans="1:15">
      <c r="H63" t="str">
        <v>Azure RBAC</v>
      </c>
      <c r="I63" cm="1">
        <f t="array" ref="I63">IF($H63="","",SUMPRODUCT(--(Checklist!$E$10:$E$2513=$H63)*--(Checklist!$D$10:$D$2513=I$50)))</f>
        <v>0</v>
      </c>
      <c r="J63" cm="1">
        <f t="array" ref="J63">IF($H63="","",SUMPRODUCT(--(Checklist!$E$10:$E$2513=$H63)*--(Checklist!$D$10:$D$2513=J$50)))</f>
        <v>1</v>
      </c>
      <c r="K63" cm="1">
        <f t="array" ref="K63">IF($H63="","",SUMPRODUCT(--(Checklist!$E$10:$E$2513=$H63)*--(Checklist!$D$10:$D$2513=K$50)))</f>
        <v>0</v>
      </c>
      <c r="L63" cm="1">
        <f t="array" ref="L63">IF($H63="","",SUMPRODUCT(--(Checklist!$E$10:$E$2513=$H63)*--(Checklist!$D$10:$D$2513=L$50)))</f>
        <v>0</v>
      </c>
      <c r="M63" cm="1">
        <f t="array" ref="M63">IF($H63="","",SUMPRODUCT(--(Checklist!$E$10:$E$2513=$H63)*--(Checklist!$D$10:$D$2513=M$50)))</f>
        <v>0</v>
      </c>
      <c r="N63" s="12">
        <f t="shared" si="6"/>
        <v>1</v>
      </c>
      <c r="O63" s="12"/>
    </row>
    <row r="64" spans="1:15">
      <c r="H64" t="str">
        <v>Azure Resource Manager</v>
      </c>
      <c r="I64" cm="1">
        <f t="array" ref="I64">IF($H64="","",SUMPRODUCT(--(Checklist!$E$10:$E$2513=$H64)*--(Checklist!$D$10:$D$2513=I$50)))</f>
        <v>0</v>
      </c>
      <c r="J64" cm="1">
        <f t="array" ref="J64">IF($H64="","",SUMPRODUCT(--(Checklist!$E$10:$E$2513=$H64)*--(Checklist!$D$10:$D$2513=J$50)))</f>
        <v>0</v>
      </c>
      <c r="K64" cm="1">
        <f t="array" ref="K64">IF($H64="","",SUMPRODUCT(--(Checklist!$E$10:$E$2513=$H64)*--(Checklist!$D$10:$D$2513=K$50)))</f>
        <v>0</v>
      </c>
      <c r="L64" cm="1">
        <f t="array" ref="L64">IF($H64="","",SUMPRODUCT(--(Checklist!$E$10:$E$2513=$H64)*--(Checklist!$D$10:$D$2513=L$50)))</f>
        <v>1</v>
      </c>
      <c r="M64" cm="1">
        <f t="array" ref="M64">IF($H64="","",SUMPRODUCT(--(Checklist!$E$10:$E$2513=$H64)*--(Checklist!$D$10:$D$2513=M$50)))</f>
        <v>0</v>
      </c>
      <c r="N64" s="12">
        <f t="shared" si="6"/>
        <v>1</v>
      </c>
      <c r="O64" s="12"/>
    </row>
    <row r="65" spans="8:26">
      <c r="H65" t="str">
        <v>Azure Service Health</v>
      </c>
      <c r="I65" cm="1">
        <f t="array" ref="I65">IF($H65="","",SUMPRODUCT(--(Checklist!$E$10:$E$2513=$H65)*--(Checklist!$D$10:$D$2513=I$50)))</f>
        <v>0</v>
      </c>
      <c r="J65" cm="1">
        <f t="array" ref="J65">IF($H65="","",SUMPRODUCT(--(Checklist!$E$10:$E$2513=$H65)*--(Checklist!$D$10:$D$2513=J$50)))</f>
        <v>0</v>
      </c>
      <c r="K65" cm="1">
        <f t="array" ref="K65">IF($H65="","",SUMPRODUCT(--(Checklist!$E$10:$E$2513=$H65)*--(Checklist!$D$10:$D$2513=K$50)))</f>
        <v>0</v>
      </c>
      <c r="L65" cm="1">
        <f t="array" ref="L65">IF($H65="","",SUMPRODUCT(--(Checklist!$E$10:$E$2513=$H65)*--(Checklist!$D$10:$D$2513=L$50)))</f>
        <v>1</v>
      </c>
      <c r="M65" cm="1">
        <f t="array" ref="M65">IF($H65="","",SUMPRODUCT(--(Checklist!$E$10:$E$2513=$H65)*--(Checklist!$D$10:$D$2513=M$50)))</f>
        <v>0</v>
      </c>
      <c r="N65" s="12">
        <f t="shared" si="6"/>
        <v>1</v>
      </c>
      <c r="O65" s="12"/>
    </row>
    <row r="66" spans="8:26">
      <c r="H66" t="str">
        <v>Cognitive Search</v>
      </c>
      <c r="I66" cm="1">
        <f t="array" ref="I66">IF($H66="","",SUMPRODUCT(--(Checklist!$E$10:$E$2513=$H66)*--(Checklist!$D$10:$D$2513=I$50)))</f>
        <v>7</v>
      </c>
      <c r="J66" cm="1">
        <f t="array" ref="J66">IF($H66="","",SUMPRODUCT(--(Checklist!$E$10:$E$2513=$H66)*--(Checklist!$D$10:$D$2513=J$50)))</f>
        <v>0</v>
      </c>
      <c r="K66" cm="1">
        <f t="array" ref="K66">IF($H66="","",SUMPRODUCT(--(Checklist!$E$10:$E$2513=$H66)*--(Checklist!$D$10:$D$2513=K$50)))</f>
        <v>0</v>
      </c>
      <c r="L66" cm="1">
        <f t="array" ref="L66">IF($H66="","",SUMPRODUCT(--(Checklist!$E$10:$E$2513=$H66)*--(Checklist!$D$10:$D$2513=L$50)))</f>
        <v>0</v>
      </c>
      <c r="M66" cm="1">
        <f t="array" ref="M66">IF($H66="","",SUMPRODUCT(--(Checklist!$E$10:$E$2513=$H66)*--(Checklist!$D$10:$D$2513=M$50)))</f>
        <v>0</v>
      </c>
      <c r="N66" s="12">
        <f t="shared" si="6"/>
        <v>7</v>
      </c>
      <c r="O66" s="12"/>
    </row>
    <row r="67" spans="8:26">
      <c r="H67" t="str">
        <v>Cognitive Services</v>
      </c>
      <c r="I67" cm="1">
        <f t="array" ref="I67">IF($H67="","",SUMPRODUCT(--(Checklist!$E$10:$E$2513=$H67)*--(Checklist!$D$10:$D$2513=I$50)))</f>
        <v>6</v>
      </c>
      <c r="J67" cm="1">
        <f t="array" ref="J67">IF($H67="","",SUMPRODUCT(--(Checklist!$E$10:$E$2513=$H67)*--(Checklist!$D$10:$D$2513=J$50)))</f>
        <v>0</v>
      </c>
      <c r="K67" cm="1">
        <f t="array" ref="K67">IF($H67="","",SUMPRODUCT(--(Checklist!$E$10:$E$2513=$H67)*--(Checklist!$D$10:$D$2513=K$50)))</f>
        <v>0</v>
      </c>
      <c r="L67" cm="1">
        <f t="array" ref="L67">IF($H67="","",SUMPRODUCT(--(Checklist!$E$10:$E$2513=$H67)*--(Checklist!$D$10:$D$2513=L$50)))</f>
        <v>0</v>
      </c>
      <c r="M67" cm="1">
        <f t="array" ref="M67">IF($H67="","",SUMPRODUCT(--(Checklist!$E$10:$E$2513=$H67)*--(Checklist!$D$10:$D$2513=M$50)))</f>
        <v>0</v>
      </c>
      <c r="N67" s="12">
        <f t="shared" si="6"/>
        <v>6</v>
      </c>
      <c r="O67" s="12"/>
    </row>
    <row r="68" spans="8:26">
      <c r="H68" t="str">
        <v>Microsoft cloud security benchmark</v>
      </c>
      <c r="I68" cm="1">
        <f t="array" ref="I68">IF($H68="","",SUMPRODUCT(--(Checklist!$E$10:$E$2513=$H68)*--(Checklist!$D$10:$D$2513=I$50)))</f>
        <v>0</v>
      </c>
      <c r="J68" cm="1">
        <f t="array" ref="J68">IF($H68="","",SUMPRODUCT(--(Checklist!$E$10:$E$2513=$H68)*--(Checklist!$D$10:$D$2513=J$50)))</f>
        <v>0</v>
      </c>
      <c r="K68" cm="1">
        <f t="array" ref="K68">IF($H68="","",SUMPRODUCT(--(Checklist!$E$10:$E$2513=$H68)*--(Checklist!$D$10:$D$2513=K$50)))</f>
        <v>0</v>
      </c>
      <c r="L68" cm="1">
        <f t="array" ref="L68">IF($H68="","",SUMPRODUCT(--(Checklist!$E$10:$E$2513=$H68)*--(Checklist!$D$10:$D$2513=L$50)))</f>
        <v>1</v>
      </c>
      <c r="M68" cm="1">
        <f t="array" ref="M68">IF($H68="","",SUMPRODUCT(--(Checklist!$E$10:$E$2513=$H68)*--(Checklist!$D$10:$D$2513=M$50)))</f>
        <v>0</v>
      </c>
      <c r="N68" s="12">
        <f t="shared" si="6"/>
        <v>1</v>
      </c>
      <c r="O68" s="12"/>
    </row>
    <row r="69" spans="8:26">
      <c r="H69" t="str">
        <v>Microsoft Defender for Cloud</v>
      </c>
      <c r="I69" cm="1">
        <f t="array" ref="I69">IF($H69="","",SUMPRODUCT(--(Checklist!$E$10:$E$2513=$H69)*--(Checklist!$D$10:$D$2513=I$50)))</f>
        <v>0</v>
      </c>
      <c r="J69" cm="1">
        <f t="array" ref="J69">IF($H69="","",SUMPRODUCT(--(Checklist!$E$10:$E$2513=$H69)*--(Checklist!$D$10:$D$2513=J$50)))</f>
        <v>3</v>
      </c>
      <c r="K69" cm="1">
        <f t="array" ref="K69">IF($H69="","",SUMPRODUCT(--(Checklist!$E$10:$E$2513=$H69)*--(Checklist!$D$10:$D$2513=K$50)))</f>
        <v>0</v>
      </c>
      <c r="L69" cm="1">
        <f t="array" ref="L69">IF($H69="","",SUMPRODUCT(--(Checklist!$E$10:$E$2513=$H69)*--(Checklist!$D$10:$D$2513=L$50)))</f>
        <v>0</v>
      </c>
      <c r="M69" cm="1">
        <f t="array" ref="M69">IF($H69="","",SUMPRODUCT(--(Checklist!$E$10:$E$2513=$H69)*--(Checklist!$D$10:$D$2513=M$50)))</f>
        <v>0</v>
      </c>
      <c r="N69" s="12">
        <f t="shared" si="6"/>
        <v>3</v>
      </c>
      <c r="O69" s="12"/>
    </row>
    <row r="70" spans="8:26">
      <c r="H70" t="str">
        <v>Microsoft Entra</v>
      </c>
      <c r="I70" cm="1">
        <f t="array" ref="I70">IF($H70="","",SUMPRODUCT(--(Checklist!$E$10:$E$2513=$H70)*--(Checklist!$D$10:$D$2513=I$50)))</f>
        <v>0</v>
      </c>
      <c r="J70" cm="1">
        <f t="array" ref="J70">IF($H70="","",SUMPRODUCT(--(Checklist!$E$10:$E$2513=$H70)*--(Checklist!$D$10:$D$2513=J$50)))</f>
        <v>4</v>
      </c>
      <c r="K70" cm="1">
        <f t="array" ref="K70">IF($H70="","",SUMPRODUCT(--(Checklist!$E$10:$E$2513=$H70)*--(Checklist!$D$10:$D$2513=K$50)))</f>
        <v>0</v>
      </c>
      <c r="L70" cm="1">
        <f t="array" ref="L70">IF($H70="","",SUMPRODUCT(--(Checklist!$E$10:$E$2513=$H70)*--(Checklist!$D$10:$D$2513=L$50)))</f>
        <v>0</v>
      </c>
      <c r="M70" cm="1">
        <f t="array" ref="M70">IF($H70="","",SUMPRODUCT(--(Checklist!$E$10:$E$2513=$H70)*--(Checklist!$D$10:$D$2513=M$50)))</f>
        <v>0</v>
      </c>
      <c r="N70" s="12">
        <f t="shared" si="6"/>
        <v>4</v>
      </c>
      <c r="O70" s="12"/>
    </row>
    <row r="71" spans="8:26">
      <c r="H71" t="str">
        <v>Microsoft Purview</v>
      </c>
      <c r="I71" cm="1">
        <f t="array" ref="I71">IF($H71="","",SUMPRODUCT(--(Checklist!$E$10:$E$2513=$H71)*--(Checklist!$D$10:$D$2513=I$50)))</f>
        <v>0</v>
      </c>
      <c r="J71" cm="1">
        <f t="array" ref="J71">IF($H71="","",SUMPRODUCT(--(Checklist!$E$10:$E$2513=$H71)*--(Checklist!$D$10:$D$2513=J$50)))</f>
        <v>3</v>
      </c>
      <c r="K71" cm="1">
        <f t="array" ref="K71">IF($H71="","",SUMPRODUCT(--(Checklist!$E$10:$E$2513=$H71)*--(Checklist!$D$10:$D$2513=K$50)))</f>
        <v>0</v>
      </c>
      <c r="L71" cm="1">
        <f t="array" ref="L71">IF($H71="","",SUMPRODUCT(--(Checklist!$E$10:$E$2513=$H71)*--(Checklist!$D$10:$D$2513=L$50)))</f>
        <v>0</v>
      </c>
      <c r="M71" cm="1">
        <f t="array" ref="M71">IF($H71="","",SUMPRODUCT(--(Checklist!$E$10:$E$2513=$H71)*--(Checklist!$D$10:$D$2513=M$50)))</f>
        <v>0</v>
      </c>
      <c r="N71" s="12">
        <f t="shared" si="6"/>
        <v>3</v>
      </c>
      <c r="O71" s="12"/>
    </row>
    <row r="72" spans="8:26">
      <c r="H72" t="str">
        <v>Microsoft Threat Modeling Tool</v>
      </c>
      <c r="I72" cm="1">
        <f t="array" ref="I72">IF($H72="","",SUMPRODUCT(--(Checklist!$E$10:$E$2513=$H72)*--(Checklist!$D$10:$D$2513=I$50)))</f>
        <v>0</v>
      </c>
      <c r="J72" cm="1">
        <f t="array" ref="J72">IF($H72="","",SUMPRODUCT(--(Checklist!$E$10:$E$2513=$H72)*--(Checklist!$D$10:$D$2513=J$50)))</f>
        <v>1</v>
      </c>
      <c r="K72" cm="1">
        <f t="array" ref="K72">IF($H72="","",SUMPRODUCT(--(Checklist!$E$10:$E$2513=$H72)*--(Checklist!$D$10:$D$2513=K$50)))</f>
        <v>0</v>
      </c>
      <c r="L72" cm="1">
        <f t="array" ref="L72">IF($H72="","",SUMPRODUCT(--(Checklist!$E$10:$E$2513=$H72)*--(Checklist!$D$10:$D$2513=L$50)))</f>
        <v>0</v>
      </c>
      <c r="M72" cm="1">
        <f t="array" ref="M72">IF($H72="","",SUMPRODUCT(--(Checklist!$E$10:$E$2513=$H72)*--(Checklist!$D$10:$D$2513=M$50)))</f>
        <v>0</v>
      </c>
      <c r="N72" s="12">
        <f t="shared" si="6"/>
        <v>1</v>
      </c>
      <c r="O72" s="12"/>
    </row>
    <row r="73" spans="8:26">
      <c r="H73" t="str">
        <v>NA</v>
      </c>
      <c r="I73" cm="1">
        <f t="array" ref="I73">IF($H73="","",SUMPRODUCT(--(Checklist!$E$10:$E$2513=$H73)*--(Checklist!$D$10:$D$2513=I$50)))</f>
        <v>0</v>
      </c>
      <c r="J73" cm="1">
        <f t="array" ref="J73">IF($H73="","",SUMPRODUCT(--(Checklist!$E$10:$E$2513=$H73)*--(Checklist!$D$10:$D$2513=J$50)))</f>
        <v>11</v>
      </c>
      <c r="K73" cm="1">
        <f t="array" ref="K73">IF($H73="","",SUMPRODUCT(--(Checklist!$E$10:$E$2513=$H73)*--(Checklist!$D$10:$D$2513=K$50)))</f>
        <v>1</v>
      </c>
      <c r="L73" cm="1">
        <f t="array" ref="L73">IF($H73="","",SUMPRODUCT(--(Checklist!$E$10:$E$2513=$H73)*--(Checklist!$D$10:$D$2513=L$50)))</f>
        <v>2</v>
      </c>
      <c r="M73" cm="1">
        <f t="array" ref="M73">IF($H73="","",SUMPRODUCT(--(Checklist!$E$10:$E$2513=$H73)*--(Checklist!$D$10:$D$2513=M$50)))</f>
        <v>0</v>
      </c>
      <c r="N73" s="12">
        <f t="shared" si="6"/>
        <v>14</v>
      </c>
      <c r="O73" s="12"/>
    </row>
    <row r="74" spans="8:26">
      <c r="I74" t="str" cm="1">
        <f t="array" ref="I74">IF($H74="","",SUMPRODUCT(--(Checklist!$E$10:$E$2513=$H74)*--(Checklist!$D$10:$D$2513=I$50)))</f>
        <v/>
      </c>
      <c r="J74" t="str" cm="1">
        <f t="array" ref="J74">IF($H74="","",SUMPRODUCT(--(Checklist!$E$10:$E$2513=$H74)*--(Checklist!$D$10:$D$2513=J$50)))</f>
        <v/>
      </c>
      <c r="K74" t="str" cm="1">
        <f t="array" ref="K74">IF($H74="","",SUMPRODUCT(--(Checklist!$E$10:$E$2513=$H74)*--(Checklist!$D$10:$D$2513=K$50)))</f>
        <v/>
      </c>
      <c r="L74" t="str" cm="1">
        <f t="array" ref="L74">IF($H74="","",SUMPRODUCT(--(Checklist!$E$10:$E$2513=$H74)*--(Checklist!$D$10:$D$2513=L$50)))</f>
        <v/>
      </c>
      <c r="M74" t="str" cm="1">
        <f t="array" ref="M74">IF($H74="","",SUMPRODUCT(--(Checklist!$E$10:$E$2513=$H74)*--(Checklist!$D$10:$D$2513=M$50)))</f>
        <v/>
      </c>
      <c r="N74" s="12" t="str">
        <f t="shared" si="6"/>
        <v/>
      </c>
      <c r="O74" s="12"/>
      <c r="Z74" s="12" t="s">
        <v>157</v>
      </c>
    </row>
    <row r="75" spans="8:26">
      <c r="I75" t="str" cm="1">
        <f t="array" ref="I75">IF($H75="","",SUMPRODUCT(--(Checklist!$E$10:$E$2513=$H75)*--(Checklist!$D$10:$D$2513=I$50)))</f>
        <v/>
      </c>
      <c r="J75" t="str" cm="1">
        <f t="array" ref="J75">IF($H75="","",SUMPRODUCT(--(Checklist!$E$10:$E$2513=$H75)*--(Checklist!$D$10:$D$2513=J$50)))</f>
        <v/>
      </c>
      <c r="K75" t="str" cm="1">
        <f t="array" ref="K75">IF($H75="","",SUMPRODUCT(--(Checklist!$E$10:$E$2513=$H75)*--(Checklist!$D$10:$D$2513=K$50)))</f>
        <v/>
      </c>
      <c r="L75" t="str" cm="1">
        <f t="array" ref="L75">IF($H75="","",SUMPRODUCT(--(Checklist!$E$10:$E$2513=$H75)*--(Checklist!$D$10:$D$2513=L$50)))</f>
        <v/>
      </c>
      <c r="M75" t="str" cm="1">
        <f t="array" ref="M75">IF($H75="","",SUMPRODUCT(--(Checklist!$E$10:$E$2513=$H75)*--(Checklist!$D$10:$D$2513=M$50)))</f>
        <v/>
      </c>
      <c r="N75" s="12" t="str">
        <f t="shared" si="6"/>
        <v/>
      </c>
      <c r="O75" s="12"/>
      <c r="Y75" s="12" t="str">
        <f>Values!$L$2</f>
        <v>Reliability</v>
      </c>
      <c r="Z75">
        <f>COUNTIFS(Checklist!$D$10:$D$487, Y75, Checklist!$N$10:$N$487, "&lt;&gt;")</f>
        <v>1</v>
      </c>
    </row>
    <row r="76" spans="8:26">
      <c r="I76" t="str" cm="1">
        <f t="array" ref="I76">IF($H76="","",SUMPRODUCT(--(Checklist!$E$10:$E$2513=$H76)*--(Checklist!$D$10:$D$2513=I$50)))</f>
        <v/>
      </c>
      <c r="J76" t="str" cm="1">
        <f t="array" ref="J76">IF($H76="","",SUMPRODUCT(--(Checklist!$E$10:$E$2513=$H76)*--(Checklist!$D$10:$D$2513=J$50)))</f>
        <v/>
      </c>
      <c r="K76" t="str" cm="1">
        <f t="array" ref="K76">IF($H76="","",SUMPRODUCT(--(Checklist!$E$10:$E$2513=$H76)*--(Checklist!$D$10:$D$2513=K$50)))</f>
        <v/>
      </c>
      <c r="L76" t="str" cm="1">
        <f t="array" ref="L76">IF($H76="","",SUMPRODUCT(--(Checklist!$E$10:$E$2513=$H76)*--(Checklist!$D$10:$D$2513=L$50)))</f>
        <v/>
      </c>
      <c r="M76" t="str" cm="1">
        <f t="array" ref="M76">IF($H76="","",SUMPRODUCT(--(Checklist!$E$10:$E$2513=$H76)*--(Checklist!$D$10:$D$2513=M$50)))</f>
        <v/>
      </c>
      <c r="N76" s="12" t="str">
        <f t="shared" si="6"/>
        <v/>
      </c>
      <c r="O76" s="12"/>
      <c r="Y76" s="12" t="str">
        <f>Values!$L$3</f>
        <v>Security</v>
      </c>
      <c r="Z76">
        <f>COUNTIFS(Checklist!$D$10:$D$487, Y76, Checklist!$N$10:$N$487, "&lt;&gt;")</f>
        <v>4</v>
      </c>
    </row>
    <row r="77" spans="8:26">
      <c r="I77" t="str" cm="1">
        <f t="array" ref="I77">IF($H77="","",SUMPRODUCT(--(Checklist!$E$10:$E$2513=$H77)*--(Checklist!$D$10:$D$2513=I$50)))</f>
        <v/>
      </c>
      <c r="J77" t="str" cm="1">
        <f t="array" ref="J77">IF($H77="","",SUMPRODUCT(--(Checklist!$E$10:$E$2513=$H77)*--(Checklist!$D$10:$D$2513=J$50)))</f>
        <v/>
      </c>
      <c r="K77" t="str" cm="1">
        <f t="array" ref="K77">IF($H77="","",SUMPRODUCT(--(Checklist!$E$10:$E$2513=$H77)*--(Checklist!$D$10:$D$2513=K$50)))</f>
        <v/>
      </c>
      <c r="L77" t="str" cm="1">
        <f t="array" ref="L77">IF($H77="","",SUMPRODUCT(--(Checklist!$E$10:$E$2513=$H77)*--(Checklist!$D$10:$D$2513=L$50)))</f>
        <v/>
      </c>
      <c r="M77" t="str" cm="1">
        <f t="array" ref="M77">IF($H77="","",SUMPRODUCT(--(Checklist!$E$10:$E$2513=$H77)*--(Checklist!$D$10:$D$2513=M$50)))</f>
        <v/>
      </c>
      <c r="N77" s="12" t="str">
        <f t="shared" si="6"/>
        <v/>
      </c>
      <c r="O77" s="12"/>
      <c r="Y77" s="12" t="str">
        <f>Values!$L$4</f>
        <v>Cost</v>
      </c>
      <c r="Z77">
        <f>COUNTIFS(Checklist!$D$10:$D$487, Y77, Checklist!$N$10:$N$487, "&lt;&gt;")</f>
        <v>0</v>
      </c>
    </row>
    <row r="78" spans="8:26">
      <c r="I78" t="str" cm="1">
        <f t="array" ref="I78">IF($H78="","",SUMPRODUCT(--(Checklist!$E$10:$E$2513=$H78)*--(Checklist!$D$10:$D$2513=I$50)))</f>
        <v/>
      </c>
      <c r="J78" t="str" cm="1">
        <f t="array" ref="J78">IF($H78="","",SUMPRODUCT(--(Checklist!$E$10:$E$2513=$H78)*--(Checklist!$D$10:$D$2513=J$50)))</f>
        <v/>
      </c>
      <c r="K78" t="str" cm="1">
        <f t="array" ref="K78">IF($H78="","",SUMPRODUCT(--(Checklist!$E$10:$E$2513=$H78)*--(Checklist!$D$10:$D$2513=K$50)))</f>
        <v/>
      </c>
      <c r="L78" t="str" cm="1">
        <f t="array" ref="L78">IF($H78="","",SUMPRODUCT(--(Checklist!$E$10:$E$2513=$H78)*--(Checklist!$D$10:$D$2513=L$50)))</f>
        <v/>
      </c>
      <c r="M78" t="str" cm="1">
        <f t="array" ref="M78">IF($H78="","",SUMPRODUCT(--(Checklist!$E$10:$E$2513=$H78)*--(Checklist!$D$10:$D$2513=M$50)))</f>
        <v/>
      </c>
      <c r="N78" s="12" t="str">
        <f t="shared" si="6"/>
        <v/>
      </c>
      <c r="O78" s="12"/>
      <c r="Y78" s="12" t="str">
        <f>Values!$L$5</f>
        <v>Operations</v>
      </c>
      <c r="Z78">
        <f>COUNTIFS(Checklist!$D$10:$D$487, Y78, Checklist!$N$10:$N$487, "&lt;&gt;")</f>
        <v>2</v>
      </c>
    </row>
    <row r="79" spans="8:26">
      <c r="I79" t="str" cm="1">
        <f t="array" ref="I79">IF($H79="","",SUMPRODUCT(--(Checklist!$E$10:$E$2513=$H79)*--(Checklist!$D$10:$D$2513=I$50)))</f>
        <v/>
      </c>
      <c r="J79" t="str" cm="1">
        <f t="array" ref="J79">IF($H79="","",SUMPRODUCT(--(Checklist!$E$10:$E$2513=$H79)*--(Checklist!$D$10:$D$2513=J$50)))</f>
        <v/>
      </c>
      <c r="K79" t="str" cm="1">
        <f t="array" ref="K79">IF($H79="","",SUMPRODUCT(--(Checklist!$E$10:$E$2513=$H79)*--(Checklist!$D$10:$D$2513=K$50)))</f>
        <v/>
      </c>
      <c r="L79" t="str" cm="1">
        <f t="array" ref="L79">IF($H79="","",SUMPRODUCT(--(Checklist!$E$10:$E$2513=$H79)*--(Checklist!$D$10:$D$2513=L$50)))</f>
        <v/>
      </c>
      <c r="M79" t="str" cm="1">
        <f t="array" ref="M79">IF($H79="","",SUMPRODUCT(--(Checklist!$E$10:$E$2513=$H79)*--(Checklist!$D$10:$D$2513=M$50)))</f>
        <v/>
      </c>
      <c r="N79" s="12" t="str">
        <f t="shared" si="6"/>
        <v/>
      </c>
      <c r="O79" s="12"/>
      <c r="Y79" s="12" t="str">
        <f>Values!$L$6</f>
        <v>Performance</v>
      </c>
      <c r="Z79">
        <f>COUNTIFS(Checklist!$D$10:$D$487, Y79, Checklist!$N$10:$N$487, "&lt;&gt;")</f>
        <v>0</v>
      </c>
    </row>
    <row r="80" spans="8:26">
      <c r="I80" t="str" cm="1">
        <f t="array" ref="I80">IF($H80="","",SUMPRODUCT(--(Checklist!$E$10:$E$2513=$H80)*--(Checklist!$D$10:$D$2513=I$50)))</f>
        <v/>
      </c>
      <c r="J80" t="str" cm="1">
        <f t="array" ref="J80">IF($H80="","",SUMPRODUCT(--(Checklist!$E$10:$E$2513=$H80)*--(Checklist!$D$10:$D$2513=J$50)))</f>
        <v/>
      </c>
      <c r="K80" t="str" cm="1">
        <f t="array" ref="K80">IF($H80="","",SUMPRODUCT(--(Checklist!$E$10:$E$2513=$H80)*--(Checklist!$D$10:$D$2513=K$50)))</f>
        <v/>
      </c>
      <c r="L80" t="str" cm="1">
        <f t="array" ref="L80">IF($H80="","",SUMPRODUCT(--(Checklist!$E$10:$E$2513=$H80)*--(Checklist!$D$10:$D$2513=L$50)))</f>
        <v/>
      </c>
      <c r="M80" t="str" cm="1">
        <f t="array" ref="M80">IF($H80="","",SUMPRODUCT(--(Checklist!$E$10:$E$2513=$H80)*--(Checklist!$D$10:$D$2513=M$50)))</f>
        <v/>
      </c>
      <c r="N80" s="12" t="str">
        <f t="shared" si="6"/>
        <v/>
      </c>
      <c r="O80" s="12"/>
      <c r="Z80" s="12">
        <f>SUM(Z75:Z79)</f>
        <v>7</v>
      </c>
    </row>
    <row r="81" spans="9:15">
      <c r="I81" t="str" cm="1">
        <f t="array" ref="I81">IF($H81="","",SUMPRODUCT(--(Checklist!$E$10:$E$2513=$H81)*--(Checklist!$D$10:$D$2513=I$50)))</f>
        <v/>
      </c>
      <c r="J81" t="str" cm="1">
        <f t="array" ref="J81">IF($H81="","",SUMPRODUCT(--(Checklist!$E$10:$E$2513=$H81)*--(Checklist!$D$10:$D$2513=J$50)))</f>
        <v/>
      </c>
      <c r="K81" t="str" cm="1">
        <f t="array" ref="K81">IF($H81="","",SUMPRODUCT(--(Checklist!$E$10:$E$2513=$H81)*--(Checklist!$D$10:$D$2513=K$50)))</f>
        <v/>
      </c>
      <c r="L81" t="str" cm="1">
        <f t="array" ref="L81">IF($H81="","",SUMPRODUCT(--(Checklist!$E$10:$E$2513=$H81)*--(Checklist!$D$10:$D$2513=L$50)))</f>
        <v/>
      </c>
      <c r="M81" t="str" cm="1">
        <f t="array" ref="M81">IF($H81="","",SUMPRODUCT(--(Checklist!$E$10:$E$2513=$H81)*--(Checklist!$D$10:$D$2513=M$50)))</f>
        <v/>
      </c>
      <c r="N81" s="12" t="str">
        <f t="shared" si="6"/>
        <v/>
      </c>
      <c r="O81" s="12"/>
    </row>
    <row r="82" spans="9:15">
      <c r="I82" t="str" cm="1">
        <f t="array" ref="I82">IF($H82="","",SUMPRODUCT(--(Checklist!$E$10:$E$2513=$H82)*--(Checklist!$D$10:$D$2513=I$50)))</f>
        <v/>
      </c>
      <c r="J82" t="str" cm="1">
        <f t="array" ref="J82">IF($H82="","",SUMPRODUCT(--(Checklist!$E$10:$E$2513=$H82)*--(Checklist!$D$10:$D$2513=J$50)))</f>
        <v/>
      </c>
      <c r="K82" t="str" cm="1">
        <f t="array" ref="K82">IF($H82="","",SUMPRODUCT(--(Checklist!$E$10:$E$2513=$H82)*--(Checklist!$D$10:$D$2513=K$50)))</f>
        <v/>
      </c>
      <c r="L82" t="str" cm="1">
        <f t="array" ref="L82">IF($H82="","",SUMPRODUCT(--(Checklist!$E$10:$E$2513=$H82)*--(Checklist!$D$10:$D$2513=L$50)))</f>
        <v/>
      </c>
      <c r="M82" t="str" cm="1">
        <f t="array" ref="M82">IF($H82="","",SUMPRODUCT(--(Checklist!$E$10:$E$2513=$H82)*--(Checklist!$D$10:$D$2513=M$50)))</f>
        <v/>
      </c>
      <c r="N82" s="12" t="str">
        <f t="shared" si="6"/>
        <v/>
      </c>
      <c r="O82" s="12"/>
    </row>
    <row r="83" spans="9:15">
      <c r="I83" t="str" cm="1">
        <f t="array" ref="I83">IF($H83="","",SUMPRODUCT(--(Checklist!$E$10:$E$2513=$H83)*--(Checklist!$D$10:$D$2513=I$50)))</f>
        <v/>
      </c>
      <c r="J83" t="str" cm="1">
        <f t="array" ref="J83">IF($H83="","",SUMPRODUCT(--(Checklist!$E$10:$E$2513=$H83)*--(Checklist!$D$10:$D$2513=J$50)))</f>
        <v/>
      </c>
      <c r="K83" t="str" cm="1">
        <f t="array" ref="K83">IF($H83="","",SUMPRODUCT(--(Checklist!$E$10:$E$2513=$H83)*--(Checklist!$D$10:$D$2513=K$50)))</f>
        <v/>
      </c>
      <c r="L83" t="str" cm="1">
        <f t="array" ref="L83">IF($H83="","",SUMPRODUCT(--(Checklist!$E$10:$E$2513=$H83)*--(Checklist!$D$10:$D$2513=L$50)))</f>
        <v/>
      </c>
      <c r="M83" t="str" cm="1">
        <f t="array" ref="M83">IF($H83="","",SUMPRODUCT(--(Checklist!$E$10:$E$2513=$H83)*--(Checklist!$D$10:$D$2513=M$50)))</f>
        <v/>
      </c>
      <c r="N83" s="12" t="str">
        <f t="shared" si="6"/>
        <v/>
      </c>
      <c r="O83" s="12"/>
    </row>
    <row r="84" spans="9:15">
      <c r="I84" t="str" cm="1">
        <f t="array" ref="I84">IF($H84="","",SUMPRODUCT(--(Checklist!$E$10:$E$2513=$H84)*--(Checklist!$D$10:$D$2513=I$50)))</f>
        <v/>
      </c>
      <c r="J84" t="str" cm="1">
        <f t="array" ref="J84">IF($H84="","",SUMPRODUCT(--(Checklist!$E$10:$E$2513=$H84)*--(Checklist!$D$10:$D$2513=J$50)))</f>
        <v/>
      </c>
      <c r="K84" t="str" cm="1">
        <f t="array" ref="K84">IF($H84="","",SUMPRODUCT(--(Checklist!$E$10:$E$2513=$H84)*--(Checklist!$D$10:$D$2513=K$50)))</f>
        <v/>
      </c>
      <c r="L84" t="str" cm="1">
        <f t="array" ref="L84">IF($H84="","",SUMPRODUCT(--(Checklist!$E$10:$E$2513=$H84)*--(Checklist!$D$10:$D$2513=L$50)))</f>
        <v/>
      </c>
      <c r="M84" t="str" cm="1">
        <f t="array" ref="M84">IF($H84="","",SUMPRODUCT(--(Checklist!$E$10:$E$2513=$H84)*--(Checklist!$D$10:$D$2513=M$50)))</f>
        <v/>
      </c>
      <c r="N84" s="12" t="str">
        <f t="shared" si="6"/>
        <v/>
      </c>
      <c r="O84" s="12"/>
    </row>
    <row r="85" spans="9:15">
      <c r="I85" t="str" cm="1">
        <f t="array" ref="I85">IF($H85="","",SUMPRODUCT(--(Checklist!$E$10:$E$2513=$H85)*--(Checklist!$D$10:$D$2513=I$50)))</f>
        <v/>
      </c>
      <c r="J85" t="str" cm="1">
        <f t="array" ref="J85">IF($H85="","",SUMPRODUCT(--(Checklist!$E$10:$E$2513=$H85)*--(Checklist!$D$10:$D$2513=J$50)))</f>
        <v/>
      </c>
      <c r="K85" t="str" cm="1">
        <f t="array" ref="K85">IF($H85="","",SUMPRODUCT(--(Checklist!$E$10:$E$2513=$H85)*--(Checklist!$D$10:$D$2513=K$50)))</f>
        <v/>
      </c>
      <c r="L85" t="str" cm="1">
        <f t="array" ref="L85">IF($H85="","",SUMPRODUCT(--(Checklist!$E$10:$E$2513=$H85)*--(Checklist!$D$10:$D$2513=L$50)))</f>
        <v/>
      </c>
      <c r="M85" t="str" cm="1">
        <f t="array" ref="M85">IF($H85="","",SUMPRODUCT(--(Checklist!$E$10:$E$2513=$H85)*--(Checklist!$D$10:$D$2513=M$50)))</f>
        <v/>
      </c>
      <c r="N85" s="12" t="str">
        <f t="shared" si="6"/>
        <v/>
      </c>
      <c r="O85" s="12"/>
    </row>
    <row r="86" spans="9:15">
      <c r="I86" t="str" cm="1">
        <f t="array" ref="I86">IF($H86="","",SUMPRODUCT(--(Checklist!$E$10:$E$2513=$H86)*--(Checklist!$D$10:$D$2513=I$50)))</f>
        <v/>
      </c>
      <c r="J86" t="str" cm="1">
        <f t="array" ref="J86">IF($H86="","",SUMPRODUCT(--(Checklist!$E$10:$E$2513=$H86)*--(Checklist!$D$10:$D$2513=J$50)))</f>
        <v/>
      </c>
      <c r="K86" t="str" cm="1">
        <f t="array" ref="K86">IF($H86="","",SUMPRODUCT(--(Checklist!$E$10:$E$2513=$H86)*--(Checklist!$D$10:$D$2513=K$50)))</f>
        <v/>
      </c>
      <c r="L86" t="str" cm="1">
        <f t="array" ref="L86">IF($H86="","",SUMPRODUCT(--(Checklist!$E$10:$E$2513=$H86)*--(Checklist!$D$10:$D$2513=L$50)))</f>
        <v/>
      </c>
      <c r="M86" t="str" cm="1">
        <f t="array" ref="M86">IF($H86="","",SUMPRODUCT(--(Checklist!$E$10:$E$2513=$H86)*--(Checklist!$D$10:$D$2513=M$50)))</f>
        <v/>
      </c>
      <c r="N86" s="12" t="str">
        <f t="shared" si="6"/>
        <v/>
      </c>
      <c r="O86" s="12"/>
    </row>
    <row r="87" spans="9:15">
      <c r="I87" t="str" cm="1">
        <f t="array" ref="I87">IF($H87="","",SUMPRODUCT(--(Checklist!$E$10:$E$2513=$H87)*--(Checklist!$D$10:$D$2513=I$50)))</f>
        <v/>
      </c>
      <c r="J87" t="str" cm="1">
        <f t="array" ref="J87">IF($H87="","",SUMPRODUCT(--(Checklist!$E$10:$E$2513=$H87)*--(Checklist!$D$10:$D$2513=J$50)))</f>
        <v/>
      </c>
      <c r="K87" t="str" cm="1">
        <f t="array" ref="K87">IF($H87="","",SUMPRODUCT(--(Checklist!$E$10:$E$2513=$H87)*--(Checklist!$D$10:$D$2513=K$50)))</f>
        <v/>
      </c>
      <c r="L87" t="str" cm="1">
        <f t="array" ref="L87">IF($H87="","",SUMPRODUCT(--(Checklist!$E$10:$E$2513=$H87)*--(Checklist!$D$10:$D$2513=L$50)))</f>
        <v/>
      </c>
      <c r="M87" t="str" cm="1">
        <f t="array" ref="M87">IF($H87="","",SUMPRODUCT(--(Checklist!$E$10:$E$2513=$H87)*--(Checklist!$D$10:$D$2513=M$50)))</f>
        <v/>
      </c>
      <c r="N87" s="12" t="str">
        <f t="shared" ref="N87:N95" si="7">IF($H87="","",SUM(I87:M87))</f>
        <v/>
      </c>
    </row>
    <row r="88" spans="9:15">
      <c r="I88" t="str" cm="1">
        <f t="array" ref="I88">IF($H88="","",SUMPRODUCT(--(Checklist!$E$10:$E$2513=$H88)*--(Checklist!$D$10:$D$2513=I$50)))</f>
        <v/>
      </c>
      <c r="J88" t="str" cm="1">
        <f t="array" ref="J88">IF($H88="","",SUMPRODUCT(--(Checklist!$E$10:$E$2513=$H88)*--(Checklist!$D$10:$D$2513=J$50)))</f>
        <v/>
      </c>
      <c r="K88" t="str" cm="1">
        <f t="array" ref="K88">IF($H88="","",SUMPRODUCT(--(Checklist!$E$10:$E$2513=$H88)*--(Checklist!$D$10:$D$2513=K$50)))</f>
        <v/>
      </c>
      <c r="L88" t="str" cm="1">
        <f t="array" ref="L88">IF($H88="","",SUMPRODUCT(--(Checklist!$E$10:$E$2513=$H88)*--(Checklist!$D$10:$D$2513=L$50)))</f>
        <v/>
      </c>
      <c r="M88" t="str" cm="1">
        <f t="array" ref="M88">IF($H88="","",SUMPRODUCT(--(Checklist!$E$10:$E$2513=$H88)*--(Checklist!$D$10:$D$2513=M$50)))</f>
        <v/>
      </c>
      <c r="N88" s="12" t="str">
        <f t="shared" si="7"/>
        <v/>
      </c>
    </row>
    <row r="89" spans="9:15">
      <c r="I89" t="str" cm="1">
        <f t="array" ref="I89">IF($H89="","",SUMPRODUCT(--(Checklist!$E$10:$E$2513=$H89)*--(Checklist!$D$10:$D$2513=I$50)))</f>
        <v/>
      </c>
      <c r="J89" t="str" cm="1">
        <f t="array" ref="J89">IF($H89="","",SUMPRODUCT(--(Checklist!$E$10:$E$2513=$H89)*--(Checklist!$D$10:$D$2513=J$50)))</f>
        <v/>
      </c>
      <c r="K89" t="str" cm="1">
        <f t="array" ref="K89">IF($H89="","",SUMPRODUCT(--(Checklist!$E$10:$E$2513=$H89)*--(Checklist!$D$10:$D$2513=K$50)))</f>
        <v/>
      </c>
      <c r="L89" t="str" cm="1">
        <f t="array" ref="L89">IF($H89="","",SUMPRODUCT(--(Checklist!$E$10:$E$2513=$H89)*--(Checklist!$D$10:$D$2513=L$50)))</f>
        <v/>
      </c>
      <c r="M89" t="str" cm="1">
        <f t="array" ref="M89">IF($H89="","",SUMPRODUCT(--(Checklist!$E$10:$E$2513=$H89)*--(Checklist!$D$10:$D$2513=M$50)))</f>
        <v/>
      </c>
      <c r="N89" s="12" t="str">
        <f t="shared" si="7"/>
        <v/>
      </c>
    </row>
    <row r="90" spans="9:15">
      <c r="I90" t="str" cm="1">
        <f t="array" ref="I90">IF($H90="","",SUMPRODUCT(--(Checklist!$E$10:$E$2513=$H90)*--(Checklist!$D$10:$D$2513=I$50)))</f>
        <v/>
      </c>
      <c r="J90" t="str" cm="1">
        <f t="array" ref="J90">IF($H90="","",SUMPRODUCT(--(Checklist!$E$10:$E$2513=$H90)*--(Checklist!$D$10:$D$2513=J$50)))</f>
        <v/>
      </c>
      <c r="K90" t="str" cm="1">
        <f t="array" ref="K90">IF($H90="","",SUMPRODUCT(--(Checklist!$E$10:$E$2513=$H90)*--(Checklist!$D$10:$D$2513=K$50)))</f>
        <v/>
      </c>
      <c r="L90" t="str" cm="1">
        <f t="array" ref="L90">IF($H90="","",SUMPRODUCT(--(Checklist!$E$10:$E$2513=$H90)*--(Checklist!$D$10:$D$2513=L$50)))</f>
        <v/>
      </c>
      <c r="M90" t="str" cm="1">
        <f t="array" ref="M90">IF($H90="","",SUMPRODUCT(--(Checklist!$E$10:$E$2513=$H90)*--(Checklist!$D$10:$D$2513=M$50)))</f>
        <v/>
      </c>
      <c r="N90" s="12" t="str">
        <f t="shared" si="7"/>
        <v/>
      </c>
    </row>
    <row r="91" spans="9:15">
      <c r="I91" t="str" cm="1">
        <f t="array" ref="I91">IF($H91="","",SUMPRODUCT(--(Checklist!$E$10:$E$2513=$H91)*--(Checklist!$D$10:$D$2513=I$50)))</f>
        <v/>
      </c>
      <c r="J91" t="str" cm="1">
        <f t="array" ref="J91">IF($H91="","",SUMPRODUCT(--(Checklist!$E$10:$E$2513=$H91)*--(Checklist!$D$10:$D$2513=J$50)))</f>
        <v/>
      </c>
      <c r="K91" t="str" cm="1">
        <f t="array" ref="K91">IF($H91="","",SUMPRODUCT(--(Checklist!$E$10:$E$2513=$H91)*--(Checklist!$D$10:$D$2513=K$50)))</f>
        <v/>
      </c>
      <c r="L91" t="str" cm="1">
        <f t="array" ref="L91">IF($H91="","",SUMPRODUCT(--(Checklist!$E$10:$E$2513=$H91)*--(Checklist!$D$10:$D$2513=L$50)))</f>
        <v/>
      </c>
      <c r="M91" t="str" cm="1">
        <f t="array" ref="M91">IF($H91="","",SUMPRODUCT(--(Checklist!$E$10:$E$2513=$H91)*--(Checklist!$D$10:$D$2513=M$50)))</f>
        <v/>
      </c>
      <c r="N91" s="12" t="str">
        <f t="shared" si="7"/>
        <v/>
      </c>
    </row>
    <row r="92" spans="9:15">
      <c r="I92" t="str" cm="1">
        <f t="array" ref="I92">IF($H92="","",SUMPRODUCT(--(Checklist!$E$10:$E$2513=$H92)*--(Checklist!$D$10:$D$2513=I$50)))</f>
        <v/>
      </c>
      <c r="J92" t="str" cm="1">
        <f t="array" ref="J92">IF($H92="","",SUMPRODUCT(--(Checklist!$E$10:$E$2513=$H92)*--(Checklist!$D$10:$D$2513=J$50)))</f>
        <v/>
      </c>
      <c r="K92" t="str" cm="1">
        <f t="array" ref="K92">IF($H92="","",SUMPRODUCT(--(Checklist!$E$10:$E$2513=$H92)*--(Checklist!$D$10:$D$2513=K$50)))</f>
        <v/>
      </c>
      <c r="L92" t="str" cm="1">
        <f t="array" ref="L92">IF($H92="","",SUMPRODUCT(--(Checklist!$E$10:$E$2513=$H92)*--(Checklist!$D$10:$D$2513=L$50)))</f>
        <v/>
      </c>
      <c r="M92" t="str" cm="1">
        <f t="array" ref="M92">IF($H92="","",SUMPRODUCT(--(Checklist!$E$10:$E$2513=$H92)*--(Checklist!$D$10:$D$2513=M$50)))</f>
        <v/>
      </c>
      <c r="N92" s="12" t="str">
        <f t="shared" si="7"/>
        <v/>
      </c>
    </row>
    <row r="93" spans="9:15">
      <c r="I93" t="str" cm="1">
        <f t="array" ref="I93">IF($H93="","",SUMPRODUCT(--(Checklist!$E$10:$E$2513=$H93)*--(Checklist!$D$10:$D$2513=I$50)))</f>
        <v/>
      </c>
      <c r="J93" t="str" cm="1">
        <f t="array" ref="J93">IF($H93="","",SUMPRODUCT(--(Checklist!$E$10:$E$2513=$H93)*--(Checklist!$D$10:$D$2513=J$50)))</f>
        <v/>
      </c>
      <c r="K93" t="str" cm="1">
        <f t="array" ref="K93">IF($H93="","",SUMPRODUCT(--(Checklist!$E$10:$E$2513=$H93)*--(Checklist!$D$10:$D$2513=K$50)))</f>
        <v/>
      </c>
      <c r="L93" t="str" cm="1">
        <f t="array" ref="L93">IF($H93="","",SUMPRODUCT(--(Checklist!$E$10:$E$2513=$H93)*--(Checklist!$D$10:$D$2513=L$50)))</f>
        <v/>
      </c>
      <c r="M93" t="str" cm="1">
        <f t="array" ref="M93">IF($H93="","",SUMPRODUCT(--(Checklist!$E$10:$E$2513=$H93)*--(Checklist!$D$10:$D$2513=M$50)))</f>
        <v/>
      </c>
      <c r="N93" s="12" t="str">
        <f t="shared" si="7"/>
        <v/>
      </c>
    </row>
    <row r="94" spans="9:15">
      <c r="I94" t="str" cm="1">
        <f t="array" ref="I94">IF($H94="","",SUMPRODUCT(--(Checklist!$E$10:$E$2513=$H94)*--(Checklist!$D$10:$D$2513=I$50)))</f>
        <v/>
      </c>
      <c r="J94" t="str" cm="1">
        <f t="array" ref="J94">IF($H94="","",SUMPRODUCT(--(Checklist!$E$10:$E$2513=$H94)*--(Checklist!$D$10:$D$2513=J$50)))</f>
        <v/>
      </c>
      <c r="K94" t="str" cm="1">
        <f t="array" ref="K94">IF($H94="","",SUMPRODUCT(--(Checklist!$E$10:$E$2513=$H94)*--(Checklist!$D$10:$D$2513=K$50)))</f>
        <v/>
      </c>
      <c r="L94" t="str" cm="1">
        <f t="array" ref="L94">IF($H94="","",SUMPRODUCT(--(Checklist!$E$10:$E$2513=$H94)*--(Checklist!$D$10:$D$2513=L$50)))</f>
        <v/>
      </c>
      <c r="M94" t="str" cm="1">
        <f t="array" ref="M94">IF($H94="","",SUMPRODUCT(--(Checklist!$E$10:$E$2513=$H94)*--(Checklist!$D$10:$D$2513=M$50)))</f>
        <v/>
      </c>
      <c r="N94" s="12" t="str">
        <f t="shared" si="7"/>
        <v/>
      </c>
    </row>
    <row r="95" spans="9:15">
      <c r="I95" t="str" cm="1">
        <f t="array" ref="I95">IF($H95="","",SUMPRODUCT(--(Checklist!$E$10:$E$2513=$H95)*--(Checklist!$D$10:$D$2513=I$50)))</f>
        <v/>
      </c>
      <c r="J95" t="str" cm="1">
        <f t="array" ref="J95">IF($H95="","",SUMPRODUCT(--(Checklist!$E$10:$E$2513=$H95)*--(Checklist!$D$10:$D$2513=J$50)))</f>
        <v/>
      </c>
      <c r="K95" t="str" cm="1">
        <f t="array" ref="K95">IF($H95="","",SUMPRODUCT(--(Checklist!$E$10:$E$2513=$H95)*--(Checklist!$D$10:$D$2513=K$50)))</f>
        <v/>
      </c>
      <c r="L95" t="str" cm="1">
        <f t="array" ref="L95">IF($H95="","",SUMPRODUCT(--(Checklist!$E$10:$E$2513=$H95)*--(Checklist!$D$10:$D$2513=L$50)))</f>
        <v/>
      </c>
      <c r="M95" t="str" cm="1">
        <f t="array" ref="M95">IF($H95="","",SUMPRODUCT(--(Checklist!$E$10:$E$2513=$H95)*--(Checklist!$D$10:$D$2513=M$50)))</f>
        <v/>
      </c>
      <c r="N95" s="12" t="str">
        <f t="shared" si="7"/>
        <v/>
      </c>
    </row>
    <row r="96" spans="9:15">
      <c r="I96" t="str" cm="1">
        <f t="array" ref="I96">IF($H96="","",SUMPRODUCT(--(Checklist!$E$10:$E$2513=$H96)*--(Checklist!$D$10:$D$2513=I$50)))</f>
        <v/>
      </c>
      <c r="J96" t="str" cm="1">
        <f t="array" ref="J96">IF($H96="","",SUMPRODUCT(--(Checklist!$E$10:$E$2513=$H96)*--(Checklist!$D$10:$D$2513=J$50)))</f>
        <v/>
      </c>
      <c r="K96" t="str" cm="1">
        <f t="array" ref="K96">IF($H96="","",SUMPRODUCT(--(Checklist!$E$10:$E$2513=$H96)*--(Checklist!$D$10:$D$2513=K$50)))</f>
        <v/>
      </c>
      <c r="L96" t="str" cm="1">
        <f t="array" ref="L96">IF($H96="","",SUMPRODUCT(--(Checklist!$E$10:$E$2513=$H96)*--(Checklist!$D$10:$D$2513=L$50)))</f>
        <v/>
      </c>
      <c r="M96" t="str" cm="1">
        <f t="array" ref="M96">IF($H96="","",SUMPRODUCT(--(Checklist!$E$10:$E$2513=$H96)*--(Checklist!$D$10:$D$2513=M$50)))</f>
        <v/>
      </c>
      <c r="N96" s="12" t="str">
        <f t="shared" ref="N96:N105" si="8">IF($H96="","",SUM(I96:M96))</f>
        <v/>
      </c>
    </row>
    <row r="97" spans="9:14">
      <c r="I97" t="str" cm="1">
        <f t="array" ref="I97">IF($H97="","",SUMPRODUCT(--(Checklist!$E$10:$E$2513=$H97)*--(Checklist!$D$10:$D$2513=I$50)))</f>
        <v/>
      </c>
      <c r="J97" t="str" cm="1">
        <f t="array" ref="J97">IF($H97="","",SUMPRODUCT(--(Checklist!$E$10:$E$2513=$H97)*--(Checklist!$D$10:$D$2513=J$50)))</f>
        <v/>
      </c>
      <c r="K97" t="str" cm="1">
        <f t="array" ref="K97">IF($H97="","",SUMPRODUCT(--(Checklist!$E$10:$E$2513=$H97)*--(Checklist!$D$10:$D$2513=K$50)))</f>
        <v/>
      </c>
      <c r="L97" t="str" cm="1">
        <f t="array" ref="L97">IF($H97="","",SUMPRODUCT(--(Checklist!$E$10:$E$2513=$H97)*--(Checklist!$D$10:$D$2513=L$50)))</f>
        <v/>
      </c>
      <c r="M97" t="str" cm="1">
        <f t="array" ref="M97">IF($H97="","",SUMPRODUCT(--(Checklist!$E$10:$E$2513=$H97)*--(Checklist!$D$10:$D$2513=M$50)))</f>
        <v/>
      </c>
      <c r="N97" s="12" t="str">
        <f t="shared" si="8"/>
        <v/>
      </c>
    </row>
    <row r="98" spans="9:14">
      <c r="I98" t="str" cm="1">
        <f t="array" ref="I98">IF($H98="","",SUMPRODUCT(--(Checklist!$E$10:$E$2513=$H98)*--(Checklist!$D$10:$D$2513=I$50)))</f>
        <v/>
      </c>
      <c r="J98" t="str" cm="1">
        <f t="array" ref="J98">IF($H98="","",SUMPRODUCT(--(Checklist!$E$10:$E$2513=$H98)*--(Checklist!$D$10:$D$2513=J$50)))</f>
        <v/>
      </c>
      <c r="K98" t="str" cm="1">
        <f t="array" ref="K98">IF($H98="","",SUMPRODUCT(--(Checklist!$E$10:$E$2513=$H98)*--(Checklist!$D$10:$D$2513=K$50)))</f>
        <v/>
      </c>
      <c r="L98" t="str" cm="1">
        <f t="array" ref="L98">IF($H98="","",SUMPRODUCT(--(Checklist!$E$10:$E$2513=$H98)*--(Checklist!$D$10:$D$2513=L$50)))</f>
        <v/>
      </c>
      <c r="M98" t="str" cm="1">
        <f t="array" ref="M98">IF($H98="","",SUMPRODUCT(--(Checklist!$E$10:$E$2513=$H98)*--(Checklist!$D$10:$D$2513=M$50)))</f>
        <v/>
      </c>
      <c r="N98" s="12" t="str">
        <f t="shared" si="8"/>
        <v/>
      </c>
    </row>
    <row r="99" spans="9:14">
      <c r="I99" t="str" cm="1">
        <f t="array" ref="I99">IF($H99="","",SUMPRODUCT(--(Checklist!$E$10:$E$2513=$H99)*--(Checklist!$D$10:$D$2513=I$50)))</f>
        <v/>
      </c>
      <c r="J99" t="str" cm="1">
        <f t="array" ref="J99">IF($H99="","",SUMPRODUCT(--(Checklist!$E$10:$E$2513=$H99)*--(Checklist!$D$10:$D$2513=J$50)))</f>
        <v/>
      </c>
      <c r="K99" t="str" cm="1">
        <f t="array" ref="K99">IF($H99="","",SUMPRODUCT(--(Checklist!$E$10:$E$2513=$H99)*--(Checklist!$D$10:$D$2513=K$50)))</f>
        <v/>
      </c>
      <c r="L99" t="str" cm="1">
        <f t="array" ref="L99">IF($H99="","",SUMPRODUCT(--(Checklist!$E$10:$E$2513=$H99)*--(Checklist!$D$10:$D$2513=L$50)))</f>
        <v/>
      </c>
      <c r="M99" t="str" cm="1">
        <f t="array" ref="M99">IF($H99="","",SUMPRODUCT(--(Checklist!$E$10:$E$2513=$H99)*--(Checklist!$D$10:$D$2513=M$50)))</f>
        <v/>
      </c>
      <c r="N99" s="12" t="str">
        <f t="shared" si="8"/>
        <v/>
      </c>
    </row>
    <row r="100" spans="9:14">
      <c r="I100" t="str" cm="1">
        <f t="array" ref="I100">IF($H100="","",SUMPRODUCT(--(Checklist!$E$10:$E$2513=$H100)*--(Checklist!$D$10:$D$2513=I$50)))</f>
        <v/>
      </c>
      <c r="J100" t="str" cm="1">
        <f t="array" ref="J100">IF($H100="","",SUMPRODUCT(--(Checklist!$E$10:$E$2513=$H100)*--(Checklist!$D$10:$D$2513=J$50)))</f>
        <v/>
      </c>
      <c r="K100" t="str" cm="1">
        <f t="array" ref="K100">IF($H100="","",SUMPRODUCT(--(Checklist!$E$10:$E$2513=$H100)*--(Checklist!$D$10:$D$2513=K$50)))</f>
        <v/>
      </c>
      <c r="L100" t="str" cm="1">
        <f t="array" ref="L100">IF($H100="","",SUMPRODUCT(--(Checklist!$E$10:$E$2513=$H100)*--(Checklist!$D$10:$D$2513=L$50)))</f>
        <v/>
      </c>
      <c r="M100" t="str" cm="1">
        <f t="array" ref="M100">IF($H100="","",SUMPRODUCT(--(Checklist!$E$10:$E$2513=$H100)*--(Checklist!$D$10:$D$2513=M$50)))</f>
        <v/>
      </c>
      <c r="N100" s="12" t="str">
        <f t="shared" si="8"/>
        <v/>
      </c>
    </row>
    <row r="101" spans="9:14">
      <c r="I101" t="str" cm="1">
        <f t="array" ref="I101">IF($H101="","",SUMPRODUCT(--(Checklist!$E$10:$E$2513=$H101)*--(Checklist!$D$10:$D$2513=I$50)))</f>
        <v/>
      </c>
      <c r="J101" t="str" cm="1">
        <f t="array" ref="J101">IF($H101="","",SUMPRODUCT(--(Checklist!$E$10:$E$2513=$H101)*--(Checklist!$D$10:$D$2513=J$50)))</f>
        <v/>
      </c>
      <c r="K101" t="str" cm="1">
        <f t="array" ref="K101">IF($H101="","",SUMPRODUCT(--(Checklist!$E$10:$E$2513=$H101)*--(Checklist!$D$10:$D$2513=K$50)))</f>
        <v/>
      </c>
      <c r="L101" t="str" cm="1">
        <f t="array" ref="L101">IF($H101="","",SUMPRODUCT(--(Checklist!$E$10:$E$2513=$H101)*--(Checklist!$D$10:$D$2513=L$50)))</f>
        <v/>
      </c>
      <c r="M101" t="str" cm="1">
        <f t="array" ref="M101">IF($H101="","",SUMPRODUCT(--(Checklist!$E$10:$E$2513=$H101)*--(Checklist!$D$10:$D$2513=M$50)))</f>
        <v/>
      </c>
      <c r="N101" s="12" t="str">
        <f t="shared" si="8"/>
        <v/>
      </c>
    </row>
    <row r="102" spans="9:14">
      <c r="I102" t="str" cm="1">
        <f t="array" ref="I102">IF($H102="","",SUMPRODUCT(--(Checklist!$E$10:$E$2513=$H102)*--(Checklist!$D$10:$D$2513=I$50)))</f>
        <v/>
      </c>
      <c r="J102" t="str" cm="1">
        <f t="array" ref="J102">IF($H102="","",SUMPRODUCT(--(Checklist!$E$10:$E$2513=$H102)*--(Checklist!$D$10:$D$2513=J$50)))</f>
        <v/>
      </c>
      <c r="K102" t="str" cm="1">
        <f t="array" ref="K102">IF($H102="","",SUMPRODUCT(--(Checklist!$E$10:$E$2513=$H102)*--(Checklist!$D$10:$D$2513=K$50)))</f>
        <v/>
      </c>
      <c r="L102" t="str" cm="1">
        <f t="array" ref="L102">IF($H102="","",SUMPRODUCT(--(Checklist!$E$10:$E$2513=$H102)*--(Checklist!$D$10:$D$2513=L$50)))</f>
        <v/>
      </c>
      <c r="M102" t="str" cm="1">
        <f t="array" ref="M102">IF($H102="","",SUMPRODUCT(--(Checklist!$E$10:$E$2513=$H102)*--(Checklist!$D$10:$D$2513=M$50)))</f>
        <v/>
      </c>
      <c r="N102" s="12" t="str">
        <f t="shared" si="8"/>
        <v/>
      </c>
    </row>
    <row r="103" spans="9:14">
      <c r="I103" t="str" cm="1">
        <f t="array" ref="I103">IF($H103="","",SUMPRODUCT(--(Checklist!$E$10:$E$2513=$H103)*--(Checklist!$D$10:$D$2513=I$50)))</f>
        <v/>
      </c>
      <c r="J103" t="str" cm="1">
        <f t="array" ref="J103">IF($H103="","",SUMPRODUCT(--(Checklist!$E$10:$E$2513=$H103)*--(Checklist!$D$10:$D$2513=J$50)))</f>
        <v/>
      </c>
      <c r="K103" t="str" cm="1">
        <f t="array" ref="K103">IF($H103="","",SUMPRODUCT(--(Checklist!$E$10:$E$2513=$H103)*--(Checklist!$D$10:$D$2513=K$50)))</f>
        <v/>
      </c>
      <c r="L103" t="str" cm="1">
        <f t="array" ref="L103">IF($H103="","",SUMPRODUCT(--(Checklist!$E$10:$E$2513=$H103)*--(Checklist!$D$10:$D$2513=L$50)))</f>
        <v/>
      </c>
      <c r="M103" t="str" cm="1">
        <f t="array" ref="M103">IF($H103="","",SUMPRODUCT(--(Checklist!$E$10:$E$2513=$H103)*--(Checklist!$D$10:$D$2513=M$50)))</f>
        <v/>
      </c>
      <c r="N103" s="12" t="str">
        <f t="shared" si="8"/>
        <v/>
      </c>
    </row>
    <row r="104" spans="9:14">
      <c r="I104" t="str" cm="1">
        <f t="array" ref="I104">IF($H104="","",SUMPRODUCT(--(Checklist!$E$10:$E$2513=$H104)*--(Checklist!$D$10:$D$2513=I$50)))</f>
        <v/>
      </c>
      <c r="J104" t="str" cm="1">
        <f t="array" ref="J104">IF($H104="","",SUMPRODUCT(--(Checklist!$E$10:$E$2513=$H104)*--(Checklist!$D$10:$D$2513=J$50)))</f>
        <v/>
      </c>
      <c r="K104" t="str" cm="1">
        <f t="array" ref="K104">IF($H104="","",SUMPRODUCT(--(Checklist!$E$10:$E$2513=$H104)*--(Checklist!$D$10:$D$2513=K$50)))</f>
        <v/>
      </c>
      <c r="L104" t="str" cm="1">
        <f t="array" ref="L104">IF($H104="","",SUMPRODUCT(--(Checklist!$E$10:$E$2513=$H104)*--(Checklist!$D$10:$D$2513=L$50)))</f>
        <v/>
      </c>
      <c r="M104" t="str" cm="1">
        <f t="array" ref="M104">IF($H104="","",SUMPRODUCT(--(Checklist!$E$10:$E$2513=$H104)*--(Checklist!$D$10:$D$2513=M$50)))</f>
        <v/>
      </c>
      <c r="N104" s="12" t="str">
        <f t="shared" si="8"/>
        <v/>
      </c>
    </row>
    <row r="105" spans="9:14">
      <c r="I105" t="str" cm="1">
        <f t="array" ref="I105">IF($H105="","",SUMPRODUCT(--(Checklist!$E$10:$E$2513=$H105)*--(Checklist!$D$10:$D$2513=I$50)))</f>
        <v/>
      </c>
      <c r="J105" t="str" cm="1">
        <f t="array" ref="J105">IF($H105="","",SUMPRODUCT(--(Checklist!$E$10:$E$2513=$H105)*--(Checklist!$D$10:$D$2513=J$50)))</f>
        <v/>
      </c>
      <c r="K105" t="str" cm="1">
        <f t="array" ref="K105">IF($H105="","",SUMPRODUCT(--(Checklist!$E$10:$E$2513=$H105)*--(Checklist!$D$10:$D$2513=K$50)))</f>
        <v/>
      </c>
      <c r="L105" t="str" cm="1">
        <f t="array" ref="L105">IF($H105="","",SUMPRODUCT(--(Checklist!$E$10:$E$2513=$H105)*--(Checklist!$D$10:$D$2513=L$50)))</f>
        <v/>
      </c>
      <c r="M105" t="str" cm="1">
        <f t="array" ref="M105">IF($H105="","",SUMPRODUCT(--(Checklist!$E$10:$E$2513=$H105)*--(Checklist!$D$10:$D$2513=M$50)))</f>
        <v/>
      </c>
      <c r="N105" s="12" t="str">
        <f t="shared" si="8"/>
        <v/>
      </c>
    </row>
    <row r="106" spans="9:14">
      <c r="I106" t="str" cm="1">
        <f t="array" ref="I106">IF($H106="","",SUMPRODUCT(--(Checklist!$E$10:$E$2513=$H106)*--(Checklist!$D$10:$D$2513=I$50)))</f>
        <v/>
      </c>
      <c r="J106" t="str" cm="1">
        <f t="array" ref="J106">IF($H106="","",SUMPRODUCT(--(Checklist!$E$10:$E$2513=$H106)*--(Checklist!$D$10:$D$2513=J$50)))</f>
        <v/>
      </c>
      <c r="K106" t="str" cm="1">
        <f t="array" ref="K106">IF($H106="","",SUMPRODUCT(--(Checklist!$E$10:$E$2513=$H106)*--(Checklist!$D$10:$D$2513=K$50)))</f>
        <v/>
      </c>
      <c r="L106" t="str" cm="1">
        <f t="array" ref="L106">IF($H106="","",SUMPRODUCT(--(Checklist!$E$10:$E$2513=$H106)*--(Checklist!$D$10:$D$2513=L$50)))</f>
        <v/>
      </c>
      <c r="M106" t="str" cm="1">
        <f t="array" ref="M106">IF($H106="","",SUMPRODUCT(--(Checklist!$E$10:$E$2513=$H106)*--(Checklist!$D$10:$D$2513=M$50)))</f>
        <v/>
      </c>
      <c r="N106" s="12" t="str">
        <f t="shared" ref="N106:N122" si="9">IF($H106="","",SUM(I106:M106))</f>
        <v/>
      </c>
    </row>
    <row r="107" spans="9:14">
      <c r="I107" t="str" cm="1">
        <f t="array" ref="I107">IF($H107="","",SUMPRODUCT(--(Checklist!$E$10:$E$2513=$H107)*--(Checklist!$D$10:$D$2513=I$50)))</f>
        <v/>
      </c>
      <c r="J107" t="str" cm="1">
        <f t="array" ref="J107">IF($H107="","",SUMPRODUCT(--(Checklist!$E$10:$E$2513=$H107)*--(Checklist!$D$10:$D$2513=J$50)))</f>
        <v/>
      </c>
      <c r="K107" t="str" cm="1">
        <f t="array" ref="K107">IF($H107="","",SUMPRODUCT(--(Checklist!$E$10:$E$2513=$H107)*--(Checklist!$D$10:$D$2513=K$50)))</f>
        <v/>
      </c>
      <c r="L107" t="str" cm="1">
        <f t="array" ref="L107">IF($H107="","",SUMPRODUCT(--(Checklist!$E$10:$E$2513=$H107)*--(Checklist!$D$10:$D$2513=L$50)))</f>
        <v/>
      </c>
      <c r="M107" t="str" cm="1">
        <f t="array" ref="M107">IF($H107="","",SUMPRODUCT(--(Checklist!$E$10:$E$2513=$H107)*--(Checklist!$D$10:$D$2513=M$50)))</f>
        <v/>
      </c>
      <c r="N107" s="12" t="str">
        <f t="shared" si="9"/>
        <v/>
      </c>
    </row>
    <row r="108" spans="9:14">
      <c r="I108" t="str" cm="1">
        <f t="array" ref="I108">IF($H108="","",SUMPRODUCT(--(Checklist!$E$10:$E$2513=$H108)*--(Checklist!$D$10:$D$2513=I$50)))</f>
        <v/>
      </c>
      <c r="J108" t="str" cm="1">
        <f t="array" ref="J108">IF($H108="","",SUMPRODUCT(--(Checklist!$E$10:$E$2513=$H108)*--(Checklist!$D$10:$D$2513=J$50)))</f>
        <v/>
      </c>
      <c r="K108" t="str" cm="1">
        <f t="array" ref="K108">IF($H108="","",SUMPRODUCT(--(Checklist!$E$10:$E$2513=$H108)*--(Checklist!$D$10:$D$2513=K$50)))</f>
        <v/>
      </c>
      <c r="L108" t="str" cm="1">
        <f t="array" ref="L108">IF($H108="","",SUMPRODUCT(--(Checklist!$E$10:$E$2513=$H108)*--(Checklist!$D$10:$D$2513=L$50)))</f>
        <v/>
      </c>
      <c r="M108" t="str" cm="1">
        <f t="array" ref="M108">IF($H108="","",SUMPRODUCT(--(Checklist!$E$10:$E$2513=$H108)*--(Checklist!$D$10:$D$2513=M$50)))</f>
        <v/>
      </c>
      <c r="N108" s="12" t="str">
        <f t="shared" si="9"/>
        <v/>
      </c>
    </row>
    <row r="109" spans="9:14">
      <c r="I109" t="str" cm="1">
        <f t="array" ref="I109">IF($H109="","",SUMPRODUCT(--(Checklist!$E$10:$E$2513=$H109)*--(Checklist!$D$10:$D$2513=I$50)))</f>
        <v/>
      </c>
      <c r="J109" t="str" cm="1">
        <f t="array" ref="J109">IF($H109="","",SUMPRODUCT(--(Checklist!$E$10:$E$2513=$H109)*--(Checklist!$D$10:$D$2513=J$50)))</f>
        <v/>
      </c>
      <c r="K109" t="str" cm="1">
        <f t="array" ref="K109">IF($H109="","",SUMPRODUCT(--(Checklist!$E$10:$E$2513=$H109)*--(Checklist!$D$10:$D$2513=K$50)))</f>
        <v/>
      </c>
      <c r="L109" t="str" cm="1">
        <f t="array" ref="L109">IF($H109="","",SUMPRODUCT(--(Checklist!$E$10:$E$2513=$H109)*--(Checklist!$D$10:$D$2513=L$50)))</f>
        <v/>
      </c>
      <c r="M109" t="str" cm="1">
        <f t="array" ref="M109">IF($H109="","",SUMPRODUCT(--(Checklist!$E$10:$E$2513=$H109)*--(Checklist!$D$10:$D$2513=M$50)))</f>
        <v/>
      </c>
      <c r="N109" s="12" t="str">
        <f t="shared" si="9"/>
        <v/>
      </c>
    </row>
    <row r="110" spans="9:14">
      <c r="I110" t="str" cm="1">
        <f t="array" ref="I110">IF($H110="","",SUMPRODUCT(--(Checklist!$E$10:$E$2513=$H110)*--(Checklist!$D$10:$D$2513=I$50)))</f>
        <v/>
      </c>
      <c r="J110" t="str" cm="1">
        <f t="array" ref="J110">IF($H110="","",SUMPRODUCT(--(Checklist!$E$10:$E$2513=$H110)*--(Checklist!$D$10:$D$2513=J$50)))</f>
        <v/>
      </c>
      <c r="K110" t="str" cm="1">
        <f t="array" ref="K110">IF($H110="","",SUMPRODUCT(--(Checklist!$E$10:$E$2513=$H110)*--(Checklist!$D$10:$D$2513=K$50)))</f>
        <v/>
      </c>
      <c r="L110" t="str" cm="1">
        <f t="array" ref="L110">IF($H110="","",SUMPRODUCT(--(Checklist!$E$10:$E$2513=$H110)*--(Checklist!$D$10:$D$2513=L$50)))</f>
        <v/>
      </c>
      <c r="M110" t="str" cm="1">
        <f t="array" ref="M110">IF($H110="","",SUMPRODUCT(--(Checklist!$E$10:$E$2513=$H110)*--(Checklist!$D$10:$D$2513=M$50)))</f>
        <v/>
      </c>
      <c r="N110" s="12" t="str">
        <f t="shared" si="9"/>
        <v/>
      </c>
    </row>
    <row r="111" spans="9:14">
      <c r="I111" t="str" cm="1">
        <f t="array" ref="I111">IF($H111="","",SUMPRODUCT(--(Checklist!$E$10:$E$2513=$H111)*--(Checklist!$D$10:$D$2513=I$50)))</f>
        <v/>
      </c>
      <c r="J111" t="str" cm="1">
        <f t="array" ref="J111">IF($H111="","",SUMPRODUCT(--(Checklist!$E$10:$E$2513=$H111)*--(Checklist!$D$10:$D$2513=J$50)))</f>
        <v/>
      </c>
      <c r="K111" t="str" cm="1">
        <f t="array" ref="K111">IF($H111="","",SUMPRODUCT(--(Checklist!$E$10:$E$2513=$H111)*--(Checklist!$D$10:$D$2513=K$50)))</f>
        <v/>
      </c>
      <c r="L111" t="str" cm="1">
        <f t="array" ref="L111">IF($H111="","",SUMPRODUCT(--(Checklist!$E$10:$E$2513=$H111)*--(Checklist!$D$10:$D$2513=L$50)))</f>
        <v/>
      </c>
      <c r="M111" t="str" cm="1">
        <f t="array" ref="M111">IF($H111="","",SUMPRODUCT(--(Checklist!$E$10:$E$2513=$H111)*--(Checklist!$D$10:$D$2513=M$50)))</f>
        <v/>
      </c>
      <c r="N111" s="12" t="str">
        <f t="shared" si="9"/>
        <v/>
      </c>
    </row>
    <row r="112" spans="9:14">
      <c r="I112" t="str" cm="1">
        <f t="array" ref="I112">IF($H112="","",SUMPRODUCT(--(Checklist!$E$10:$E$2513=$H112)*--(Checklist!$D$10:$D$2513=I$50)))</f>
        <v/>
      </c>
      <c r="J112" t="str" cm="1">
        <f t="array" ref="J112">IF($H112="","",SUMPRODUCT(--(Checklist!$E$10:$E$2513=$H112)*--(Checklist!$D$10:$D$2513=J$50)))</f>
        <v/>
      </c>
      <c r="K112" t="str" cm="1">
        <f t="array" ref="K112">IF($H112="","",SUMPRODUCT(--(Checklist!$E$10:$E$2513=$H112)*--(Checklist!$D$10:$D$2513=K$50)))</f>
        <v/>
      </c>
      <c r="L112" t="str" cm="1">
        <f t="array" ref="L112">IF($H112="","",SUMPRODUCT(--(Checklist!$E$10:$E$2513=$H112)*--(Checklist!$D$10:$D$2513=L$50)))</f>
        <v/>
      </c>
      <c r="M112" t="str" cm="1">
        <f t="array" ref="M112">IF($H112="","",SUMPRODUCT(--(Checklist!$E$10:$E$2513=$H112)*--(Checklist!$D$10:$D$2513=M$50)))</f>
        <v/>
      </c>
      <c r="N112" s="12" t="str">
        <f t="shared" si="9"/>
        <v/>
      </c>
    </row>
    <row r="113" spans="8:14">
      <c r="I113" t="str" cm="1">
        <f t="array" ref="I113">IF($H113="","",SUMPRODUCT(--(Checklist!$E$10:$E$2513=$H113)*--(Checklist!$D$10:$D$2513=I$50)))</f>
        <v/>
      </c>
      <c r="J113" t="str" cm="1">
        <f t="array" ref="J113">IF($H113="","",SUMPRODUCT(--(Checklist!$E$10:$E$2513=$H113)*--(Checklist!$D$10:$D$2513=J$50)))</f>
        <v/>
      </c>
      <c r="K113" t="str" cm="1">
        <f t="array" ref="K113">IF($H113="","",SUMPRODUCT(--(Checklist!$E$10:$E$2513=$H113)*--(Checklist!$D$10:$D$2513=K$50)))</f>
        <v/>
      </c>
      <c r="L113" t="str" cm="1">
        <f t="array" ref="L113">IF($H113="","",SUMPRODUCT(--(Checklist!$E$10:$E$2513=$H113)*--(Checklist!$D$10:$D$2513=L$50)))</f>
        <v/>
      </c>
      <c r="M113" t="str" cm="1">
        <f t="array" ref="M113">IF($H113="","",SUMPRODUCT(--(Checklist!$E$10:$E$2513=$H113)*--(Checklist!$D$10:$D$2513=M$50)))</f>
        <v/>
      </c>
      <c r="N113" s="12" t="str">
        <f t="shared" si="9"/>
        <v/>
      </c>
    </row>
    <row r="114" spans="8:14">
      <c r="I114" t="str" cm="1">
        <f t="array" ref="I114">IF($H114="","",SUMPRODUCT(--(Checklist!$E$10:$E$2513=$H114)*--(Checklist!$D$10:$D$2513=I$50)))</f>
        <v/>
      </c>
      <c r="J114" t="str" cm="1">
        <f t="array" ref="J114">IF($H114="","",SUMPRODUCT(--(Checklist!$E$10:$E$2513=$H114)*--(Checklist!$D$10:$D$2513=J$50)))</f>
        <v/>
      </c>
      <c r="K114" t="str" cm="1">
        <f t="array" ref="K114">IF($H114="","",SUMPRODUCT(--(Checklist!$E$10:$E$2513=$H114)*--(Checklist!$D$10:$D$2513=K$50)))</f>
        <v/>
      </c>
      <c r="L114" t="str" cm="1">
        <f t="array" ref="L114">IF($H114="","",SUMPRODUCT(--(Checklist!$E$10:$E$2513=$H114)*--(Checklist!$D$10:$D$2513=L$50)))</f>
        <v/>
      </c>
      <c r="M114" t="str" cm="1">
        <f t="array" ref="M114">IF($H114="","",SUMPRODUCT(--(Checklist!$E$10:$E$2513=$H114)*--(Checklist!$D$10:$D$2513=M$50)))</f>
        <v/>
      </c>
      <c r="N114" s="12" t="str">
        <f t="shared" si="9"/>
        <v/>
      </c>
    </row>
    <row r="115" spans="8:14">
      <c r="I115" t="str" cm="1">
        <f t="array" ref="I115">IF($H115="","",SUMPRODUCT(--(Checklist!$E$10:$E$2513=$H115)*--(Checklist!$D$10:$D$2513=I$50)))</f>
        <v/>
      </c>
      <c r="J115" t="str" cm="1">
        <f t="array" ref="J115">IF($H115="","",SUMPRODUCT(--(Checklist!$E$10:$E$2513=$H115)*--(Checklist!$D$10:$D$2513=J$50)))</f>
        <v/>
      </c>
      <c r="K115" t="str" cm="1">
        <f t="array" ref="K115">IF($H115="","",SUMPRODUCT(--(Checklist!$E$10:$E$2513=$H115)*--(Checklist!$D$10:$D$2513=K$50)))</f>
        <v/>
      </c>
      <c r="L115" t="str" cm="1">
        <f t="array" ref="L115">IF($H115="","",SUMPRODUCT(--(Checklist!$E$10:$E$2513=$H115)*--(Checklist!$D$10:$D$2513=L$50)))</f>
        <v/>
      </c>
      <c r="M115" t="str" cm="1">
        <f t="array" ref="M115">IF($H115="","",SUMPRODUCT(--(Checklist!$E$10:$E$2513=$H115)*--(Checklist!$D$10:$D$2513=M$50)))</f>
        <v/>
      </c>
      <c r="N115" s="12" t="str">
        <f t="shared" si="9"/>
        <v/>
      </c>
    </row>
    <row r="116" spans="8:14">
      <c r="I116" t="str" cm="1">
        <f t="array" ref="I116">IF($H116="","",SUMPRODUCT(--(Checklist!$E$10:$E$2513=$H116)*--(Checklist!$D$10:$D$2513=I$50)))</f>
        <v/>
      </c>
      <c r="J116" t="str" cm="1">
        <f t="array" ref="J116">IF($H116="","",SUMPRODUCT(--(Checklist!$E$10:$E$2513=$H116)*--(Checklist!$D$10:$D$2513=J$50)))</f>
        <v/>
      </c>
      <c r="K116" t="str" cm="1">
        <f t="array" ref="K116">IF($H116="","",SUMPRODUCT(--(Checklist!$E$10:$E$2513=$H116)*--(Checklist!$D$10:$D$2513=K$50)))</f>
        <v/>
      </c>
      <c r="L116" t="str" cm="1">
        <f t="array" ref="L116">IF($H116="","",SUMPRODUCT(--(Checklist!$E$10:$E$2513=$H116)*--(Checklist!$D$10:$D$2513=L$50)))</f>
        <v/>
      </c>
      <c r="M116" t="str" cm="1">
        <f t="array" ref="M116">IF($H116="","",SUMPRODUCT(--(Checklist!$E$10:$E$2513=$H116)*--(Checklist!$D$10:$D$2513=M$50)))</f>
        <v/>
      </c>
      <c r="N116" s="12" t="str">
        <f t="shared" si="9"/>
        <v/>
      </c>
    </row>
    <row r="117" spans="8:14">
      <c r="I117" t="str" cm="1">
        <f t="array" ref="I117">IF($H117="","",SUMPRODUCT(--(Checklist!$E$10:$E$2513=$H117)*--(Checklist!$D$10:$D$2513=I$50)))</f>
        <v/>
      </c>
      <c r="J117" t="str" cm="1">
        <f t="array" ref="J117">IF($H117="","",SUMPRODUCT(--(Checklist!$E$10:$E$2513=$H117)*--(Checklist!$D$10:$D$2513=J$50)))</f>
        <v/>
      </c>
      <c r="K117" t="str" cm="1">
        <f t="array" ref="K117">IF($H117="","",SUMPRODUCT(--(Checklist!$E$10:$E$2513=$H117)*--(Checklist!$D$10:$D$2513=K$50)))</f>
        <v/>
      </c>
      <c r="L117" t="str" cm="1">
        <f t="array" ref="L117">IF($H117="","",SUMPRODUCT(--(Checklist!$E$10:$E$2513=$H117)*--(Checklist!$D$10:$D$2513=L$50)))</f>
        <v/>
      </c>
      <c r="M117" t="str" cm="1">
        <f t="array" ref="M117">IF($H117="","",SUMPRODUCT(--(Checklist!$E$10:$E$2513=$H117)*--(Checklist!$D$10:$D$2513=M$50)))</f>
        <v/>
      </c>
      <c r="N117" s="12" t="str">
        <f t="shared" si="9"/>
        <v/>
      </c>
    </row>
    <row r="118" spans="8:14">
      <c r="I118" t="str" cm="1">
        <f t="array" ref="I118">IF($H118="","",SUMPRODUCT(--(Checklist!$E$10:$E$2513=$H118)*--(Checklist!$D$10:$D$2513=I$50)))</f>
        <v/>
      </c>
      <c r="J118" t="str" cm="1">
        <f t="array" ref="J118">IF($H118="","",SUMPRODUCT(--(Checklist!$E$10:$E$2513=$H118)*--(Checklist!$D$10:$D$2513=J$50)))</f>
        <v/>
      </c>
      <c r="K118" t="str" cm="1">
        <f t="array" ref="K118">IF($H118="","",SUMPRODUCT(--(Checklist!$E$10:$E$2513=$H118)*--(Checklist!$D$10:$D$2513=K$50)))</f>
        <v/>
      </c>
      <c r="L118" t="str" cm="1">
        <f t="array" ref="L118">IF($H118="","",SUMPRODUCT(--(Checklist!$E$10:$E$2513=$H118)*--(Checklist!$D$10:$D$2513=L$50)))</f>
        <v/>
      </c>
      <c r="M118" t="str" cm="1">
        <f t="array" ref="M118">IF($H118="","",SUMPRODUCT(--(Checklist!$E$10:$E$2513=$H118)*--(Checklist!$D$10:$D$2513=M$50)))</f>
        <v/>
      </c>
      <c r="N118" s="12" t="str">
        <f t="shared" si="9"/>
        <v/>
      </c>
    </row>
    <row r="119" spans="8:14">
      <c r="I119" t="str" cm="1">
        <f t="array" ref="I119">IF($H119="","",SUMPRODUCT(--(Checklist!$E$10:$E$2513=$H119)*--(Checklist!$D$10:$D$2513=I$50)))</f>
        <v/>
      </c>
      <c r="J119" t="str" cm="1">
        <f t="array" ref="J119">IF($H119="","",SUMPRODUCT(--(Checklist!$E$10:$E$2513=$H119)*--(Checklist!$D$10:$D$2513=J$50)))</f>
        <v/>
      </c>
      <c r="K119" t="str" cm="1">
        <f t="array" ref="K119">IF($H119="","",SUMPRODUCT(--(Checklist!$E$10:$E$2513=$H119)*--(Checklist!$D$10:$D$2513=K$50)))</f>
        <v/>
      </c>
      <c r="L119" t="str" cm="1">
        <f t="array" ref="L119">IF($H119="","",SUMPRODUCT(--(Checklist!$E$10:$E$2513=$H119)*--(Checklist!$D$10:$D$2513=L$50)))</f>
        <v/>
      </c>
      <c r="M119" t="str" cm="1">
        <f t="array" ref="M119">IF($H119="","",SUMPRODUCT(--(Checklist!$E$10:$E$2513=$H119)*--(Checklist!$D$10:$D$2513=M$50)))</f>
        <v/>
      </c>
      <c r="N119" s="12" t="str">
        <f t="shared" si="9"/>
        <v/>
      </c>
    </row>
    <row r="120" spans="8:14">
      <c r="I120" t="str" cm="1">
        <f t="array" ref="I120">IF($H120="","",SUMPRODUCT(--(Checklist!$E$10:$E$2513=$H120)*--(Checklist!$D$10:$D$2513=I$50)))</f>
        <v/>
      </c>
      <c r="J120" t="str" cm="1">
        <f t="array" ref="J120">IF($H120="","",SUMPRODUCT(--(Checklist!$E$10:$E$2513=$H120)*--(Checklist!$D$10:$D$2513=J$50)))</f>
        <v/>
      </c>
      <c r="K120" t="str" cm="1">
        <f t="array" ref="K120">IF($H120="","",SUMPRODUCT(--(Checklist!$E$10:$E$2513=$H120)*--(Checklist!$D$10:$D$2513=K$50)))</f>
        <v/>
      </c>
      <c r="L120" t="str" cm="1">
        <f t="array" ref="L120">IF($H120="","",SUMPRODUCT(--(Checklist!$E$10:$E$2513=$H120)*--(Checklist!$D$10:$D$2513=L$50)))</f>
        <v/>
      </c>
      <c r="M120" t="str" cm="1">
        <f t="array" ref="M120">IF($H120="","",SUMPRODUCT(--(Checklist!$E$10:$E$2513=$H120)*--(Checklist!$D$10:$D$2513=M$50)))</f>
        <v/>
      </c>
      <c r="N120" s="12" t="str">
        <f t="shared" si="9"/>
        <v/>
      </c>
    </row>
    <row r="121" spans="8:14">
      <c r="I121" t="str" cm="1">
        <f t="array" ref="I121">IF($H121="","",SUMPRODUCT(--(Checklist!$E$10:$E$2513=$H121)*--(Checklist!$D$10:$D$2513=I$50)))</f>
        <v/>
      </c>
      <c r="J121" t="str" cm="1">
        <f t="array" ref="J121">IF($H121="","",SUMPRODUCT(--(Checklist!$E$10:$E$2513=$H121)*--(Checklist!$D$10:$D$2513=J$50)))</f>
        <v/>
      </c>
      <c r="K121" t="str" cm="1">
        <f t="array" ref="K121">IF($H121="","",SUMPRODUCT(--(Checklist!$E$10:$E$2513=$H121)*--(Checklist!$D$10:$D$2513=K$50)))</f>
        <v/>
      </c>
      <c r="L121" t="str" cm="1">
        <f t="array" ref="L121">IF($H121="","",SUMPRODUCT(--(Checklist!$E$10:$E$2513=$H121)*--(Checklist!$D$10:$D$2513=L$50)))</f>
        <v/>
      </c>
      <c r="M121" t="str" cm="1">
        <f t="array" ref="M121">IF($H121="","",SUMPRODUCT(--(Checklist!$E$10:$E$2513=$H121)*--(Checklist!$D$10:$D$2513=M$50)))</f>
        <v/>
      </c>
      <c r="N121" s="12" t="str">
        <f t="shared" si="9"/>
        <v/>
      </c>
    </row>
    <row r="122" spans="8:14">
      <c r="I122" t="str" cm="1">
        <f t="array" ref="I122">IF($H122="","",SUMPRODUCT(--(Checklist!$E$10:$E$2513=$H122)*--(Checklist!$D$10:$D$2513=I$50)))</f>
        <v/>
      </c>
      <c r="J122" t="str" cm="1">
        <f t="array" ref="J122">IF($H122="","",SUMPRODUCT(--(Checklist!$E$10:$E$2513=$H122)*--(Checklist!$D$10:$D$2513=J$50)))</f>
        <v/>
      </c>
      <c r="K122" t="str" cm="1">
        <f t="array" ref="K122">IF($H122="","",SUMPRODUCT(--(Checklist!$E$10:$E$2513=$H122)*--(Checklist!$D$10:$D$2513=K$50)))</f>
        <v/>
      </c>
      <c r="L122" t="str" cm="1">
        <f t="array" ref="L122">IF($H122="","",SUMPRODUCT(--(Checklist!$E$10:$E$2513=$H122)*--(Checklist!$D$10:$D$2513=L$50)))</f>
        <v/>
      </c>
      <c r="M122" t="str" cm="1">
        <f t="array" ref="M122">IF($H122="","",SUMPRODUCT(--(Checklist!$E$10:$E$2513=$H122)*--(Checklist!$D$10:$D$2513=M$50)))</f>
        <v/>
      </c>
      <c r="N122" s="12" t="str">
        <f t="shared" si="9"/>
        <v/>
      </c>
    </row>
    <row r="123" spans="8:14">
      <c r="H123">
        <f>COUNTA(H51:H122)</f>
        <v>23</v>
      </c>
      <c r="I123" s="12">
        <f>SUM(I51:I122)</f>
        <v>26</v>
      </c>
      <c r="J123" s="12">
        <f t="shared" ref="J123:N123" si="10">SUM(J51:J122)</f>
        <v>77</v>
      </c>
      <c r="K123" s="12">
        <f t="shared" si="10"/>
        <v>20</v>
      </c>
      <c r="L123" s="12">
        <f t="shared" si="10"/>
        <v>43</v>
      </c>
      <c r="M123" s="12">
        <f t="shared" si="10"/>
        <v>11</v>
      </c>
      <c r="N123" s="12">
        <f t="shared" si="10"/>
        <v>177</v>
      </c>
    </row>
    <row r="124" spans="8:14">
      <c r="K124" s="41"/>
      <c r="L124" s="41"/>
    </row>
    <row r="125" spans="8:14">
      <c r="K125" s="41"/>
    </row>
    <row r="126" spans="8:14">
      <c r="K126" s="41"/>
    </row>
    <row r="127" spans="8:14">
      <c r="K127" s="41"/>
      <c r="L127" s="41"/>
    </row>
    <row r="128" spans="8:14">
      <c r="K128" s="41"/>
      <c r="L128" s="41"/>
    </row>
    <row r="129" spans="11:12">
      <c r="K129" s="41"/>
      <c r="L129" s="41"/>
    </row>
    <row r="130" spans="11:12">
      <c r="K130" s="41"/>
      <c r="L130" s="41"/>
    </row>
    <row r="131" spans="11:12">
      <c r="K131" s="41"/>
      <c r="L131" s="41"/>
    </row>
    <row r="132" spans="11:12">
      <c r="K132" s="41"/>
      <c r="L132" s="41"/>
    </row>
    <row r="133" spans="11:12">
      <c r="K133" s="41"/>
      <c r="L133" s="41"/>
    </row>
    <row r="134" spans="11:12">
      <c r="K134" s="41"/>
      <c r="L134" s="41"/>
    </row>
    <row r="135" spans="11:12">
      <c r="K135" s="41"/>
      <c r="L135" s="41"/>
    </row>
    <row r="136" spans="11:12">
      <c r="K136" s="41"/>
    </row>
    <row r="137" spans="11:12">
      <c r="K137" s="41"/>
      <c r="L137" s="41"/>
    </row>
    <row r="138" spans="11:12">
      <c r="K138" s="41"/>
      <c r="L138" s="41"/>
    </row>
    <row r="139" spans="11:12">
      <c r="K139" s="41"/>
      <c r="L139" s="41"/>
    </row>
    <row r="140" spans="11:12">
      <c r="K140" s="41"/>
      <c r="L140" s="41"/>
    </row>
    <row r="141" spans="11:12">
      <c r="K141" s="41"/>
      <c r="L141" s="41"/>
    </row>
    <row r="142" spans="11:12">
      <c r="K142" s="41"/>
      <c r="L142" s="41"/>
    </row>
    <row r="143" spans="11:12">
      <c r="K143" s="41"/>
    </row>
    <row r="144" spans="11:12">
      <c r="K144" s="41"/>
      <c r="L144" s="41"/>
    </row>
    <row r="145" spans="11:12">
      <c r="K145" s="41"/>
    </row>
    <row r="146" spans="11:12">
      <c r="K146" s="41"/>
    </row>
    <row r="147" spans="11:12">
      <c r="K147" s="41"/>
      <c r="L147" s="41"/>
    </row>
    <row r="148" spans="11:12">
      <c r="K148" s="41"/>
      <c r="L148" s="41"/>
    </row>
    <row r="149" spans="11:12">
      <c r="K149" s="41"/>
      <c r="L149" s="41"/>
    </row>
    <row r="150" spans="11:12">
      <c r="K150" s="41"/>
      <c r="L150" s="41"/>
    </row>
    <row r="151" spans="11:12">
      <c r="K151" s="41"/>
      <c r="L151" s="41"/>
    </row>
    <row r="152" spans="11:12">
      <c r="K152" s="41"/>
      <c r="L152" s="41"/>
    </row>
    <row r="153" spans="11:12">
      <c r="K153" s="41"/>
      <c r="L153" s="41"/>
    </row>
    <row r="154" spans="11:12">
      <c r="K154" s="41"/>
    </row>
    <row r="155" spans="11:12">
      <c r="K155" s="41"/>
    </row>
    <row r="156" spans="11:12">
      <c r="K156" s="41"/>
    </row>
    <row r="157" spans="11:12">
      <c r="K157" s="41"/>
    </row>
    <row r="158" spans="11:12">
      <c r="K158" s="41"/>
    </row>
    <row r="159" spans="11:12">
      <c r="K159" s="41"/>
      <c r="L159" s="41"/>
    </row>
    <row r="160" spans="11:12">
      <c r="K160" s="41"/>
      <c r="L160" s="41"/>
    </row>
    <row r="161" spans="11:12">
      <c r="K161" s="41"/>
      <c r="L161" s="41"/>
    </row>
    <row r="162" spans="11:12">
      <c r="K162" s="41"/>
      <c r="L162" s="41"/>
    </row>
    <row r="163" spans="11:12">
      <c r="K163" s="41"/>
      <c r="L163" s="41"/>
    </row>
    <row r="164" spans="11:12">
      <c r="K164" s="41"/>
    </row>
    <row r="165" spans="11:12">
      <c r="K165" s="41"/>
    </row>
    <row r="166" spans="11:12">
      <c r="K166" s="41"/>
    </row>
    <row r="167" spans="11:12">
      <c r="K167" s="41"/>
      <c r="L167" s="41"/>
    </row>
    <row r="168" spans="11:12">
      <c r="K168" s="41"/>
      <c r="L168" s="41"/>
    </row>
    <row r="169" spans="11:12">
      <c r="L169" s="41"/>
    </row>
    <row r="170" spans="11:12">
      <c r="K170" s="41"/>
      <c r="L170" s="41"/>
    </row>
    <row r="171" spans="11:12">
      <c r="K171" s="41"/>
      <c r="L171" s="41"/>
    </row>
    <row r="172" spans="11:12">
      <c r="K172" s="41"/>
      <c r="L172" s="41"/>
    </row>
    <row r="173" spans="11:12">
      <c r="K173" s="41"/>
    </row>
    <row r="174" spans="11:12">
      <c r="K174" s="41"/>
    </row>
    <row r="175" spans="11:12">
      <c r="K175" s="41"/>
      <c r="L175" s="41"/>
    </row>
    <row r="176" spans="11:12">
      <c r="K176" s="41"/>
    </row>
    <row r="177" spans="11:11">
      <c r="K177" s="41"/>
    </row>
    <row r="178" spans="11:11">
      <c r="K178" s="41"/>
    </row>
    <row r="179" spans="11:11">
      <c r="K179" s="41"/>
    </row>
    <row r="180" spans="11:11">
      <c r="K180" s="41"/>
    </row>
    <row r="181" spans="11:11">
      <c r="K181" s="41"/>
    </row>
    <row r="182" spans="11:11">
      <c r="K182" s="41"/>
    </row>
    <row r="183" spans="11:11">
      <c r="K183" s="41"/>
    </row>
    <row r="184" spans="11:11">
      <c r="K184" s="41"/>
    </row>
    <row r="185" spans="11:11">
      <c r="K185" s="41"/>
    </row>
    <row r="186" spans="11:11">
      <c r="K186" s="41"/>
    </row>
    <row r="187" spans="11:11">
      <c r="K187" s="41"/>
    </row>
    <row r="188" spans="11:11">
      <c r="K188" s="41"/>
    </row>
    <row r="189" spans="11:11">
      <c r="K189" s="41"/>
    </row>
    <row r="190" spans="11:11">
      <c r="K190" s="41"/>
    </row>
    <row r="191" spans="11:11">
      <c r="K191" s="41"/>
    </row>
    <row r="192" spans="11:11">
      <c r="K192" s="41"/>
    </row>
    <row r="193" spans="11:12">
      <c r="K193" s="41"/>
    </row>
    <row r="194" spans="11:12">
      <c r="K194" s="41"/>
    </row>
    <row r="195" spans="11:12">
      <c r="K195" s="41"/>
    </row>
    <row r="196" spans="11:12">
      <c r="K196" s="41"/>
    </row>
    <row r="197" spans="11:12">
      <c r="K197" s="41"/>
    </row>
    <row r="198" spans="11:12">
      <c r="K198" s="41"/>
    </row>
    <row r="199" spans="11:12">
      <c r="K199" s="41"/>
    </row>
    <row r="200" spans="11:12">
      <c r="K200" s="41"/>
    </row>
    <row r="201" spans="11:12">
      <c r="K201" s="41"/>
    </row>
    <row r="202" spans="11:12">
      <c r="K202" s="41"/>
    </row>
    <row r="203" spans="11:12">
      <c r="K203" s="41"/>
    </row>
    <row r="204" spans="11:12">
      <c r="K204" s="41"/>
    </row>
    <row r="205" spans="11:12">
      <c r="K205" s="41"/>
    </row>
    <row r="206" spans="11:12">
      <c r="K206" s="41"/>
    </row>
    <row r="207" spans="11:12">
      <c r="K207" s="41"/>
      <c r="L207" s="41"/>
    </row>
    <row r="208" spans="11:12">
      <c r="K208" s="41"/>
      <c r="L208" s="41"/>
    </row>
    <row r="209" spans="11:12">
      <c r="K209" s="41"/>
      <c r="L209" s="41"/>
    </row>
    <row r="210" spans="11:12">
      <c r="K210" s="41"/>
      <c r="L210" s="41"/>
    </row>
    <row r="211" spans="11:12">
      <c r="K211" s="41"/>
      <c r="L211" s="41"/>
    </row>
    <row r="212" spans="11:12">
      <c r="K212" s="41"/>
    </row>
    <row r="213" spans="11:12">
      <c r="K213" s="41"/>
    </row>
    <row r="214" spans="11:12">
      <c r="K214" s="41"/>
    </row>
    <row r="215" spans="11:12">
      <c r="K215" s="41"/>
    </row>
    <row r="216" spans="11:12">
      <c r="K216" s="41"/>
    </row>
    <row r="217" spans="11:12">
      <c r="K217" s="41"/>
      <c r="L217" s="41"/>
    </row>
    <row r="218" spans="11:12">
      <c r="K218" s="41"/>
      <c r="L218" s="41"/>
    </row>
    <row r="219" spans="11:12">
      <c r="K219" s="41"/>
      <c r="L219" s="41"/>
    </row>
    <row r="220" spans="11:12">
      <c r="K220" s="41"/>
      <c r="L220" s="41"/>
    </row>
    <row r="221" spans="11:12">
      <c r="K221" s="41"/>
      <c r="L221" s="41"/>
    </row>
    <row r="222" spans="11:12">
      <c r="K222" s="41"/>
      <c r="L222" s="41"/>
    </row>
    <row r="223" spans="11:12">
      <c r="K223" s="41"/>
    </row>
    <row r="224" spans="11:12">
      <c r="K224" s="41"/>
    </row>
    <row r="225" spans="11:11">
      <c r="K225" s="41"/>
    </row>
    <row r="226" spans="11:11">
      <c r="K226" s="41"/>
    </row>
    <row r="227" spans="11:11">
      <c r="K227" s="41"/>
    </row>
    <row r="228" spans="11:11">
      <c r="K228" s="41"/>
    </row>
    <row r="229" spans="11:11">
      <c r="K229" s="41"/>
    </row>
    <row r="230" spans="11:11">
      <c r="K230" s="41"/>
    </row>
    <row r="231" spans="11:11">
      <c r="K231" s="41"/>
    </row>
    <row r="232" spans="11:11">
      <c r="K232" s="41"/>
    </row>
    <row r="233" spans="11:11">
      <c r="K233" s="41"/>
    </row>
    <row r="234" spans="11:11">
      <c r="K234" s="41"/>
    </row>
    <row r="235" spans="11:11">
      <c r="K235" s="41"/>
    </row>
    <row r="236" spans="11:11">
      <c r="K236" s="41"/>
    </row>
    <row r="237" spans="11:11">
      <c r="K237" s="41"/>
    </row>
    <row r="238" spans="11:11">
      <c r="K238" s="41"/>
    </row>
    <row r="239" spans="11:11">
      <c r="K239" s="41"/>
    </row>
    <row r="240" spans="11:11">
      <c r="K240" s="41"/>
    </row>
    <row r="241" spans="11:11">
      <c r="K241" s="41"/>
    </row>
    <row r="242" spans="11:11">
      <c r="K242" s="41"/>
    </row>
    <row r="243" spans="11:11">
      <c r="K243" s="41"/>
    </row>
    <row r="244" spans="11:11">
      <c r="K244" s="41"/>
    </row>
    <row r="245" spans="11:11">
      <c r="K245" s="41"/>
    </row>
    <row r="246" spans="11:11">
      <c r="K246" s="41"/>
    </row>
  </sheetData>
  <dataConsolidate/>
  <conditionalFormatting sqref="E51:F55">
    <cfRule type="dataBar" priority="1">
      <dataBar>
        <cfvo type="min"/>
        <cfvo type="max"/>
        <color rgb="FF63C384"/>
      </dataBar>
      <extLst>
        <ext xmlns:x14="http://schemas.microsoft.com/office/spreadsheetml/2009/9/main" uri="{B025F937-C7B1-47D3-B67F-A62EFF666E3E}">
          <x14:id>{92446CB2-5B22-473A-BF5C-0250EB2C71A6}</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92446CB2-5B22-473A-BF5C-0250EB2C71A6}">
            <x14:dataBar minLength="0" maxLength="100" gradient="0">
              <x14:cfvo type="autoMin"/>
              <x14:cfvo type="autoMax"/>
              <x14:negativeFillColor rgb="FFFF0000"/>
              <x14:axisColor rgb="FF000000"/>
            </x14:dataBar>
          </x14:cfRule>
          <xm:sqref>E51:F55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2B29A-68B4-4EF5-953B-ED7ED6325293}">
  <sheetPr codeName="Sheet2"/>
  <dimension ref="A1:S24"/>
  <sheetViews>
    <sheetView topLeftCell="E1" workbookViewId="0">
      <selection activeCell="F19" sqref="F19"/>
    </sheetView>
  </sheetViews>
  <sheetFormatPr defaultRowHeight="14.5"/>
  <cols>
    <col min="1" max="1" width="8.453125" bestFit="1" customWidth="1"/>
    <col min="2" max="2" width="12.453125" bestFit="1" customWidth="1"/>
    <col min="3" max="3" width="8.81640625" bestFit="1" customWidth="1"/>
    <col min="4" max="4" width="62.54296875" bestFit="1" customWidth="1"/>
    <col min="5" max="5" width="78" bestFit="1" customWidth="1"/>
    <col min="6" max="6" width="20.81640625" bestFit="1" customWidth="1"/>
    <col min="7" max="7" width="20.54296875" bestFit="1" customWidth="1"/>
    <col min="8" max="8" width="9.54296875" bestFit="1" customWidth="1"/>
    <col min="9" max="9" width="19.453125" bestFit="1" customWidth="1"/>
    <col min="10" max="10" width="75.453125" bestFit="1" customWidth="1"/>
    <col min="11" max="11" width="18.453125" bestFit="1" customWidth="1"/>
    <col min="12" max="12" width="12.453125" bestFit="1" customWidth="1"/>
    <col min="13" max="13" width="6.7265625" bestFit="1" customWidth="1"/>
    <col min="14" max="14" width="22.453125" bestFit="1" customWidth="1"/>
    <col min="15" max="15" width="12.81640625" bestFit="1" customWidth="1"/>
    <col min="16" max="16" width="14.1796875" bestFit="1" customWidth="1"/>
    <col min="17" max="17" width="8.26953125" bestFit="1" customWidth="1"/>
    <col min="18" max="18" width="20.54296875" bestFit="1" customWidth="1"/>
    <col min="19" max="19" width="7.26953125" bestFit="1" customWidth="1"/>
  </cols>
  <sheetData>
    <row r="1" spans="1:19">
      <c r="A1" s="12" t="s">
        <v>1</v>
      </c>
      <c r="B1" s="12" t="s">
        <v>2</v>
      </c>
      <c r="C1" s="12" t="s">
        <v>13</v>
      </c>
      <c r="D1" s="12" t="s">
        <v>18</v>
      </c>
      <c r="E1" s="12" t="s">
        <v>22</v>
      </c>
      <c r="F1" s="12" t="s">
        <v>25</v>
      </c>
      <c r="G1" s="12" t="s">
        <v>43</v>
      </c>
      <c r="H1" s="12" t="s">
        <v>166</v>
      </c>
      <c r="I1" s="12" t="s">
        <v>26</v>
      </c>
      <c r="J1" s="12" t="s">
        <v>37</v>
      </c>
      <c r="K1" s="12" t="s">
        <v>47</v>
      </c>
      <c r="L1" s="12" t="s">
        <v>73</v>
      </c>
      <c r="M1" s="12" t="s">
        <v>84</v>
      </c>
      <c r="N1" s="12" t="s">
        <v>106</v>
      </c>
      <c r="O1" s="12" t="s">
        <v>109</v>
      </c>
      <c r="P1" s="12" t="s">
        <v>108</v>
      </c>
      <c r="Q1" s="12" t="s">
        <v>114</v>
      </c>
      <c r="R1" s="12" t="s">
        <v>170</v>
      </c>
      <c r="S1" s="12" t="s">
        <v>178</v>
      </c>
    </row>
    <row r="2" spans="1:19">
      <c r="A2" t="s">
        <v>4</v>
      </c>
      <c r="B2" s="10" t="s">
        <v>5</v>
      </c>
      <c r="C2" t="s">
        <v>213</v>
      </c>
      <c r="D2" t="s">
        <v>176</v>
      </c>
      <c r="E2" t="s">
        <v>35</v>
      </c>
      <c r="F2" t="str" cm="1">
        <f t="array" ref="F2:H19">_xlfn._xlws.FILTER(ChecklistIndex!B1:D52,ChecklistIndex!A1:A52=Checklist!G5)</f>
        <v>Azure Landing Zone</v>
      </c>
      <c r="G2" t="str">
        <v>alz</v>
      </c>
      <c r="H2" t="str">
        <v>checklists</v>
      </c>
      <c r="I2" t="s">
        <v>30</v>
      </c>
      <c r="J2" t="s">
        <v>38</v>
      </c>
      <c r="K2" t="s">
        <v>48</v>
      </c>
      <c r="L2" t="s">
        <v>74</v>
      </c>
      <c r="M2" t="s">
        <v>85</v>
      </c>
      <c r="N2" t="s">
        <v>104</v>
      </c>
      <c r="O2" t="str">
        <f>IF(Checklist!F4=Values!M3,"no","yes")</f>
        <v>yes</v>
      </c>
      <c r="P2" t="s">
        <v>107</v>
      </c>
      <c r="Q2" t="str" cm="1">
        <f t="array" ref="Q2:Q24">_xlfn._xlws.SORT(_xlfn.UNIQUE(_xlfn._xlws.FILTER(Checklist!$E$10:$E$2513, Checklist!$E$10:$E$2513&lt;&gt;"")))</f>
        <v>Azure AI Content Safety</v>
      </c>
      <c r="R2" t="s">
        <v>169</v>
      </c>
      <c r="S2" t="s">
        <v>179</v>
      </c>
    </row>
    <row r="3" spans="1:19">
      <c r="A3" t="s">
        <v>7</v>
      </c>
      <c r="B3" s="7" t="s">
        <v>8</v>
      </c>
      <c r="C3" t="s">
        <v>214</v>
      </c>
      <c r="F3" t="str">
        <v>AI Landing Zone</v>
      </c>
      <c r="G3" t="str">
        <v>ai_lz</v>
      </c>
      <c r="H3" t="str">
        <v>checklists</v>
      </c>
      <c r="I3" t="s">
        <v>31</v>
      </c>
      <c r="J3" t="s">
        <v>39</v>
      </c>
      <c r="K3" t="s">
        <v>49</v>
      </c>
      <c r="L3" t="s">
        <v>29</v>
      </c>
      <c r="M3" t="s">
        <v>86</v>
      </c>
      <c r="N3" t="s">
        <v>110</v>
      </c>
      <c r="O3" t="s">
        <v>105</v>
      </c>
      <c r="P3" t="s">
        <v>107</v>
      </c>
      <c r="Q3" t="str">
        <v>Azure AI Foundry</v>
      </c>
      <c r="R3" t="s">
        <v>172</v>
      </c>
      <c r="S3" t="s">
        <v>180</v>
      </c>
    </row>
    <row r="4" spans="1:19">
      <c r="A4" t="s">
        <v>6</v>
      </c>
      <c r="B4" s="8" t="s">
        <v>9</v>
      </c>
      <c r="C4" t="s">
        <v>216</v>
      </c>
      <c r="F4" t="str">
        <v>WAF</v>
      </c>
      <c r="G4" t="str">
        <v>waf</v>
      </c>
      <c r="H4" t="str">
        <v>checklists</v>
      </c>
      <c r="I4" t="s">
        <v>32</v>
      </c>
      <c r="J4" t="s">
        <v>41</v>
      </c>
      <c r="K4" t="s">
        <v>50</v>
      </c>
      <c r="L4" t="s">
        <v>54</v>
      </c>
      <c r="Q4" t="str">
        <v>Azure AI Search</v>
      </c>
      <c r="R4" t="s">
        <v>171</v>
      </c>
      <c r="S4" t="s">
        <v>159</v>
      </c>
    </row>
    <row r="5" spans="1:19">
      <c r="B5" s="8" t="s">
        <v>62</v>
      </c>
      <c r="C5" t="s">
        <v>218</v>
      </c>
      <c r="F5" t="str">
        <v>AKS</v>
      </c>
      <c r="G5" t="str">
        <v>aks</v>
      </c>
      <c r="H5" t="str">
        <v>checklists</v>
      </c>
      <c r="I5" t="s">
        <v>33</v>
      </c>
      <c r="J5" t="s">
        <v>113</v>
      </c>
      <c r="K5" t="s">
        <v>51</v>
      </c>
      <c r="L5" t="s">
        <v>72</v>
      </c>
      <c r="Q5" t="str">
        <v>Azure AI Services</v>
      </c>
      <c r="R5" t="s">
        <v>184</v>
      </c>
      <c r="S5" t="s">
        <v>79</v>
      </c>
    </row>
    <row r="6" spans="1:19">
      <c r="B6" s="9" t="s">
        <v>10</v>
      </c>
      <c r="C6" t="s">
        <v>217</v>
      </c>
      <c r="F6" t="str">
        <v>AVD</v>
      </c>
      <c r="G6" t="str">
        <v>avd</v>
      </c>
      <c r="H6" t="str">
        <v>checklists</v>
      </c>
      <c r="I6" t="s">
        <v>34</v>
      </c>
      <c r="J6" t="s">
        <v>40</v>
      </c>
      <c r="K6" t="s">
        <v>52</v>
      </c>
      <c r="L6" t="s">
        <v>75</v>
      </c>
      <c r="Q6" t="str">
        <v>Azure API Management</v>
      </c>
      <c r="R6" t="s">
        <v>206</v>
      </c>
    </row>
    <row r="7" spans="1:19">
      <c r="C7" t="s">
        <v>72</v>
      </c>
      <c r="F7" t="str">
        <v>AVS Design</v>
      </c>
      <c r="G7" t="str">
        <v>avs</v>
      </c>
      <c r="H7" t="str">
        <v>checklists</v>
      </c>
      <c r="I7" t="s">
        <v>99</v>
      </c>
      <c r="K7" t="s">
        <v>98</v>
      </c>
      <c r="Q7" t="str">
        <v>Azure Container Apps</v>
      </c>
    </row>
    <row r="8" spans="1:19">
      <c r="C8" t="s">
        <v>215</v>
      </c>
      <c r="F8" t="str">
        <v>AVS Implementation</v>
      </c>
      <c r="G8" t="str">
        <v>avs_implementation</v>
      </c>
      <c r="H8" t="str">
        <v>checklists</v>
      </c>
      <c r="Q8" t="str">
        <v>Azure Cost Management</v>
      </c>
    </row>
    <row r="9" spans="1:19">
      <c r="F9" t="str">
        <v>Multitenancy</v>
      </c>
      <c r="G9" t="str">
        <v>multitenancy</v>
      </c>
      <c r="H9" t="str">
        <v>checklists</v>
      </c>
      <c r="Q9" t="str">
        <v>Azure DevOps</v>
      </c>
    </row>
    <row r="10" spans="1:19">
      <c r="F10" t="str">
        <v>Network App Delivery</v>
      </c>
      <c r="G10" t="str">
        <v>network_appdelivery</v>
      </c>
      <c r="H10" t="str">
        <v>checklists</v>
      </c>
      <c r="Q10" t="str">
        <v>Azure Machine Learning</v>
      </c>
    </row>
    <row r="11" spans="1:19">
      <c r="F11" t="str">
        <v>SAP</v>
      </c>
      <c r="G11" t="str">
        <v>sap</v>
      </c>
      <c r="H11" t="str">
        <v>checklists</v>
      </c>
      <c r="Q11" t="str">
        <v>Azure Monitor</v>
      </c>
    </row>
    <row r="12" spans="1:19">
      <c r="F12" t="str">
        <v>API Management</v>
      </c>
      <c r="G12" t="str">
        <v>apim</v>
      </c>
      <c r="H12" t="str">
        <v>checklists</v>
      </c>
      <c r="Q12" t="str">
        <v>Azure Open AI</v>
      </c>
    </row>
    <row r="13" spans="1:19">
      <c r="F13" t="str">
        <v>Cost Optimization</v>
      </c>
      <c r="G13" t="str">
        <v>cost</v>
      </c>
      <c r="H13" t="str">
        <v>checklists</v>
      </c>
      <c r="Q13" t="str">
        <v>Azure OpenAI</v>
      </c>
    </row>
    <row r="14" spans="1:19">
      <c r="F14" t="str">
        <v>ARO</v>
      </c>
      <c r="G14" t="str">
        <v>aro</v>
      </c>
      <c r="H14" t="str">
        <v>checklists</v>
      </c>
      <c r="Q14" t="str">
        <v>Azure RBAC</v>
      </c>
    </row>
    <row r="15" spans="1:19">
      <c r="F15" t="str">
        <v>Spring Apps</v>
      </c>
      <c r="G15" t="str">
        <v>azurespringapps</v>
      </c>
      <c r="H15" t="str">
        <v>checklists</v>
      </c>
      <c r="Q15" t="str">
        <v>Azure Resource Manager</v>
      </c>
    </row>
    <row r="16" spans="1:19">
      <c r="F16" t="str">
        <v>Front Door</v>
      </c>
      <c r="G16" t="str">
        <v>afd</v>
      </c>
      <c r="H16" t="str">
        <v>checklists</v>
      </c>
      <c r="Q16" t="str">
        <v>Azure Service Health</v>
      </c>
    </row>
    <row r="17" spans="6:17">
      <c r="F17" t="str">
        <v>Azure Devops</v>
      </c>
      <c r="G17" t="str">
        <v>ado</v>
      </c>
      <c r="H17" t="str">
        <v>checklists</v>
      </c>
      <c r="Q17" t="str">
        <v>Cognitive Search</v>
      </c>
    </row>
    <row r="18" spans="6:17">
      <c r="F18" t="str">
        <v>Azure Arc</v>
      </c>
      <c r="G18" t="str">
        <v>azure_arc</v>
      </c>
      <c r="H18" t="str">
        <v>checklists</v>
      </c>
      <c r="Q18" t="str">
        <v>Cognitive Services</v>
      </c>
    </row>
    <row r="19" spans="6:17">
      <c r="F19" t="str">
        <v>SQL Migration</v>
      </c>
      <c r="G19" t="str">
        <v>sql</v>
      </c>
      <c r="H19" t="str">
        <v>checklists</v>
      </c>
      <c r="Q19" t="str">
        <v>Microsoft cloud security benchmark</v>
      </c>
    </row>
    <row r="20" spans="6:17">
      <c r="Q20" t="str">
        <v>Microsoft Defender for Cloud</v>
      </c>
    </row>
    <row r="21" spans="6:17">
      <c r="Q21" t="str">
        <v>Microsoft Entra</v>
      </c>
    </row>
    <row r="22" spans="6:17">
      <c r="Q22" t="str">
        <v>Microsoft Purview</v>
      </c>
    </row>
    <row r="23" spans="6:17">
      <c r="Q23" t="str">
        <v>Microsoft Threat Modeling Tool</v>
      </c>
    </row>
    <row r="24" spans="6:17">
      <c r="Q24" t="str">
        <v>NA</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14B1-33E3-4428-8800-64BE53DDD99A}">
  <sheetPr codeName="Sheet5"/>
  <dimension ref="A1:E34"/>
  <sheetViews>
    <sheetView workbookViewId="0">
      <selection activeCell="H2" sqref="H2"/>
    </sheetView>
  </sheetViews>
  <sheetFormatPr defaultRowHeight="14.5"/>
  <cols>
    <col min="1" max="1" width="20.54296875" bestFit="1" customWidth="1"/>
    <col min="2" max="2" width="20.81640625" bestFit="1" customWidth="1"/>
    <col min="3" max="3" width="25.7265625" bestFit="1" customWidth="1"/>
    <col min="4" max="4" width="13.26953125" bestFit="1" customWidth="1"/>
    <col min="5" max="5" width="7.26953125" bestFit="1" customWidth="1"/>
  </cols>
  <sheetData>
    <row r="1" spans="1:5">
      <c r="A1" s="12" t="s">
        <v>168</v>
      </c>
      <c r="B1" s="12" t="s">
        <v>143</v>
      </c>
      <c r="C1" s="12" t="s">
        <v>181</v>
      </c>
      <c r="D1" s="12" t="s">
        <v>166</v>
      </c>
      <c r="E1" s="12" t="s">
        <v>177</v>
      </c>
    </row>
    <row r="2" spans="1:5">
      <c r="A2" t="s">
        <v>169</v>
      </c>
      <c r="B2" t="s">
        <v>210</v>
      </c>
      <c r="C2" t="s">
        <v>79</v>
      </c>
      <c r="D2" t="s">
        <v>167</v>
      </c>
      <c r="E2" t="s">
        <v>79</v>
      </c>
    </row>
    <row r="3" spans="1:5">
      <c r="A3" t="s">
        <v>169</v>
      </c>
      <c r="B3" t="s">
        <v>211</v>
      </c>
      <c r="C3" t="s">
        <v>212</v>
      </c>
      <c r="D3" t="s">
        <v>167</v>
      </c>
      <c r="E3" t="s">
        <v>180</v>
      </c>
    </row>
    <row r="4" spans="1:5">
      <c r="A4" t="s">
        <v>169</v>
      </c>
      <c r="B4" t="s">
        <v>158</v>
      </c>
      <c r="C4" t="s">
        <v>159</v>
      </c>
      <c r="D4" t="s">
        <v>167</v>
      </c>
      <c r="E4" t="s">
        <v>159</v>
      </c>
    </row>
    <row r="5" spans="1:5">
      <c r="A5" t="s">
        <v>169</v>
      </c>
      <c r="B5" t="s">
        <v>27</v>
      </c>
      <c r="C5" t="s">
        <v>44</v>
      </c>
      <c r="D5" t="s">
        <v>167</v>
      </c>
      <c r="E5" t="s">
        <v>180</v>
      </c>
    </row>
    <row r="6" spans="1:5">
      <c r="A6" t="s">
        <v>169</v>
      </c>
      <c r="B6" t="s">
        <v>28</v>
      </c>
      <c r="C6" t="s">
        <v>45</v>
      </c>
      <c r="D6" t="s">
        <v>167</v>
      </c>
      <c r="E6" t="s">
        <v>180</v>
      </c>
    </row>
    <row r="7" spans="1:5">
      <c r="A7" t="s">
        <v>169</v>
      </c>
      <c r="B7" t="s">
        <v>93</v>
      </c>
      <c r="C7" t="s">
        <v>46</v>
      </c>
      <c r="D7" t="s">
        <v>167</v>
      </c>
      <c r="E7" t="s">
        <v>180</v>
      </c>
    </row>
    <row r="8" spans="1:5">
      <c r="A8" t="s">
        <v>169</v>
      </c>
      <c r="B8" t="s">
        <v>92</v>
      </c>
      <c r="C8" t="s">
        <v>91</v>
      </c>
      <c r="D8" t="s">
        <v>167</v>
      </c>
      <c r="E8" t="s">
        <v>180</v>
      </c>
    </row>
    <row r="9" spans="1:5">
      <c r="A9" t="s">
        <v>169</v>
      </c>
      <c r="B9" t="s">
        <v>42</v>
      </c>
      <c r="C9" t="s">
        <v>53</v>
      </c>
      <c r="D9" t="s">
        <v>167</v>
      </c>
      <c r="E9" t="s">
        <v>180</v>
      </c>
    </row>
    <row r="10" spans="1:5">
      <c r="A10" t="s">
        <v>169</v>
      </c>
      <c r="B10" t="s">
        <v>94</v>
      </c>
      <c r="C10" t="s">
        <v>95</v>
      </c>
      <c r="D10" t="s">
        <v>167</v>
      </c>
      <c r="E10" t="s">
        <v>180</v>
      </c>
    </row>
    <row r="11" spans="1:5">
      <c r="A11" t="s">
        <v>169</v>
      </c>
      <c r="B11" t="s">
        <v>67</v>
      </c>
      <c r="C11" t="s">
        <v>68</v>
      </c>
      <c r="D11" t="s">
        <v>167</v>
      </c>
      <c r="E11" t="s">
        <v>180</v>
      </c>
    </row>
    <row r="12" spans="1:5">
      <c r="A12" t="s">
        <v>169</v>
      </c>
      <c r="B12" t="s">
        <v>70</v>
      </c>
      <c r="C12" t="s">
        <v>69</v>
      </c>
      <c r="D12" t="s">
        <v>167</v>
      </c>
      <c r="E12" t="s">
        <v>180</v>
      </c>
    </row>
    <row r="13" spans="1:5">
      <c r="A13" t="s">
        <v>169</v>
      </c>
      <c r="B13" t="s">
        <v>89</v>
      </c>
      <c r="C13" t="s">
        <v>90</v>
      </c>
      <c r="D13" t="s">
        <v>167</v>
      </c>
      <c r="E13" t="s">
        <v>180</v>
      </c>
    </row>
    <row r="14" spans="1:5">
      <c r="A14" t="s">
        <v>169</v>
      </c>
      <c r="B14" t="s">
        <v>87</v>
      </c>
      <c r="C14" t="s">
        <v>88</v>
      </c>
      <c r="D14" t="s">
        <v>167</v>
      </c>
      <c r="E14" t="s">
        <v>180</v>
      </c>
    </row>
    <row r="15" spans="1:5">
      <c r="A15" t="s">
        <v>169</v>
      </c>
      <c r="B15" t="s">
        <v>96</v>
      </c>
      <c r="C15" t="s">
        <v>97</v>
      </c>
      <c r="D15" t="s">
        <v>167</v>
      </c>
      <c r="E15" t="s">
        <v>180</v>
      </c>
    </row>
    <row r="16" spans="1:5">
      <c r="A16" t="s">
        <v>169</v>
      </c>
      <c r="B16" t="s">
        <v>196</v>
      </c>
      <c r="C16" t="s">
        <v>209</v>
      </c>
      <c r="D16" t="s">
        <v>167</v>
      </c>
      <c r="E16" t="s">
        <v>180</v>
      </c>
    </row>
    <row r="17" spans="1:5">
      <c r="A17" t="s">
        <v>169</v>
      </c>
      <c r="B17" t="s">
        <v>100</v>
      </c>
      <c r="C17" t="s">
        <v>101</v>
      </c>
      <c r="D17" t="s">
        <v>167</v>
      </c>
      <c r="E17" t="s">
        <v>180</v>
      </c>
    </row>
    <row r="18" spans="1:5">
      <c r="A18" t="s">
        <v>169</v>
      </c>
      <c r="B18" t="s">
        <v>76</v>
      </c>
      <c r="C18" t="s">
        <v>77</v>
      </c>
      <c r="D18" t="s">
        <v>167</v>
      </c>
      <c r="E18" t="s">
        <v>180</v>
      </c>
    </row>
    <row r="19" spans="1:5">
      <c r="A19" t="s">
        <v>169</v>
      </c>
      <c r="B19" t="s">
        <v>102</v>
      </c>
      <c r="C19" t="s">
        <v>103</v>
      </c>
      <c r="D19" t="s">
        <v>167</v>
      </c>
      <c r="E19" t="s">
        <v>180</v>
      </c>
    </row>
    <row r="20" spans="1:5">
      <c r="A20" t="s">
        <v>171</v>
      </c>
      <c r="B20" t="s">
        <v>27</v>
      </c>
      <c r="C20" t="s">
        <v>165</v>
      </c>
      <c r="D20" t="s">
        <v>174</v>
      </c>
      <c r="E20" t="s">
        <v>180</v>
      </c>
    </row>
    <row r="21" spans="1:5">
      <c r="A21" t="s">
        <v>172</v>
      </c>
      <c r="B21" t="s">
        <v>190</v>
      </c>
      <c r="C21" t="s">
        <v>191</v>
      </c>
      <c r="D21" t="s">
        <v>174</v>
      </c>
      <c r="E21" t="s">
        <v>159</v>
      </c>
    </row>
    <row r="22" spans="1:5">
      <c r="A22" t="s">
        <v>172</v>
      </c>
      <c r="B22" t="s">
        <v>27</v>
      </c>
      <c r="C22" t="s">
        <v>173</v>
      </c>
      <c r="D22" t="s">
        <v>174</v>
      </c>
      <c r="E22" t="s">
        <v>159</v>
      </c>
    </row>
    <row r="23" spans="1:5">
      <c r="A23" t="s">
        <v>172</v>
      </c>
      <c r="B23" t="s">
        <v>182</v>
      </c>
      <c r="C23" t="s">
        <v>183</v>
      </c>
      <c r="D23" t="s">
        <v>174</v>
      </c>
      <c r="E23" t="s">
        <v>159</v>
      </c>
    </row>
    <row r="24" spans="1:5">
      <c r="A24" t="s">
        <v>172</v>
      </c>
      <c r="B24" t="s">
        <v>186</v>
      </c>
      <c r="C24" t="s">
        <v>188</v>
      </c>
      <c r="D24" t="s">
        <v>174</v>
      </c>
      <c r="E24" t="s">
        <v>159</v>
      </c>
    </row>
    <row r="25" spans="1:5">
      <c r="A25" t="s">
        <v>172</v>
      </c>
      <c r="B25" t="s">
        <v>187</v>
      </c>
      <c r="C25" t="s">
        <v>189</v>
      </c>
      <c r="D25" t="s">
        <v>174</v>
      </c>
      <c r="E25" t="s">
        <v>159</v>
      </c>
    </row>
    <row r="26" spans="1:5">
      <c r="A26" t="s">
        <v>172</v>
      </c>
      <c r="B26" t="s">
        <v>192</v>
      </c>
      <c r="C26" t="s">
        <v>193</v>
      </c>
      <c r="D26" t="s">
        <v>174</v>
      </c>
      <c r="E26" t="s">
        <v>159</v>
      </c>
    </row>
    <row r="27" spans="1:5">
      <c r="A27" t="s">
        <v>172</v>
      </c>
      <c r="B27" t="s">
        <v>194</v>
      </c>
      <c r="C27" t="s">
        <v>195</v>
      </c>
      <c r="D27" t="s">
        <v>174</v>
      </c>
      <c r="E27" t="s">
        <v>159</v>
      </c>
    </row>
    <row r="28" spans="1:5">
      <c r="A28" t="s">
        <v>172</v>
      </c>
      <c r="B28" t="s">
        <v>200</v>
      </c>
      <c r="C28" t="s">
        <v>201</v>
      </c>
      <c r="D28" t="s">
        <v>174</v>
      </c>
      <c r="E28" t="s">
        <v>159</v>
      </c>
    </row>
    <row r="29" spans="1:5">
      <c r="A29" t="s">
        <v>172</v>
      </c>
      <c r="B29" t="s">
        <v>204</v>
      </c>
      <c r="C29" t="s">
        <v>205</v>
      </c>
      <c r="D29" t="s">
        <v>174</v>
      </c>
      <c r="E29" t="s">
        <v>159</v>
      </c>
    </row>
    <row r="30" spans="1:5">
      <c r="A30" t="s">
        <v>172</v>
      </c>
      <c r="B30" t="s">
        <v>196</v>
      </c>
      <c r="C30" t="s">
        <v>197</v>
      </c>
      <c r="D30" t="s">
        <v>174</v>
      </c>
      <c r="E30" t="s">
        <v>159</v>
      </c>
    </row>
    <row r="31" spans="1:5">
      <c r="A31" t="s">
        <v>172</v>
      </c>
      <c r="B31" t="s">
        <v>198</v>
      </c>
      <c r="C31" t="s">
        <v>199</v>
      </c>
      <c r="D31" t="s">
        <v>174</v>
      </c>
      <c r="E31" t="s">
        <v>159</v>
      </c>
    </row>
    <row r="32" spans="1:5">
      <c r="A32" t="s">
        <v>172</v>
      </c>
      <c r="B32" t="s">
        <v>202</v>
      </c>
      <c r="C32" t="s">
        <v>203</v>
      </c>
      <c r="D32" t="s">
        <v>174</v>
      </c>
      <c r="E32" t="s">
        <v>159</v>
      </c>
    </row>
    <row r="33" spans="1:5">
      <c r="A33" t="s">
        <v>184</v>
      </c>
      <c r="B33" t="s">
        <v>184</v>
      </c>
      <c r="C33" t="s">
        <v>185</v>
      </c>
      <c r="D33" t="s">
        <v>174</v>
      </c>
      <c r="E33" t="s">
        <v>180</v>
      </c>
    </row>
    <row r="34" spans="1:5">
      <c r="A34" t="s">
        <v>206</v>
      </c>
      <c r="B34" t="s">
        <v>208</v>
      </c>
      <c r="C34" t="s">
        <v>207</v>
      </c>
      <c r="D34" t="s">
        <v>174</v>
      </c>
      <c r="E34" t="s">
        <v>159</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0AEB2BE-2174-4DA2-96DC-FA4D56EB43FF}">
          <x14:formula1>
            <xm:f>Values!$S$2:$S$5</xm:f>
          </x14:formula1>
          <xm:sqref>E2:E32</xm:sqref>
        </x14:dataValidation>
        <x14:dataValidation type="list" allowBlank="1" showInputMessage="1" showErrorMessage="1" xr:uid="{3756685B-30A5-41F0-B5ED-785D3EFB25C1}">
          <x14:formula1>
            <xm:f>Values!$R$2:$R$6</xm:f>
          </x14:formula1>
          <xm:sqref>A2:A34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FFE9-8E9B-4793-AEA6-24336704AA33}">
  <sheetPr codeName="Sheet4"/>
  <dimension ref="A2:I1246"/>
  <sheetViews>
    <sheetView workbookViewId="0">
      <selection activeCell="A6" sqref="A6"/>
    </sheetView>
  </sheetViews>
  <sheetFormatPr defaultRowHeight="14.5"/>
  <cols>
    <col min="1" max="1" width="8.26953125" customWidth="1"/>
    <col min="3" max="3" width="33.453125" customWidth="1"/>
  </cols>
  <sheetData>
    <row r="2" spans="1:9">
      <c r="A2" t="s">
        <v>120</v>
      </c>
      <c r="C2" s="47"/>
    </row>
    <row r="3" spans="1:9">
      <c r="A3" t="s">
        <v>153</v>
      </c>
    </row>
    <row r="4" spans="1:9">
      <c r="A4" t="s">
        <v>154</v>
      </c>
    </row>
    <row r="5" spans="1:9">
      <c r="A5" t="s">
        <v>155</v>
      </c>
      <c r="C5">
        <v>100</v>
      </c>
    </row>
    <row r="7" spans="1:9">
      <c r="A7" s="12" t="s">
        <v>121</v>
      </c>
      <c r="B7" s="12" t="s">
        <v>122</v>
      </c>
      <c r="C7" s="12" t="s">
        <v>123</v>
      </c>
      <c r="D7" s="12" t="s">
        <v>124</v>
      </c>
      <c r="E7" s="12" t="s">
        <v>125</v>
      </c>
      <c r="F7" s="12" t="s">
        <v>141</v>
      </c>
      <c r="G7" s="12" t="s">
        <v>142</v>
      </c>
      <c r="H7" s="12" t="s">
        <v>143</v>
      </c>
      <c r="I7" s="12" t="s">
        <v>126</v>
      </c>
    </row>
    <row r="54" spans="8:8">
      <c r="H54" s="48"/>
    </row>
    <row r="55" spans="8:8">
      <c r="H55" s="48"/>
    </row>
    <row r="56" spans="8:8">
      <c r="H56" s="48"/>
    </row>
    <row r="57" spans="8:8">
      <c r="H57" s="48"/>
    </row>
    <row r="429" spans="8:8">
      <c r="H429" s="48"/>
    </row>
    <row r="1240" spans="1:9">
      <c r="A1240" t="s">
        <v>118</v>
      </c>
      <c r="B1240" t="s">
        <v>119</v>
      </c>
    </row>
    <row r="1241" spans="1:9">
      <c r="A1241" t="s">
        <v>118</v>
      </c>
      <c r="B1241" t="s">
        <v>119</v>
      </c>
      <c r="C1241" t="s">
        <v>129</v>
      </c>
      <c r="D1241" t="s">
        <v>127</v>
      </c>
      <c r="E1241" t="s">
        <v>130</v>
      </c>
      <c r="F1241" t="s">
        <v>146</v>
      </c>
      <c r="G1241" t="s">
        <v>145</v>
      </c>
      <c r="H1241" t="s">
        <v>128</v>
      </c>
      <c r="I1241" t="s">
        <v>144</v>
      </c>
    </row>
    <row r="1242" spans="1:9">
      <c r="A1242" t="s">
        <v>118</v>
      </c>
      <c r="B1242" t="s">
        <v>119</v>
      </c>
      <c r="C1242" t="s">
        <v>133</v>
      </c>
      <c r="D1242" t="s">
        <v>131</v>
      </c>
      <c r="E1242" t="s">
        <v>132</v>
      </c>
      <c r="F1242" t="s">
        <v>146</v>
      </c>
      <c r="G1242" t="s">
        <v>145</v>
      </c>
      <c r="H1242" t="s">
        <v>147</v>
      </c>
    </row>
    <row r="1243" spans="1:9">
      <c r="A1243" t="s">
        <v>118</v>
      </c>
      <c r="B1243" t="s">
        <v>119</v>
      </c>
      <c r="C1243" t="s">
        <v>134</v>
      </c>
      <c r="D1243" t="s">
        <v>131</v>
      </c>
      <c r="E1243" t="s">
        <v>132</v>
      </c>
      <c r="F1243" t="s">
        <v>146</v>
      </c>
      <c r="G1243" t="s">
        <v>145</v>
      </c>
      <c r="H1243" t="s">
        <v>148</v>
      </c>
    </row>
    <row r="1244" spans="1:9">
      <c r="A1244" t="s">
        <v>118</v>
      </c>
      <c r="B1244" t="s">
        <v>119</v>
      </c>
      <c r="C1244" t="s">
        <v>136</v>
      </c>
      <c r="D1244" t="s">
        <v>131</v>
      </c>
      <c r="E1244" t="s">
        <v>135</v>
      </c>
      <c r="F1244" t="s">
        <v>146</v>
      </c>
      <c r="G1244" t="s">
        <v>145</v>
      </c>
      <c r="H1244" t="s">
        <v>149</v>
      </c>
    </row>
    <row r="1245" spans="1:9">
      <c r="A1245" t="s">
        <v>118</v>
      </c>
      <c r="B1245" t="s">
        <v>119</v>
      </c>
      <c r="C1245" t="s">
        <v>137</v>
      </c>
      <c r="D1245" t="s">
        <v>131</v>
      </c>
      <c r="E1245" t="s">
        <v>138</v>
      </c>
      <c r="F1245" t="s">
        <v>146</v>
      </c>
      <c r="G1245" t="s">
        <v>145</v>
      </c>
      <c r="H1245" t="s">
        <v>150</v>
      </c>
    </row>
    <row r="1246" spans="1:9">
      <c r="A1246" t="s">
        <v>118</v>
      </c>
      <c r="B1246" t="s">
        <v>119</v>
      </c>
      <c r="C1246" t="s">
        <v>139</v>
      </c>
      <c r="D1246" t="s">
        <v>131</v>
      </c>
      <c r="E1246" t="s">
        <v>140</v>
      </c>
      <c r="F1246" t="s">
        <v>146</v>
      </c>
      <c r="G1246" t="s">
        <v>145</v>
      </c>
      <c r="H1246" t="s">
        <v>151</v>
      </c>
    </row>
  </sheetData>
  <autoFilter ref="A7:I1235" xr:uid="{C0D6FFE9-8E9B-4793-AEA6-24336704AA3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MediaServiceKeyPoints xmlns="d681aa6a-578a-4b4a-96ad-20ed8468a31e" xsi:nil="true"/>
    <lcf76f155ced4ddcb4097134ff3c332f xmlns="d681aa6a-578a-4b4a-96ad-20ed8468a31e">
      <Terms xmlns="http://schemas.microsoft.com/office/infopath/2007/PartnerControls"/>
    </lcf76f155ced4ddcb4097134ff3c332f>
    <TaxCatchAll xmlns="230e9df3-be65-4c73-a93b-d1236ebd67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794334CC6606F44A93A487BC970477E" ma:contentTypeVersion="16" ma:contentTypeDescription="Create a new document." ma:contentTypeScope="" ma:versionID="5201e3e9de6145474422a5b0d0b1199e">
  <xsd:schema xmlns:xsd="http://www.w3.org/2001/XMLSchema" xmlns:xs="http://www.w3.org/2001/XMLSchema" xmlns:p="http://schemas.microsoft.com/office/2006/metadata/properties" xmlns:ns1="http://schemas.microsoft.com/sharepoint/v3" xmlns:ns2="d681aa6a-578a-4b4a-96ad-20ed8468a31e" xmlns:ns3="be38a625-1701-4e45-b38e-aec531d5a71a" xmlns:ns4="230e9df3-be65-4c73-a93b-d1236ebd677e" targetNamespace="http://schemas.microsoft.com/office/2006/metadata/properties" ma:root="true" ma:fieldsID="35fb9782c1897be4b0e6934fdec9bd44" ns1:_="" ns2:_="" ns3:_="" ns4:_="">
    <xsd:import namespace="http://schemas.microsoft.com/sharepoint/v3"/>
    <xsd:import namespace="d681aa6a-578a-4b4a-96ad-20ed8468a31e"/>
    <xsd:import namespace="be38a625-1701-4e45-b38e-aec531d5a71a"/>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1:_ip_UnifiedCompliancePolicyProperties" minOccurs="0"/>
                <xsd:element ref="ns1:_ip_UnifiedCompliancePolicyUIAction"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81aa6a-578a-4b4a-96ad-20ed8468a3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e38a625-1701-4e45-b38e-aec531d5a71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148b0ff7-8c1e-4dfb-9593-c6f0e24a20e3}" ma:internalName="TaxCatchAll" ma:showField="CatchAllData" ma:web="be38a625-1701-4e45-b38e-aec531d5a7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12DF1A-88E4-48A5-BF96-2ED16263F29E}">
  <ds:schemaRefs>
    <ds:schemaRef ds:uri="http://purl.org/dc/terms/"/>
    <ds:schemaRef ds:uri="http://schemas.microsoft.com/office/infopath/2007/PartnerControls"/>
    <ds:schemaRef ds:uri="http://purl.org/dc/elements/1.1/"/>
    <ds:schemaRef ds:uri="be38a625-1701-4e45-b38e-aec531d5a71a"/>
    <ds:schemaRef ds:uri="http://schemas.microsoft.com/office/2006/documentManagement/types"/>
    <ds:schemaRef ds:uri="230e9df3-be65-4c73-a93b-d1236ebd677e"/>
    <ds:schemaRef ds:uri="http://purl.org/dc/dcmitype/"/>
    <ds:schemaRef ds:uri="http://schemas.microsoft.com/sharepoint/v3"/>
    <ds:schemaRef ds:uri="http://www.w3.org/XML/1998/namespace"/>
    <ds:schemaRef ds:uri="http://schemas.openxmlformats.org/package/2006/metadata/core-properties"/>
    <ds:schemaRef ds:uri="d681aa6a-578a-4b4a-96ad-20ed8468a31e"/>
    <ds:schemaRef ds:uri="http://schemas.microsoft.com/office/2006/metadata/properties"/>
  </ds:schemaRefs>
</ds:datastoreItem>
</file>

<file path=customXml/itemProps2.xml><?xml version="1.0" encoding="utf-8"?>
<ds:datastoreItem xmlns:ds="http://schemas.openxmlformats.org/officeDocument/2006/customXml" ds:itemID="{6C2F1436-C540-47CD-B7EB-573A5E1289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681aa6a-578a-4b4a-96ad-20ed8468a31e"/>
    <ds:schemaRef ds:uri="be38a625-1701-4e45-b38e-aec531d5a71a"/>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C1CC33-0C6E-430A-9AEA-B4CF30EFF1F9}">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Checklist</vt:lpstr>
      <vt:lpstr>Dashboard</vt:lpstr>
      <vt:lpstr>Values</vt:lpstr>
      <vt:lpstr>ChecklistIndex</vt:lpstr>
      <vt:lpstr>ARG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Moreno</dc:creator>
  <cp:keywords/>
  <dc:description/>
  <cp:lastModifiedBy>Jason Virtue</cp:lastModifiedBy>
  <cp:revision/>
  <dcterms:created xsi:type="dcterms:W3CDTF">2021-01-25T16:35:48Z</dcterms:created>
  <dcterms:modified xsi:type="dcterms:W3CDTF">2026-02-03T16:27:28Z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etDate">
    <vt:lpwstr>2021-07-19T14:35:34Z</vt:lpwstr>
  </property>
  <property fmtid="{D5CDD505-2E9C-101B-9397-08002B2CF9AE}" pid="4" name="MSIP_Label_f42aa342-8706-4288-bd11-ebb85995028c_Method">
    <vt:lpwstr>Standard</vt:lpwstr>
  </property>
  <property fmtid="{D5CDD505-2E9C-101B-9397-08002B2CF9AE}" pid="5" name="MSIP_Label_f42aa342-8706-4288-bd11-ebb85995028c_Name">
    <vt:lpwstr>Internal</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ActionId">
    <vt:lpwstr>2caa78b6-61a8-4e5d-8b7d-e3081b6a26eb</vt:lpwstr>
  </property>
  <property fmtid="{D5CDD505-2E9C-101B-9397-08002B2CF9AE}" pid="8" name="MSIP_Label_f42aa342-8706-4288-bd11-ebb85995028c_ContentBits">
    <vt:lpwstr>0</vt:lpwstr>
  </property>
  <property fmtid="{D5CDD505-2E9C-101B-9397-08002B2CF9AE}" pid="9" name="ContentTypeId">
    <vt:lpwstr>0x010100C794334CC6606F44A93A487BC970477E</vt:lpwstr>
  </property>
</Properties>
</file>